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60716B99-48EF-4627-542C-1B4CF24DBC83}"/>
  <workbookPr filterPrivacy="1" codeName="ThisWorkbook" defaultThemeVersion="202300"/>
  <xr:revisionPtr revIDLastSave="0" documentId="8_{2D78E081-8955-4AED-A703-1A6F00572F10}" xr6:coauthVersionLast="47" xr6:coauthVersionMax="47" xr10:uidLastSave="{00000000-0000-0000-0000-000000000000}"/>
  <bookViews>
    <workbookView xWindow="-120" yWindow="-120" windowWidth="29040" windowHeight="15840" xr2:uid="{D2587668-FAE4-4679-8D0B-E79B6658FB6D}"/>
  </bookViews>
  <sheets>
    <sheet name="PPMPortal_Projects_Contracts_Jo" sheetId="1" r:id="rId1"/>
    <sheet name="MiddleMan" sheetId="12" r:id="rId2"/>
    <sheet name="SubTotal Amounts" sheetId="11" r:id="rId3"/>
  </sheets>
  <definedNames>
    <definedName name="_xlnm._FilterDatabase" localSheetId="0" hidden="1">PPMPortal_Projects_Contracts_Jo!$J$3:$AA$3</definedName>
    <definedName name="DS_AdjustedScope">#REF!</definedName>
    <definedName name="DS_BUdgetedAmount">#REF!</definedName>
    <definedName name="DS_Table">#REF!</definedName>
  </definedNames>
  <calcPr calcId="191029"/>
  <pivotCaches>
    <pivotCache cacheId="1" r:id="rId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A5" i="1" s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2000" i="1"/>
  <c r="Z1999" i="1"/>
  <c r="Z1998" i="1"/>
  <c r="Z1997" i="1"/>
  <c r="Z1996" i="1"/>
  <c r="Z1995" i="1"/>
  <c r="Z1994" i="1"/>
  <c r="Z1993" i="1"/>
  <c r="Z1992" i="1"/>
  <c r="Z1991" i="1"/>
  <c r="Z1990" i="1"/>
  <c r="Z1989" i="1"/>
  <c r="Z1988" i="1"/>
  <c r="Z1987" i="1"/>
  <c r="Z1986" i="1"/>
  <c r="Z1985" i="1"/>
  <c r="Z1984" i="1"/>
  <c r="Z1983" i="1"/>
  <c r="Z1982" i="1"/>
  <c r="Z1981" i="1"/>
  <c r="Z1980" i="1"/>
  <c r="Z1979" i="1"/>
  <c r="Z1978" i="1"/>
  <c r="Z1977" i="1"/>
  <c r="Z1976" i="1"/>
  <c r="Z1975" i="1"/>
  <c r="Z1974" i="1"/>
  <c r="Z1973" i="1"/>
  <c r="Z1972" i="1"/>
  <c r="Z1971" i="1"/>
  <c r="Z1970" i="1"/>
  <c r="Z1969" i="1"/>
  <c r="Z1968" i="1"/>
  <c r="Z1967" i="1"/>
  <c r="Z1966" i="1"/>
  <c r="Z1965" i="1"/>
  <c r="Z1964" i="1"/>
  <c r="Z1963" i="1"/>
  <c r="Z1962" i="1"/>
  <c r="Z1961" i="1"/>
  <c r="Z1960" i="1"/>
  <c r="Z1959" i="1"/>
  <c r="Z1958" i="1"/>
  <c r="Z1957" i="1"/>
  <c r="Z1956" i="1"/>
  <c r="Z1955" i="1"/>
  <c r="Z1954" i="1"/>
  <c r="Z1953" i="1"/>
  <c r="Z1952" i="1"/>
  <c r="Z1951" i="1"/>
  <c r="Z1950" i="1"/>
  <c r="Z1949" i="1"/>
  <c r="Z1948" i="1"/>
  <c r="Z1947" i="1"/>
  <c r="Z1946" i="1"/>
  <c r="Z1945" i="1"/>
  <c r="Z1944" i="1"/>
  <c r="Z1943" i="1"/>
  <c r="Z1942" i="1"/>
  <c r="Z1941" i="1"/>
  <c r="Z1940" i="1"/>
  <c r="Z1939" i="1"/>
  <c r="Z1938" i="1"/>
  <c r="Z1937" i="1"/>
  <c r="Z1936" i="1"/>
  <c r="Z1935" i="1"/>
  <c r="Z1934" i="1"/>
  <c r="Z1933" i="1"/>
  <c r="Z1932" i="1"/>
  <c r="Z1931" i="1"/>
  <c r="Z1930" i="1"/>
  <c r="Z1929" i="1"/>
  <c r="Z1928" i="1"/>
  <c r="Z1927" i="1"/>
  <c r="Z1926" i="1"/>
  <c r="Z1925" i="1"/>
  <c r="Z1924" i="1"/>
  <c r="Z1923" i="1"/>
  <c r="Z1922" i="1"/>
  <c r="Z1921" i="1"/>
  <c r="Z1920" i="1"/>
  <c r="Z1919" i="1"/>
  <c r="Z1918" i="1"/>
  <c r="Z1917" i="1"/>
  <c r="Z1916" i="1"/>
  <c r="Z1915" i="1"/>
  <c r="Z1914" i="1"/>
  <c r="Z1913" i="1"/>
  <c r="Z1912" i="1"/>
  <c r="Z1911" i="1"/>
  <c r="Z1910" i="1"/>
  <c r="Z1909" i="1"/>
  <c r="Z1908" i="1"/>
  <c r="Z1907" i="1"/>
  <c r="Z1906" i="1"/>
  <c r="Z1905" i="1"/>
  <c r="Z1904" i="1"/>
  <c r="Z1903" i="1"/>
  <c r="Z1902" i="1"/>
  <c r="Z1901" i="1"/>
  <c r="Z1900" i="1"/>
  <c r="Z1899" i="1"/>
  <c r="Z1898" i="1"/>
  <c r="Z1897" i="1"/>
  <c r="Z1896" i="1"/>
  <c r="Z1895" i="1"/>
  <c r="Z1894" i="1"/>
  <c r="Z1893" i="1"/>
  <c r="Z1892" i="1"/>
  <c r="Z1891" i="1"/>
  <c r="Z1890" i="1"/>
  <c r="Z1889" i="1"/>
  <c r="Z1888" i="1"/>
  <c r="Z1887" i="1"/>
  <c r="Z1886" i="1"/>
  <c r="Z1885" i="1"/>
  <c r="Z1884" i="1"/>
  <c r="Z1883" i="1"/>
  <c r="Z1882" i="1"/>
  <c r="Z1881" i="1"/>
  <c r="Z1880" i="1"/>
  <c r="Z1879" i="1"/>
  <c r="Z1878" i="1"/>
  <c r="Z1877" i="1"/>
  <c r="Z1876" i="1"/>
  <c r="Z1875" i="1"/>
  <c r="Z1874" i="1"/>
  <c r="Z1873" i="1"/>
  <c r="Z1872" i="1"/>
  <c r="Z1871" i="1"/>
  <c r="Z1870" i="1"/>
  <c r="Z1869" i="1"/>
  <c r="Z1868" i="1"/>
  <c r="Z1867" i="1"/>
  <c r="Z1866" i="1"/>
  <c r="Z1865" i="1"/>
  <c r="Z1864" i="1"/>
  <c r="Z1863" i="1"/>
  <c r="Z1862" i="1"/>
  <c r="Z1861" i="1"/>
  <c r="Z1860" i="1"/>
  <c r="Z1859" i="1"/>
  <c r="Z1858" i="1"/>
  <c r="Z1857" i="1"/>
  <c r="Z1856" i="1"/>
  <c r="Z1855" i="1"/>
  <c r="Z1854" i="1"/>
  <c r="Z1853" i="1"/>
  <c r="Z1852" i="1"/>
  <c r="Z1851" i="1"/>
  <c r="Z1850" i="1"/>
  <c r="Z1849" i="1"/>
  <c r="Z1848" i="1"/>
  <c r="Z1847" i="1"/>
  <c r="Z1846" i="1"/>
  <c r="Z1845" i="1"/>
  <c r="Z1844" i="1"/>
  <c r="Z1843" i="1"/>
  <c r="Z1842" i="1"/>
  <c r="Z1841" i="1"/>
  <c r="Z1840" i="1"/>
  <c r="Z1839" i="1"/>
  <c r="Z1838" i="1"/>
  <c r="Z1837" i="1"/>
  <c r="Z1836" i="1"/>
  <c r="Z1835" i="1"/>
  <c r="Z1834" i="1"/>
  <c r="Z1833" i="1"/>
  <c r="Z1832" i="1"/>
  <c r="Z1831" i="1"/>
  <c r="Z1830" i="1"/>
  <c r="Z1829" i="1"/>
  <c r="Z1828" i="1"/>
  <c r="Z1827" i="1"/>
  <c r="Z1826" i="1"/>
  <c r="Z1825" i="1"/>
  <c r="Z1824" i="1"/>
  <c r="Z1823" i="1"/>
  <c r="Z1822" i="1"/>
  <c r="Z1821" i="1"/>
  <c r="Z1820" i="1"/>
  <c r="Z1819" i="1"/>
  <c r="Z1818" i="1"/>
  <c r="Z1817" i="1"/>
  <c r="Z1816" i="1"/>
  <c r="Z1815" i="1"/>
  <c r="Z1814" i="1"/>
  <c r="Z1813" i="1"/>
  <c r="Z1812" i="1"/>
  <c r="Z1811" i="1"/>
  <c r="Z1810" i="1"/>
  <c r="Z1809" i="1"/>
  <c r="Z1808" i="1"/>
  <c r="Z1807" i="1"/>
  <c r="Z1806" i="1"/>
  <c r="Z1805" i="1"/>
  <c r="Z1804" i="1"/>
  <c r="Z1803" i="1"/>
  <c r="Z1802" i="1"/>
  <c r="Z1801" i="1"/>
  <c r="Z1800" i="1"/>
  <c r="Z1799" i="1"/>
  <c r="Z1798" i="1"/>
  <c r="Z1797" i="1"/>
  <c r="Z1796" i="1"/>
  <c r="Z1795" i="1"/>
  <c r="Z1794" i="1"/>
  <c r="Z1793" i="1"/>
  <c r="Z1792" i="1"/>
  <c r="Z1791" i="1"/>
  <c r="Z1790" i="1"/>
  <c r="Z1789" i="1"/>
  <c r="Z1788" i="1"/>
  <c r="Z1787" i="1"/>
  <c r="Z1786" i="1"/>
  <c r="Z1785" i="1"/>
  <c r="Z1784" i="1"/>
  <c r="Z1783" i="1"/>
  <c r="Z1782" i="1"/>
  <c r="Z1781" i="1"/>
  <c r="Z1780" i="1"/>
  <c r="Z1779" i="1"/>
  <c r="Z1778" i="1"/>
  <c r="Z1777" i="1"/>
  <c r="Z1776" i="1"/>
  <c r="Z1775" i="1"/>
  <c r="Z1774" i="1"/>
  <c r="Z1773" i="1"/>
  <c r="Z1772" i="1"/>
  <c r="Z1771" i="1"/>
  <c r="Z1770" i="1"/>
  <c r="Z1769" i="1"/>
  <c r="Z1768" i="1"/>
  <c r="Z1767" i="1"/>
  <c r="Z1766" i="1"/>
  <c r="Z1765" i="1"/>
  <c r="Z1764" i="1"/>
  <c r="Z1763" i="1"/>
  <c r="Z1762" i="1"/>
  <c r="Z1761" i="1"/>
  <c r="Z1760" i="1"/>
  <c r="Z1759" i="1"/>
  <c r="Z1758" i="1"/>
  <c r="Z1757" i="1"/>
  <c r="Z1756" i="1"/>
  <c r="Z1755" i="1"/>
  <c r="Z1754" i="1"/>
  <c r="Z1753" i="1"/>
  <c r="Z1752" i="1"/>
  <c r="Z1751" i="1"/>
  <c r="Z1750" i="1"/>
  <c r="Z1749" i="1"/>
  <c r="Z1748" i="1"/>
  <c r="Z1747" i="1"/>
  <c r="Z1746" i="1"/>
  <c r="Z1745" i="1"/>
  <c r="Z1744" i="1"/>
  <c r="Z1743" i="1"/>
  <c r="Z1742" i="1"/>
  <c r="Z1741" i="1"/>
  <c r="Z1740" i="1"/>
  <c r="Z1739" i="1"/>
  <c r="Z1738" i="1"/>
  <c r="Z1737" i="1"/>
  <c r="Z1736" i="1"/>
  <c r="Z1735" i="1"/>
  <c r="Z1734" i="1"/>
  <c r="Z1733" i="1"/>
  <c r="Z1732" i="1"/>
  <c r="Z1731" i="1"/>
  <c r="Z1730" i="1"/>
  <c r="Z1729" i="1"/>
  <c r="Z1728" i="1"/>
  <c r="Z1727" i="1"/>
  <c r="Z1726" i="1"/>
  <c r="Z1725" i="1"/>
  <c r="Z1724" i="1"/>
  <c r="Z1723" i="1"/>
  <c r="Z1722" i="1"/>
  <c r="Z1721" i="1"/>
  <c r="Z1720" i="1"/>
  <c r="Z1719" i="1"/>
  <c r="Z1718" i="1"/>
  <c r="Z1717" i="1"/>
  <c r="Z1716" i="1"/>
  <c r="Z1715" i="1"/>
  <c r="Z1714" i="1"/>
  <c r="Z1713" i="1"/>
  <c r="Z1712" i="1"/>
  <c r="Z1711" i="1"/>
  <c r="Z1710" i="1"/>
  <c r="Z1709" i="1"/>
  <c r="Z1708" i="1"/>
  <c r="Z1707" i="1"/>
  <c r="Z1706" i="1"/>
  <c r="Z1705" i="1"/>
  <c r="Z1704" i="1"/>
  <c r="Z1703" i="1"/>
  <c r="Z1702" i="1"/>
  <c r="Z1701" i="1"/>
  <c r="Z1700" i="1"/>
  <c r="Z1699" i="1"/>
  <c r="Z1698" i="1"/>
  <c r="Z1697" i="1"/>
  <c r="Z1696" i="1"/>
  <c r="Z1695" i="1"/>
  <c r="Z1694" i="1"/>
  <c r="Z1693" i="1"/>
  <c r="Z1692" i="1"/>
  <c r="Z1691" i="1"/>
  <c r="Z1690" i="1"/>
  <c r="Z1689" i="1"/>
  <c r="Z1688" i="1"/>
  <c r="Z1687" i="1"/>
  <c r="Z1686" i="1"/>
  <c r="Z1685" i="1"/>
  <c r="Z1684" i="1"/>
  <c r="Z1683" i="1"/>
  <c r="Z1682" i="1"/>
  <c r="Z1681" i="1"/>
  <c r="Z1680" i="1"/>
  <c r="Z1679" i="1"/>
  <c r="Z1678" i="1"/>
  <c r="Z1677" i="1"/>
  <c r="Z1676" i="1"/>
  <c r="Z1675" i="1"/>
  <c r="Z1674" i="1"/>
  <c r="Z1673" i="1"/>
  <c r="Z1672" i="1"/>
  <c r="Z1671" i="1"/>
  <c r="Z1670" i="1"/>
  <c r="Z1669" i="1"/>
  <c r="Z1668" i="1"/>
  <c r="Z1667" i="1"/>
  <c r="Z1666" i="1"/>
  <c r="Z1665" i="1"/>
  <c r="Z1664" i="1"/>
  <c r="Z1663" i="1"/>
  <c r="Z1662" i="1"/>
  <c r="Z1661" i="1"/>
  <c r="Z1660" i="1"/>
  <c r="Z1659" i="1"/>
  <c r="Z1658" i="1"/>
  <c r="Z1657" i="1"/>
  <c r="Z1656" i="1"/>
  <c r="Z1655" i="1"/>
  <c r="Z1654" i="1"/>
  <c r="Z1653" i="1"/>
  <c r="Z1652" i="1"/>
  <c r="Z1651" i="1"/>
  <c r="Z1650" i="1"/>
  <c r="Z1649" i="1"/>
  <c r="Z1648" i="1"/>
  <c r="Z1647" i="1"/>
  <c r="Z1646" i="1"/>
  <c r="Z1645" i="1"/>
  <c r="Z1644" i="1"/>
  <c r="Z1643" i="1"/>
  <c r="Z1642" i="1"/>
  <c r="Z1641" i="1"/>
  <c r="Z1640" i="1"/>
  <c r="Z1639" i="1"/>
  <c r="Z1638" i="1"/>
  <c r="Z1637" i="1"/>
  <c r="Z1636" i="1"/>
  <c r="Z1635" i="1"/>
  <c r="Z1634" i="1"/>
  <c r="Z1633" i="1"/>
  <c r="Z1632" i="1"/>
  <c r="Z1631" i="1"/>
  <c r="Z1630" i="1"/>
  <c r="Z1629" i="1"/>
  <c r="Z1628" i="1"/>
  <c r="Z1627" i="1"/>
  <c r="Z1626" i="1"/>
  <c r="Z1625" i="1"/>
  <c r="Z1624" i="1"/>
  <c r="Z1623" i="1"/>
  <c r="Z1622" i="1"/>
  <c r="Z1621" i="1"/>
  <c r="Z1620" i="1"/>
  <c r="Z1619" i="1"/>
  <c r="Z1618" i="1"/>
  <c r="Z1617" i="1"/>
  <c r="Z1616" i="1"/>
  <c r="Z1615" i="1"/>
  <c r="Z1614" i="1"/>
  <c r="Z1613" i="1"/>
  <c r="Z1612" i="1"/>
  <c r="Z1611" i="1"/>
  <c r="Z1610" i="1"/>
  <c r="Z1609" i="1"/>
  <c r="Z1608" i="1"/>
  <c r="Z1607" i="1"/>
  <c r="Z1606" i="1"/>
  <c r="Z1605" i="1"/>
  <c r="Z1604" i="1"/>
  <c r="Z1603" i="1"/>
  <c r="Z1602" i="1"/>
  <c r="Z1601" i="1"/>
  <c r="Z1600" i="1"/>
  <c r="Z1599" i="1"/>
  <c r="Z1598" i="1"/>
  <c r="Z1597" i="1"/>
  <c r="Z1596" i="1"/>
  <c r="Z1595" i="1"/>
  <c r="Z1594" i="1"/>
  <c r="Z1593" i="1"/>
  <c r="Z1592" i="1"/>
  <c r="Z1591" i="1"/>
  <c r="Z1590" i="1"/>
  <c r="Z1589" i="1"/>
  <c r="Z1588" i="1"/>
  <c r="Z1587" i="1"/>
  <c r="Z1586" i="1"/>
  <c r="Z1585" i="1"/>
  <c r="Z1584" i="1"/>
  <c r="Z1583" i="1"/>
  <c r="Z1582" i="1"/>
  <c r="Z1581" i="1"/>
  <c r="Z1580" i="1"/>
  <c r="Z1579" i="1"/>
  <c r="Z1578" i="1"/>
  <c r="Z1577" i="1"/>
  <c r="Z1576" i="1"/>
  <c r="Z1575" i="1"/>
  <c r="Z1574" i="1"/>
  <c r="Z1573" i="1"/>
  <c r="Z1572" i="1"/>
  <c r="Z1571" i="1"/>
  <c r="Z1570" i="1"/>
  <c r="Z1569" i="1"/>
  <c r="Z1568" i="1"/>
  <c r="Z1567" i="1"/>
  <c r="Z1566" i="1"/>
  <c r="Z1565" i="1"/>
  <c r="Z1564" i="1"/>
  <c r="Z1563" i="1"/>
  <c r="Z1562" i="1"/>
  <c r="Z1561" i="1"/>
  <c r="Z1560" i="1"/>
  <c r="Z1559" i="1"/>
  <c r="Z1558" i="1"/>
  <c r="Z1557" i="1"/>
  <c r="Z1556" i="1"/>
  <c r="Z1555" i="1"/>
  <c r="Z1554" i="1"/>
  <c r="Z1553" i="1"/>
  <c r="Z1552" i="1"/>
  <c r="Z1551" i="1"/>
  <c r="Z1550" i="1"/>
  <c r="Z1549" i="1"/>
  <c r="Z1548" i="1"/>
  <c r="Z1547" i="1"/>
  <c r="Z1546" i="1"/>
  <c r="Z1545" i="1"/>
  <c r="Z1544" i="1"/>
  <c r="Z1543" i="1"/>
  <c r="Z1542" i="1"/>
  <c r="Z1541" i="1"/>
  <c r="Z1540" i="1"/>
  <c r="Z1539" i="1"/>
  <c r="Z1538" i="1"/>
  <c r="Z1537" i="1"/>
  <c r="Z1536" i="1"/>
  <c r="Z1535" i="1"/>
  <c r="Z1534" i="1"/>
  <c r="Z1533" i="1"/>
  <c r="Z1532" i="1"/>
  <c r="Z1531" i="1"/>
  <c r="Z1530" i="1"/>
  <c r="Z1529" i="1"/>
  <c r="Z1528" i="1"/>
  <c r="Z1527" i="1"/>
  <c r="Z1526" i="1"/>
  <c r="Z1525" i="1"/>
  <c r="Z1524" i="1"/>
  <c r="Z1523" i="1"/>
  <c r="Z1522" i="1"/>
  <c r="Z1521" i="1"/>
  <c r="Z1520" i="1"/>
  <c r="Z1519" i="1"/>
  <c r="Z1518" i="1"/>
  <c r="Z1517" i="1"/>
  <c r="Z1516" i="1"/>
  <c r="Z1515" i="1"/>
  <c r="Z1514" i="1"/>
  <c r="Z1513" i="1"/>
  <c r="Z1512" i="1"/>
  <c r="Z1511" i="1"/>
  <c r="Z1510" i="1"/>
  <c r="Z1509" i="1"/>
  <c r="Z1508" i="1"/>
  <c r="Z1507" i="1"/>
  <c r="Z1506" i="1"/>
  <c r="Z1505" i="1"/>
  <c r="Z1504" i="1"/>
  <c r="Z1503" i="1"/>
  <c r="Z1502" i="1"/>
  <c r="Z1501" i="1"/>
  <c r="Z1500" i="1"/>
  <c r="Z1499" i="1"/>
  <c r="Z1498" i="1"/>
  <c r="Z1497" i="1"/>
  <c r="Z1496" i="1"/>
  <c r="Z1495" i="1"/>
  <c r="Z1494" i="1"/>
  <c r="Z1493" i="1"/>
  <c r="Z1492" i="1"/>
  <c r="Z1491" i="1"/>
  <c r="Z1490" i="1"/>
  <c r="Z1489" i="1"/>
  <c r="Z1488" i="1"/>
  <c r="Z1487" i="1"/>
  <c r="Z1486" i="1"/>
  <c r="Z1485" i="1"/>
  <c r="Z1484" i="1"/>
  <c r="Z1483" i="1"/>
  <c r="Z1482" i="1"/>
  <c r="Z1481" i="1"/>
  <c r="Z1480" i="1"/>
  <c r="Z1479" i="1"/>
  <c r="Z1478" i="1"/>
  <c r="Z1477" i="1"/>
  <c r="Z1476" i="1"/>
  <c r="Z1475" i="1"/>
  <c r="Z1474" i="1"/>
  <c r="Z1473" i="1"/>
  <c r="Z1472" i="1"/>
  <c r="Z1471" i="1"/>
  <c r="Z1470" i="1"/>
  <c r="Z1469" i="1"/>
  <c r="Z1468" i="1"/>
  <c r="Z1467" i="1"/>
  <c r="Z1466" i="1"/>
  <c r="Z1465" i="1"/>
  <c r="Z1464" i="1"/>
  <c r="Z1463" i="1"/>
  <c r="Z1462" i="1"/>
  <c r="Z1461" i="1"/>
  <c r="Z1460" i="1"/>
  <c r="Z1459" i="1"/>
  <c r="Z1458" i="1"/>
  <c r="Z1457" i="1"/>
  <c r="Z1456" i="1"/>
  <c r="Z1455" i="1"/>
  <c r="Z1454" i="1"/>
  <c r="Z1453" i="1"/>
  <c r="Z1452" i="1"/>
  <c r="Z1451" i="1"/>
  <c r="Z1450" i="1"/>
  <c r="Z1449" i="1"/>
  <c r="Z1448" i="1"/>
  <c r="Z1447" i="1"/>
  <c r="Z1446" i="1"/>
  <c r="Z1445" i="1"/>
  <c r="Z1444" i="1"/>
  <c r="Z1443" i="1"/>
  <c r="Z1442" i="1"/>
  <c r="Z1441" i="1"/>
  <c r="Z1440" i="1"/>
  <c r="Z1439" i="1"/>
  <c r="Z1438" i="1"/>
  <c r="Z1437" i="1"/>
  <c r="Z1436" i="1"/>
  <c r="Z1435" i="1"/>
  <c r="Z1434" i="1"/>
  <c r="Z1433" i="1"/>
  <c r="Z1432" i="1"/>
  <c r="Z1431" i="1"/>
  <c r="Z1430" i="1"/>
  <c r="Z1429" i="1"/>
  <c r="Z1428" i="1"/>
  <c r="Z1427" i="1"/>
  <c r="Z1426" i="1"/>
  <c r="Z1425" i="1"/>
  <c r="Z1424" i="1"/>
  <c r="Z1423" i="1"/>
  <c r="Z1422" i="1"/>
  <c r="Z1421" i="1"/>
  <c r="Z1420" i="1"/>
  <c r="Z1419" i="1"/>
  <c r="Z1418" i="1"/>
  <c r="Z1417" i="1"/>
  <c r="Z1416" i="1"/>
  <c r="Z1415" i="1"/>
  <c r="Z1414" i="1"/>
  <c r="Z1413" i="1"/>
  <c r="Z1412" i="1"/>
  <c r="Z1411" i="1"/>
  <c r="Z1410" i="1"/>
  <c r="Z1409" i="1"/>
  <c r="Z1408" i="1"/>
  <c r="Z1407" i="1"/>
  <c r="Z1406" i="1"/>
  <c r="Z1405" i="1"/>
  <c r="Z1404" i="1"/>
  <c r="Z1403" i="1"/>
  <c r="Z1402" i="1"/>
  <c r="Z1401" i="1"/>
  <c r="Z1400" i="1"/>
  <c r="Z1399" i="1"/>
  <c r="Z1398" i="1"/>
  <c r="Z1397" i="1"/>
  <c r="Z1396" i="1"/>
  <c r="Z1395" i="1"/>
  <c r="Z1394" i="1"/>
  <c r="Z1393" i="1"/>
  <c r="Z1392" i="1"/>
  <c r="Z1391" i="1"/>
  <c r="Z1390" i="1"/>
  <c r="Z1389" i="1"/>
  <c r="Z1388" i="1"/>
  <c r="Z1387" i="1"/>
  <c r="Z1386" i="1"/>
  <c r="Z1385" i="1"/>
  <c r="Z1384" i="1"/>
  <c r="Z1383" i="1"/>
  <c r="Z1382" i="1"/>
  <c r="Z1381" i="1"/>
  <c r="Z1380" i="1"/>
  <c r="Z1379" i="1"/>
  <c r="Z1378" i="1"/>
  <c r="Z1377" i="1"/>
  <c r="Z1376" i="1"/>
  <c r="Z1375" i="1"/>
  <c r="Z1374" i="1"/>
  <c r="Z1373" i="1"/>
  <c r="Z1372" i="1"/>
  <c r="Z1371" i="1"/>
  <c r="Z1370" i="1"/>
  <c r="Z1369" i="1"/>
  <c r="Z1368" i="1"/>
  <c r="Z1367" i="1"/>
  <c r="Z1366" i="1"/>
  <c r="Z1365" i="1"/>
  <c r="Z1364" i="1"/>
  <c r="Z1363" i="1"/>
  <c r="Z1362" i="1"/>
  <c r="Z1361" i="1"/>
  <c r="Z1360" i="1"/>
  <c r="Z1359" i="1"/>
  <c r="Z1358" i="1"/>
  <c r="Z1357" i="1"/>
  <c r="Z1356" i="1"/>
  <c r="Z1355" i="1"/>
  <c r="Z1354" i="1"/>
  <c r="Z1353" i="1"/>
  <c r="Z1352" i="1"/>
  <c r="Z1351" i="1"/>
  <c r="Z1350" i="1"/>
  <c r="Z1349" i="1"/>
  <c r="Z1348" i="1"/>
  <c r="Z1347" i="1"/>
  <c r="Z1346" i="1"/>
  <c r="Z1345" i="1"/>
  <c r="Z1344" i="1"/>
  <c r="Z1343" i="1"/>
  <c r="Z1342" i="1"/>
  <c r="Z1341" i="1"/>
  <c r="Z1340" i="1"/>
  <c r="Z1339" i="1"/>
  <c r="Z1338" i="1"/>
  <c r="Z1337" i="1"/>
  <c r="Z1336" i="1"/>
  <c r="Z1335" i="1"/>
  <c r="Z1334" i="1"/>
  <c r="Z1333" i="1"/>
  <c r="Z1332" i="1"/>
  <c r="Z1331" i="1"/>
  <c r="Z1330" i="1"/>
  <c r="Z1329" i="1"/>
  <c r="Z1328" i="1"/>
  <c r="Z1327" i="1"/>
  <c r="Z1326" i="1"/>
  <c r="Z1325" i="1"/>
  <c r="Z1324" i="1"/>
  <c r="Z1323" i="1"/>
  <c r="Z1322" i="1"/>
  <c r="Z1321" i="1"/>
  <c r="Z1320" i="1"/>
  <c r="Z1319" i="1"/>
  <c r="Z1318" i="1"/>
  <c r="Z1317" i="1"/>
  <c r="Z1316" i="1"/>
  <c r="Z1315" i="1"/>
  <c r="Z1314" i="1"/>
  <c r="Z1313" i="1"/>
  <c r="Z1312" i="1"/>
  <c r="Z1311" i="1"/>
  <c r="Z1310" i="1"/>
  <c r="Z1309" i="1"/>
  <c r="Z1308" i="1"/>
  <c r="Z1307" i="1"/>
  <c r="Z1306" i="1"/>
  <c r="Z1305" i="1"/>
  <c r="Z1304" i="1"/>
  <c r="Z1303" i="1"/>
  <c r="Z1302" i="1"/>
  <c r="Z1301" i="1"/>
  <c r="Z1300" i="1"/>
  <c r="Z1299" i="1"/>
  <c r="Z1298" i="1"/>
  <c r="Z1297" i="1"/>
  <c r="Z1296" i="1"/>
  <c r="Z1295" i="1"/>
  <c r="Z1294" i="1"/>
  <c r="Z1293" i="1"/>
  <c r="Z1292" i="1"/>
  <c r="Z1291" i="1"/>
  <c r="Z1290" i="1"/>
  <c r="Z1289" i="1"/>
  <c r="Z1288" i="1"/>
  <c r="Z1287" i="1"/>
  <c r="Z1286" i="1"/>
  <c r="Z1285" i="1"/>
  <c r="Z1284" i="1"/>
  <c r="Z1283" i="1"/>
  <c r="Z1282" i="1"/>
  <c r="Z1281" i="1"/>
  <c r="Z1280" i="1"/>
  <c r="Z1279" i="1"/>
  <c r="Z1278" i="1"/>
  <c r="Z1277" i="1"/>
  <c r="Z1276" i="1"/>
  <c r="Z1275" i="1"/>
  <c r="Z1274" i="1"/>
  <c r="Z1273" i="1"/>
  <c r="Z1272" i="1"/>
  <c r="Z1271" i="1"/>
  <c r="Z1270" i="1"/>
  <c r="Z1269" i="1"/>
  <c r="Z1268" i="1"/>
  <c r="Z1267" i="1"/>
  <c r="Z1266" i="1"/>
  <c r="Z1265" i="1"/>
  <c r="Z1264" i="1"/>
  <c r="Z1263" i="1"/>
  <c r="Z1262" i="1"/>
  <c r="Z1261" i="1"/>
  <c r="Z1260" i="1"/>
  <c r="Z1259" i="1"/>
  <c r="Z1258" i="1"/>
  <c r="Z1257" i="1"/>
  <c r="Z1256" i="1"/>
  <c r="Z1255" i="1"/>
  <c r="Z1254" i="1"/>
  <c r="Z1253" i="1"/>
  <c r="Z1252" i="1"/>
  <c r="Z1251" i="1"/>
  <c r="Z1250" i="1"/>
  <c r="Z1249" i="1"/>
  <c r="Z1248" i="1"/>
  <c r="Z1247" i="1"/>
  <c r="Z1246" i="1"/>
  <c r="Z1245" i="1"/>
  <c r="Z1244" i="1"/>
  <c r="Z1243" i="1"/>
  <c r="Z1242" i="1"/>
  <c r="Z1241" i="1"/>
  <c r="Z1240" i="1"/>
  <c r="Z1239" i="1"/>
  <c r="Z1238" i="1"/>
  <c r="Z1237" i="1"/>
  <c r="Z1236" i="1"/>
  <c r="Z1235" i="1"/>
  <c r="Z1234" i="1"/>
  <c r="Z1233" i="1"/>
  <c r="Z1232" i="1"/>
  <c r="Z1231" i="1"/>
  <c r="Z1230" i="1"/>
  <c r="Z1229" i="1"/>
  <c r="Z1228" i="1"/>
  <c r="Z1227" i="1"/>
  <c r="Z1226" i="1"/>
  <c r="Z1225" i="1"/>
  <c r="Z1224" i="1"/>
  <c r="Z1223" i="1"/>
  <c r="Z1222" i="1"/>
  <c r="Z1221" i="1"/>
  <c r="Z1220" i="1"/>
  <c r="Z1219" i="1"/>
  <c r="Z1218" i="1"/>
  <c r="Z1217" i="1"/>
  <c r="Z1216" i="1"/>
  <c r="Z1215" i="1"/>
  <c r="Z1214" i="1"/>
  <c r="Z1213" i="1"/>
  <c r="Z1212" i="1"/>
  <c r="Z1211" i="1"/>
  <c r="Z1210" i="1"/>
  <c r="Z1209" i="1"/>
  <c r="Z1208" i="1"/>
  <c r="Z1207" i="1"/>
  <c r="Z1206" i="1"/>
  <c r="Z1205" i="1"/>
  <c r="Z1204" i="1"/>
  <c r="Z1203" i="1"/>
  <c r="Z1202" i="1"/>
  <c r="Z1201" i="1"/>
  <c r="Z1200" i="1"/>
  <c r="Z1199" i="1"/>
  <c r="Z1198" i="1"/>
  <c r="Z1197" i="1"/>
  <c r="Z1196" i="1"/>
  <c r="Z1195" i="1"/>
  <c r="Z1194" i="1"/>
  <c r="Z1193" i="1"/>
  <c r="Z1192" i="1"/>
  <c r="Z1191" i="1"/>
  <c r="Z1190" i="1"/>
  <c r="Z1189" i="1"/>
  <c r="Z1188" i="1"/>
  <c r="Z1187" i="1"/>
  <c r="Z1186" i="1"/>
  <c r="Z1185" i="1"/>
  <c r="Z1184" i="1"/>
  <c r="Z1183" i="1"/>
  <c r="Z1182" i="1"/>
  <c r="Z1181" i="1"/>
  <c r="Z1180" i="1"/>
  <c r="Z1179" i="1"/>
  <c r="Z1178" i="1"/>
  <c r="Z1177" i="1"/>
  <c r="Z1176" i="1"/>
  <c r="Z1175" i="1"/>
  <c r="Z1174" i="1"/>
  <c r="Z1173" i="1"/>
  <c r="Z1172" i="1"/>
  <c r="Z1171" i="1"/>
  <c r="Z1170" i="1"/>
  <c r="Z1169" i="1"/>
  <c r="Z1168" i="1"/>
  <c r="Z1167" i="1"/>
  <c r="Z1166" i="1"/>
  <c r="Z1165" i="1"/>
  <c r="Z1164" i="1"/>
  <c r="Z1163" i="1"/>
  <c r="Z1162" i="1"/>
  <c r="Z1161" i="1"/>
  <c r="Z1160" i="1"/>
  <c r="Z1159" i="1"/>
  <c r="Z1158" i="1"/>
  <c r="Z1157" i="1"/>
  <c r="Z1156" i="1"/>
  <c r="Z1155" i="1"/>
  <c r="Z1154" i="1"/>
  <c r="Z1153" i="1"/>
  <c r="Z1152" i="1"/>
  <c r="Z1151" i="1"/>
  <c r="Z1150" i="1"/>
  <c r="Z1149" i="1"/>
  <c r="Z1148" i="1"/>
  <c r="Z1147" i="1"/>
  <c r="Z1146" i="1"/>
  <c r="Z1145" i="1"/>
  <c r="Z1144" i="1"/>
  <c r="Z1143" i="1"/>
  <c r="Z1142" i="1"/>
  <c r="Z1141" i="1"/>
  <c r="Z1140" i="1"/>
  <c r="Z1139" i="1"/>
  <c r="Z1138" i="1"/>
  <c r="Z1137" i="1"/>
  <c r="Z1136" i="1"/>
  <c r="Z1135" i="1"/>
  <c r="Z1134" i="1"/>
  <c r="Z1133" i="1"/>
  <c r="Z1132" i="1"/>
  <c r="Z1131" i="1"/>
  <c r="Z1130" i="1"/>
  <c r="Z1129" i="1"/>
  <c r="Z1128" i="1"/>
  <c r="Z1127" i="1"/>
  <c r="Z1126" i="1"/>
  <c r="Z1125" i="1"/>
  <c r="Z1124" i="1"/>
  <c r="Z1123" i="1"/>
  <c r="Z1122" i="1"/>
  <c r="Z1121" i="1"/>
  <c r="Z1120" i="1"/>
  <c r="Z1119" i="1"/>
  <c r="Z1118" i="1"/>
  <c r="Z1117" i="1"/>
  <c r="Z1116" i="1"/>
  <c r="Z1115" i="1"/>
  <c r="Z1114" i="1"/>
  <c r="Z1113" i="1"/>
  <c r="Z1112" i="1"/>
  <c r="Z1111" i="1"/>
  <c r="Z1110" i="1"/>
  <c r="Z1109" i="1"/>
  <c r="Z1108" i="1"/>
  <c r="Z1107" i="1"/>
  <c r="Z1106" i="1"/>
  <c r="Z1105" i="1"/>
  <c r="Z1104" i="1"/>
  <c r="Z1103" i="1"/>
  <c r="Z1102" i="1"/>
  <c r="Z1101" i="1"/>
  <c r="Z1100" i="1"/>
  <c r="Z1099" i="1"/>
  <c r="Z1098" i="1"/>
  <c r="Z1097" i="1"/>
  <c r="Z1096" i="1"/>
  <c r="Z1095" i="1"/>
  <c r="Z1094" i="1"/>
  <c r="Z1093" i="1"/>
  <c r="Z1092" i="1"/>
  <c r="Z1091" i="1"/>
  <c r="Z1090" i="1"/>
  <c r="Z1089" i="1"/>
  <c r="Z1088" i="1"/>
  <c r="Z1087" i="1"/>
  <c r="Z1086" i="1"/>
  <c r="Z1085" i="1"/>
  <c r="Z1084" i="1"/>
  <c r="Z1083" i="1"/>
  <c r="Z1082" i="1"/>
  <c r="Z1081" i="1"/>
  <c r="Z1080" i="1"/>
  <c r="Z1079" i="1"/>
  <c r="Z1078" i="1"/>
  <c r="Z1077" i="1"/>
  <c r="Z1076" i="1"/>
  <c r="Z1075" i="1"/>
  <c r="Z1074" i="1"/>
  <c r="Z1073" i="1"/>
  <c r="Z1072" i="1"/>
  <c r="Z1071" i="1"/>
  <c r="Z1070" i="1"/>
  <c r="Z1069" i="1"/>
  <c r="Z1068" i="1"/>
  <c r="Z1067" i="1"/>
  <c r="Z1066" i="1"/>
  <c r="Z1065" i="1"/>
  <c r="Z1064" i="1"/>
  <c r="Z1063" i="1"/>
  <c r="Z1062" i="1"/>
  <c r="Z1061" i="1"/>
  <c r="Z1060" i="1"/>
  <c r="Z1059" i="1"/>
  <c r="Z1058" i="1"/>
  <c r="Z1057" i="1"/>
  <c r="Z1056" i="1"/>
  <c r="Z1055" i="1"/>
  <c r="Z1054" i="1"/>
  <c r="Z1053" i="1"/>
  <c r="Z1052" i="1"/>
  <c r="Z1051" i="1"/>
  <c r="Z1050" i="1"/>
  <c r="Z1049" i="1"/>
  <c r="Z1048" i="1"/>
  <c r="Z1047" i="1"/>
  <c r="Z1046" i="1"/>
  <c r="Z1045" i="1"/>
  <c r="Z1044" i="1"/>
  <c r="Z1043" i="1"/>
  <c r="Z1042" i="1"/>
  <c r="Z1041" i="1"/>
  <c r="Z1040" i="1"/>
  <c r="Z1039" i="1"/>
  <c r="Z1038" i="1"/>
  <c r="Z1037" i="1"/>
  <c r="Z1036" i="1"/>
  <c r="Z1035" i="1"/>
  <c r="Z1034" i="1"/>
  <c r="Z1033" i="1"/>
  <c r="Z1032" i="1"/>
  <c r="Z1031" i="1"/>
  <c r="Z1030" i="1"/>
  <c r="Z1029" i="1"/>
  <c r="Z1028" i="1"/>
  <c r="Z1027" i="1"/>
  <c r="Z1026" i="1"/>
  <c r="Z1025" i="1"/>
  <c r="Z1024" i="1"/>
  <c r="Z1023" i="1"/>
  <c r="Z1022" i="1"/>
  <c r="Z1021" i="1"/>
  <c r="Z1020" i="1"/>
  <c r="Z1019" i="1"/>
  <c r="Z1018" i="1"/>
  <c r="Z1017" i="1"/>
  <c r="Z1016" i="1"/>
  <c r="Z1015" i="1"/>
  <c r="Z1014" i="1"/>
  <c r="Z1013" i="1"/>
  <c r="Z1012" i="1"/>
  <c r="Z1011" i="1"/>
  <c r="Z1010" i="1"/>
  <c r="Z1009" i="1"/>
  <c r="Z1008" i="1"/>
  <c r="Z1007" i="1"/>
  <c r="Z1006" i="1"/>
  <c r="Z1005" i="1"/>
  <c r="Z1004" i="1"/>
  <c r="Z1003" i="1"/>
  <c r="Z1002" i="1"/>
  <c r="Z1001" i="1"/>
  <c r="Z1000" i="1"/>
  <c r="Z999" i="1"/>
  <c r="Z998" i="1"/>
  <c r="Z997" i="1"/>
  <c r="Z996" i="1"/>
  <c r="Z995" i="1"/>
  <c r="Z994" i="1"/>
  <c r="Z993" i="1"/>
  <c r="Z992" i="1"/>
  <c r="Z991" i="1"/>
  <c r="Z990" i="1"/>
  <c r="Z989" i="1"/>
  <c r="Z988" i="1"/>
  <c r="Z987" i="1"/>
  <c r="Z986" i="1"/>
  <c r="Z985" i="1"/>
  <c r="Z984" i="1"/>
  <c r="Z983" i="1"/>
  <c r="Z982" i="1"/>
  <c r="Z981" i="1"/>
  <c r="Z980" i="1"/>
  <c r="Z979" i="1"/>
  <c r="Z978" i="1"/>
  <c r="Z977" i="1"/>
  <c r="Z976" i="1"/>
  <c r="Z975" i="1"/>
  <c r="Z974" i="1"/>
  <c r="Z973" i="1"/>
  <c r="Z972" i="1"/>
  <c r="Z971" i="1"/>
  <c r="Z970" i="1"/>
  <c r="Z969" i="1"/>
  <c r="Z968" i="1"/>
  <c r="Z967" i="1"/>
  <c r="Z966" i="1"/>
  <c r="Z965" i="1"/>
  <c r="Z964" i="1"/>
  <c r="Z963" i="1"/>
  <c r="Z962" i="1"/>
  <c r="Z961" i="1"/>
  <c r="Z960" i="1"/>
  <c r="Z959" i="1"/>
  <c r="Z958" i="1"/>
  <c r="Z957" i="1"/>
  <c r="Z956" i="1"/>
  <c r="Z955" i="1"/>
  <c r="Z954" i="1"/>
  <c r="Z953" i="1"/>
  <c r="Z952" i="1"/>
  <c r="Z951" i="1"/>
  <c r="Z950" i="1"/>
  <c r="Z949" i="1"/>
  <c r="Z948" i="1"/>
  <c r="Z947" i="1"/>
  <c r="Z946" i="1"/>
  <c r="Z945" i="1"/>
  <c r="Z944" i="1"/>
  <c r="Z943" i="1"/>
  <c r="Z942" i="1"/>
  <c r="Z941" i="1"/>
  <c r="Z940" i="1"/>
  <c r="Z939" i="1"/>
  <c r="Z938" i="1"/>
  <c r="Z937" i="1"/>
  <c r="Z936" i="1"/>
  <c r="Z935" i="1"/>
  <c r="Z934" i="1"/>
  <c r="Z933" i="1"/>
  <c r="Z932" i="1"/>
  <c r="Z931" i="1"/>
  <c r="Z930" i="1"/>
  <c r="Z929" i="1"/>
  <c r="Z928" i="1"/>
  <c r="Z927" i="1"/>
  <c r="Z926" i="1"/>
  <c r="Z925" i="1"/>
  <c r="Z924" i="1"/>
  <c r="Z923" i="1"/>
  <c r="Z922" i="1"/>
  <c r="Z921" i="1"/>
  <c r="Z920" i="1"/>
  <c r="Z919" i="1"/>
  <c r="Z918" i="1"/>
  <c r="Z917" i="1"/>
  <c r="Z916" i="1"/>
  <c r="Z915" i="1"/>
  <c r="Z914" i="1"/>
  <c r="Z913" i="1"/>
  <c r="Z912" i="1"/>
  <c r="Z911" i="1"/>
  <c r="Z910" i="1"/>
  <c r="Z909" i="1"/>
  <c r="Z908" i="1"/>
  <c r="Z907" i="1"/>
  <c r="Z906" i="1"/>
  <c r="Z905" i="1"/>
  <c r="Z904" i="1"/>
  <c r="Z903" i="1"/>
  <c r="Z902" i="1"/>
  <c r="Z901" i="1"/>
  <c r="Z900" i="1"/>
  <c r="Z899" i="1"/>
  <c r="Z898" i="1"/>
  <c r="Z897" i="1"/>
  <c r="Z896" i="1"/>
  <c r="Z895" i="1"/>
  <c r="Z894" i="1"/>
  <c r="Z893" i="1"/>
  <c r="Z892" i="1"/>
  <c r="Z891" i="1"/>
  <c r="Z890" i="1"/>
  <c r="Z889" i="1"/>
  <c r="Z888" i="1"/>
  <c r="Z887" i="1"/>
  <c r="Z886" i="1"/>
  <c r="Z885" i="1"/>
  <c r="Z884" i="1"/>
  <c r="Z883" i="1"/>
  <c r="Z882" i="1"/>
  <c r="Z881" i="1"/>
  <c r="Z880" i="1"/>
  <c r="Z879" i="1"/>
  <c r="Z878" i="1"/>
  <c r="Z877" i="1"/>
  <c r="Z876" i="1"/>
  <c r="Z875" i="1"/>
  <c r="Z874" i="1"/>
  <c r="Z873" i="1"/>
  <c r="Z872" i="1"/>
  <c r="Z871" i="1"/>
  <c r="Z870" i="1"/>
  <c r="Z869" i="1"/>
  <c r="Z868" i="1"/>
  <c r="Z867" i="1"/>
  <c r="Z866" i="1"/>
  <c r="Z865" i="1"/>
  <c r="Z864" i="1"/>
  <c r="Z863" i="1"/>
  <c r="Z862" i="1"/>
  <c r="Z861" i="1"/>
  <c r="Z860" i="1"/>
  <c r="Z859" i="1"/>
  <c r="Z858" i="1"/>
  <c r="Z857" i="1"/>
  <c r="Z856" i="1"/>
  <c r="Z855" i="1"/>
  <c r="Z854" i="1"/>
  <c r="Z853" i="1"/>
  <c r="Z852" i="1"/>
  <c r="Z851" i="1"/>
  <c r="Z850" i="1"/>
  <c r="Z849" i="1"/>
  <c r="Z848" i="1"/>
  <c r="Z847" i="1"/>
  <c r="Z846" i="1"/>
  <c r="Z845" i="1"/>
  <c r="Z844" i="1"/>
  <c r="Z843" i="1"/>
  <c r="Z842" i="1"/>
  <c r="Z841" i="1"/>
  <c r="Z840" i="1"/>
  <c r="Z839" i="1"/>
  <c r="Z838" i="1"/>
  <c r="Z837" i="1"/>
  <c r="Z836" i="1"/>
  <c r="Z835" i="1"/>
  <c r="Z834" i="1"/>
  <c r="Z833" i="1"/>
  <c r="Z832" i="1"/>
  <c r="Z831" i="1"/>
  <c r="Z830" i="1"/>
  <c r="Z829" i="1"/>
  <c r="Z828" i="1"/>
  <c r="Z827" i="1"/>
  <c r="Z826" i="1"/>
  <c r="Z825" i="1"/>
  <c r="Z824" i="1"/>
  <c r="Z823" i="1"/>
  <c r="Z822" i="1"/>
  <c r="Z821" i="1"/>
  <c r="Z820" i="1"/>
  <c r="Z819" i="1"/>
  <c r="Z818" i="1"/>
  <c r="Z817" i="1"/>
  <c r="Z816" i="1"/>
  <c r="Z815" i="1"/>
  <c r="Z814" i="1"/>
  <c r="Z813" i="1"/>
  <c r="Z812" i="1"/>
  <c r="Z811" i="1"/>
  <c r="Z810" i="1"/>
  <c r="Z809" i="1"/>
  <c r="Z808" i="1"/>
  <c r="Z807" i="1"/>
  <c r="Z806" i="1"/>
  <c r="Z805" i="1"/>
  <c r="Z804" i="1"/>
  <c r="Z803" i="1"/>
  <c r="Z802" i="1"/>
  <c r="Z801" i="1"/>
  <c r="Z800" i="1"/>
  <c r="Z799" i="1"/>
  <c r="Z798" i="1"/>
  <c r="Z797" i="1"/>
  <c r="Z796" i="1"/>
  <c r="Z795" i="1"/>
  <c r="Z794" i="1"/>
  <c r="Z793" i="1"/>
  <c r="Z792" i="1"/>
  <c r="Z791" i="1"/>
  <c r="Z790" i="1"/>
  <c r="Z789" i="1"/>
  <c r="Z788" i="1"/>
  <c r="Z787" i="1"/>
  <c r="Z786" i="1"/>
  <c r="Z785" i="1"/>
  <c r="Z784" i="1"/>
  <c r="Z783" i="1"/>
  <c r="Z782" i="1"/>
  <c r="Z781" i="1"/>
  <c r="Z780" i="1"/>
  <c r="Z779" i="1"/>
  <c r="Z778" i="1"/>
  <c r="Z777" i="1"/>
  <c r="Z776" i="1"/>
  <c r="Z775" i="1"/>
  <c r="Z774" i="1"/>
  <c r="Z773" i="1"/>
  <c r="Z772" i="1"/>
  <c r="Z771" i="1"/>
  <c r="Z770" i="1"/>
  <c r="Z769" i="1"/>
  <c r="Z768" i="1"/>
  <c r="Z767" i="1"/>
  <c r="Z766" i="1"/>
  <c r="Z765" i="1"/>
  <c r="Z764" i="1"/>
  <c r="Z763" i="1"/>
  <c r="Z762" i="1"/>
  <c r="Z761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AA499" i="1" l="1"/>
  <c r="AA495" i="1"/>
  <c r="AA435" i="1"/>
  <c r="AA431" i="1"/>
  <c r="AA491" i="1"/>
  <c r="AA427" i="1"/>
  <c r="AA547" i="1"/>
  <c r="AA483" i="1"/>
  <c r="AA419" i="1"/>
  <c r="AA531" i="1"/>
  <c r="AA467" i="1"/>
  <c r="AA403" i="1"/>
  <c r="AA527" i="1"/>
  <c r="AA463" i="1"/>
  <c r="AA399" i="1"/>
  <c r="AA523" i="1"/>
  <c r="AA459" i="1"/>
  <c r="AA367" i="1"/>
  <c r="AA515" i="1"/>
  <c r="AA451" i="1"/>
  <c r="AA355" i="1"/>
  <c r="AA395" i="1"/>
  <c r="AA387" i="1"/>
  <c r="AA371" i="1"/>
  <c r="AA363" i="1"/>
  <c r="AA339" i="1"/>
  <c r="AA335" i="1"/>
  <c r="AA331" i="1"/>
  <c r="AA323" i="1"/>
  <c r="AA223" i="1"/>
  <c r="AA303" i="1"/>
  <c r="AA299" i="1"/>
  <c r="AA291" i="1"/>
  <c r="AA239" i="1"/>
  <c r="AA271" i="1"/>
  <c r="AA267" i="1"/>
  <c r="AA259" i="1"/>
  <c r="AA235" i="1"/>
  <c r="AA551" i="1"/>
  <c r="AA519" i="1"/>
  <c r="AA487" i="1"/>
  <c r="AA455" i="1"/>
  <c r="AA423" i="1"/>
  <c r="AA391" i="1"/>
  <c r="AA359" i="1"/>
  <c r="AA327" i="1"/>
  <c r="AA295" i="1"/>
  <c r="AA263" i="1"/>
  <c r="AA231" i="1"/>
  <c r="AA543" i="1"/>
  <c r="AA511" i="1"/>
  <c r="AA479" i="1"/>
  <c r="AA447" i="1"/>
  <c r="AA415" i="1"/>
  <c r="AA383" i="1"/>
  <c r="AA351" i="1"/>
  <c r="AA319" i="1"/>
  <c r="AA287" i="1"/>
  <c r="AA255" i="1"/>
  <c r="AA215" i="1"/>
  <c r="AA539" i="1"/>
  <c r="AA507" i="1"/>
  <c r="AA475" i="1"/>
  <c r="AA443" i="1"/>
  <c r="AA411" i="1"/>
  <c r="AA379" i="1"/>
  <c r="AA347" i="1"/>
  <c r="AA315" i="1"/>
  <c r="AA283" i="1"/>
  <c r="AA251" i="1"/>
  <c r="AA207" i="1"/>
  <c r="AA535" i="1"/>
  <c r="AA503" i="1"/>
  <c r="AA471" i="1"/>
  <c r="AA439" i="1"/>
  <c r="AA407" i="1"/>
  <c r="AA375" i="1"/>
  <c r="AA343" i="1"/>
  <c r="AA311" i="1"/>
  <c r="AA279" i="1"/>
  <c r="AA247" i="1"/>
  <c r="AA199" i="1"/>
  <c r="AA307" i="1"/>
  <c r="AA275" i="1"/>
  <c r="AA243" i="1"/>
  <c r="AA191" i="1"/>
  <c r="AA554" i="1"/>
  <c r="AA546" i="1"/>
  <c r="AA538" i="1"/>
  <c r="AA530" i="1"/>
  <c r="AA522" i="1"/>
  <c r="AA514" i="1"/>
  <c r="AA506" i="1"/>
  <c r="AA498" i="1"/>
  <c r="AA490" i="1"/>
  <c r="AA482" i="1"/>
  <c r="AA474" i="1"/>
  <c r="AA466" i="1"/>
  <c r="AA458" i="1"/>
  <c r="AA450" i="1"/>
  <c r="AA442" i="1"/>
  <c r="AA434" i="1"/>
  <c r="AA426" i="1"/>
  <c r="AA418" i="1"/>
  <c r="AA410" i="1"/>
  <c r="AA402" i="1"/>
  <c r="AA394" i="1"/>
  <c r="AA386" i="1"/>
  <c r="AA378" i="1"/>
  <c r="AA370" i="1"/>
  <c r="AA362" i="1"/>
  <c r="AA354" i="1"/>
  <c r="AA346" i="1"/>
  <c r="AA338" i="1"/>
  <c r="AA330" i="1"/>
  <c r="AA322" i="1"/>
  <c r="AA314" i="1"/>
  <c r="AA306" i="1"/>
  <c r="AA298" i="1"/>
  <c r="AA290" i="1"/>
  <c r="AA282" i="1"/>
  <c r="AA274" i="1"/>
  <c r="AA266" i="1"/>
  <c r="AA258" i="1"/>
  <c r="AA250" i="1"/>
  <c r="AA242" i="1"/>
  <c r="AA234" i="1"/>
  <c r="AA226" i="1"/>
  <c r="AA218" i="1"/>
  <c r="AA210" i="1"/>
  <c r="AA202" i="1"/>
  <c r="AA194" i="1"/>
  <c r="AA186" i="1"/>
  <c r="AA178" i="1"/>
  <c r="AA170" i="1"/>
  <c r="AA162" i="1"/>
  <c r="AA154" i="1"/>
  <c r="AA146" i="1"/>
  <c r="AA138" i="1"/>
  <c r="AA130" i="1"/>
  <c r="AA122" i="1"/>
  <c r="AA114" i="1"/>
  <c r="AA106" i="1"/>
  <c r="AA98" i="1"/>
  <c r="AA90" i="1"/>
  <c r="AA82" i="1"/>
  <c r="AA74" i="1"/>
  <c r="AA66" i="1"/>
  <c r="AA58" i="1"/>
  <c r="AA50" i="1"/>
  <c r="AA42" i="1"/>
  <c r="AA34" i="1"/>
  <c r="AA26" i="1"/>
  <c r="AA219" i="1"/>
  <c r="AA203" i="1"/>
  <c r="AA171" i="1"/>
  <c r="AA155" i="1"/>
  <c r="AA139" i="1"/>
  <c r="AA131" i="1"/>
  <c r="AA115" i="1"/>
  <c r="AA99" i="1"/>
  <c r="AA83" i="1"/>
  <c r="AA67" i="1"/>
  <c r="AA51" i="1"/>
  <c r="AA43" i="1"/>
  <c r="AA27" i="1"/>
  <c r="AA553" i="1"/>
  <c r="AA545" i="1"/>
  <c r="AA537" i="1"/>
  <c r="AA529" i="1"/>
  <c r="AA521" i="1"/>
  <c r="AA513" i="1"/>
  <c r="AA505" i="1"/>
  <c r="AA497" i="1"/>
  <c r="AA489" i="1"/>
  <c r="AA481" i="1"/>
  <c r="AA473" i="1"/>
  <c r="AA465" i="1"/>
  <c r="AA457" i="1"/>
  <c r="AA449" i="1"/>
  <c r="AA441" i="1"/>
  <c r="AA433" i="1"/>
  <c r="AA425" i="1"/>
  <c r="AA417" i="1"/>
  <c r="AA409" i="1"/>
  <c r="AA401" i="1"/>
  <c r="AA393" i="1"/>
  <c r="AA385" i="1"/>
  <c r="AA377" i="1"/>
  <c r="AA369" i="1"/>
  <c r="AA361" i="1"/>
  <c r="AA353" i="1"/>
  <c r="AA345" i="1"/>
  <c r="AA337" i="1"/>
  <c r="AA329" i="1"/>
  <c r="AA321" i="1"/>
  <c r="AA313" i="1"/>
  <c r="AA305" i="1"/>
  <c r="AA297" i="1"/>
  <c r="AA289" i="1"/>
  <c r="AA281" i="1"/>
  <c r="AA273" i="1"/>
  <c r="AA265" i="1"/>
  <c r="AA257" i="1"/>
  <c r="AA249" i="1"/>
  <c r="AA241" i="1"/>
  <c r="AA233" i="1"/>
  <c r="AA225" i="1"/>
  <c r="AA217" i="1"/>
  <c r="AA209" i="1"/>
  <c r="AA201" i="1"/>
  <c r="AA193" i="1"/>
  <c r="AA185" i="1"/>
  <c r="AA177" i="1"/>
  <c r="AA169" i="1"/>
  <c r="AA161" i="1"/>
  <c r="AA153" i="1"/>
  <c r="AA145" i="1"/>
  <c r="AA137" i="1"/>
  <c r="AA129" i="1"/>
  <c r="AA121" i="1"/>
  <c r="AA113" i="1"/>
  <c r="AA105" i="1"/>
  <c r="AA97" i="1"/>
  <c r="AA89" i="1"/>
  <c r="AA81" i="1"/>
  <c r="AA73" i="1"/>
  <c r="AA65" i="1"/>
  <c r="AA57" i="1"/>
  <c r="AA49" i="1"/>
  <c r="AA41" i="1"/>
  <c r="AA33" i="1"/>
  <c r="AA24" i="1"/>
  <c r="AA227" i="1"/>
  <c r="AA211" i="1"/>
  <c r="AA195" i="1"/>
  <c r="AA187" i="1"/>
  <c r="AA179" i="1"/>
  <c r="AA163" i="1"/>
  <c r="AA147" i="1"/>
  <c r="AA123" i="1"/>
  <c r="AA107" i="1"/>
  <c r="AA91" i="1"/>
  <c r="AA75" i="1"/>
  <c r="AA59" i="1"/>
  <c r="AA35" i="1"/>
  <c r="AA4" i="1"/>
  <c r="AA552" i="1"/>
  <c r="AA544" i="1"/>
  <c r="AA536" i="1"/>
  <c r="AA528" i="1"/>
  <c r="AA520" i="1"/>
  <c r="AA512" i="1"/>
  <c r="AA504" i="1"/>
  <c r="AA496" i="1"/>
  <c r="AA488" i="1"/>
  <c r="AA480" i="1"/>
  <c r="AA472" i="1"/>
  <c r="AA464" i="1"/>
  <c r="AA456" i="1"/>
  <c r="AA448" i="1"/>
  <c r="AA440" i="1"/>
  <c r="AA432" i="1"/>
  <c r="AA424" i="1"/>
  <c r="AA416" i="1"/>
  <c r="AA408" i="1"/>
  <c r="AA400" i="1"/>
  <c r="AA392" i="1"/>
  <c r="AA384" i="1"/>
  <c r="AA376" i="1"/>
  <c r="AA368" i="1"/>
  <c r="AA360" i="1"/>
  <c r="AA352" i="1"/>
  <c r="AA344" i="1"/>
  <c r="AA336" i="1"/>
  <c r="AA328" i="1"/>
  <c r="AA320" i="1"/>
  <c r="AA312" i="1"/>
  <c r="AA304" i="1"/>
  <c r="AA296" i="1"/>
  <c r="AA288" i="1"/>
  <c r="AA280" i="1"/>
  <c r="AA272" i="1"/>
  <c r="AA264" i="1"/>
  <c r="AA256" i="1"/>
  <c r="AA248" i="1"/>
  <c r="AA240" i="1"/>
  <c r="AA232" i="1"/>
  <c r="AA224" i="1"/>
  <c r="AA216" i="1"/>
  <c r="AA208" i="1"/>
  <c r="AA200" i="1"/>
  <c r="AA192" i="1"/>
  <c r="AA184" i="1"/>
  <c r="AA176" i="1"/>
  <c r="AA168" i="1"/>
  <c r="AA160" i="1"/>
  <c r="AA152" i="1"/>
  <c r="AA144" i="1"/>
  <c r="AA136" i="1"/>
  <c r="AA128" i="1"/>
  <c r="AA120" i="1"/>
  <c r="AA112" i="1"/>
  <c r="AA104" i="1"/>
  <c r="AA96" i="1"/>
  <c r="AA88" i="1"/>
  <c r="AA80" i="1"/>
  <c r="AA72" i="1"/>
  <c r="AA64" i="1"/>
  <c r="AA56" i="1"/>
  <c r="AA48" i="1"/>
  <c r="AA40" i="1"/>
  <c r="AA32" i="1"/>
  <c r="AA20" i="1"/>
  <c r="AA167" i="1"/>
  <c r="AA151" i="1"/>
  <c r="AA135" i="1"/>
  <c r="AA111" i="1"/>
  <c r="AA79" i="1"/>
  <c r="AA18" i="1"/>
  <c r="AA550" i="1"/>
  <c r="AA542" i="1"/>
  <c r="AA534" i="1"/>
  <c r="AA526" i="1"/>
  <c r="AA518" i="1"/>
  <c r="AA510" i="1"/>
  <c r="AA502" i="1"/>
  <c r="AA494" i="1"/>
  <c r="AA486" i="1"/>
  <c r="AA478" i="1"/>
  <c r="AA470" i="1"/>
  <c r="AA462" i="1"/>
  <c r="AA454" i="1"/>
  <c r="AA446" i="1"/>
  <c r="AA438" i="1"/>
  <c r="AA430" i="1"/>
  <c r="AA422" i="1"/>
  <c r="AA414" i="1"/>
  <c r="AA406" i="1"/>
  <c r="AA398" i="1"/>
  <c r="AA390" i="1"/>
  <c r="AA382" i="1"/>
  <c r="AA374" i="1"/>
  <c r="AA366" i="1"/>
  <c r="AA358" i="1"/>
  <c r="AA350" i="1"/>
  <c r="AA342" i="1"/>
  <c r="AA334" i="1"/>
  <c r="AA326" i="1"/>
  <c r="AA318" i="1"/>
  <c r="AA310" i="1"/>
  <c r="AA302" i="1"/>
  <c r="AA294" i="1"/>
  <c r="AA286" i="1"/>
  <c r="AA278" i="1"/>
  <c r="AA270" i="1"/>
  <c r="AA262" i="1"/>
  <c r="AA254" i="1"/>
  <c r="AA246" i="1"/>
  <c r="AA238" i="1"/>
  <c r="AA230" i="1"/>
  <c r="AA222" i="1"/>
  <c r="AA214" i="1"/>
  <c r="AA206" i="1"/>
  <c r="AA198" i="1"/>
  <c r="AA190" i="1"/>
  <c r="AA182" i="1"/>
  <c r="AA174" i="1"/>
  <c r="AA166" i="1"/>
  <c r="AA158" i="1"/>
  <c r="AA150" i="1"/>
  <c r="AA142" i="1"/>
  <c r="AA134" i="1"/>
  <c r="AA126" i="1"/>
  <c r="AA118" i="1"/>
  <c r="AA110" i="1"/>
  <c r="AA102" i="1"/>
  <c r="AA94" i="1"/>
  <c r="AA86" i="1"/>
  <c r="AA78" i="1"/>
  <c r="AA70" i="1"/>
  <c r="AA62" i="1"/>
  <c r="AA54" i="1"/>
  <c r="AA46" i="1"/>
  <c r="AA38" i="1"/>
  <c r="AA30" i="1"/>
  <c r="AA17" i="1"/>
  <c r="AA39" i="1"/>
  <c r="AA549" i="1"/>
  <c r="AA541" i="1"/>
  <c r="AA533" i="1"/>
  <c r="AA525" i="1"/>
  <c r="AA517" i="1"/>
  <c r="AA509" i="1"/>
  <c r="AA501" i="1"/>
  <c r="AA493" i="1"/>
  <c r="AA485" i="1"/>
  <c r="AA477" i="1"/>
  <c r="AA469" i="1"/>
  <c r="AA461" i="1"/>
  <c r="AA453" i="1"/>
  <c r="AA445" i="1"/>
  <c r="AA437" i="1"/>
  <c r="AA429" i="1"/>
  <c r="AA421" i="1"/>
  <c r="AA413" i="1"/>
  <c r="AA405" i="1"/>
  <c r="AA397" i="1"/>
  <c r="AA389" i="1"/>
  <c r="AA381" i="1"/>
  <c r="AA373" i="1"/>
  <c r="AA365" i="1"/>
  <c r="AA357" i="1"/>
  <c r="AA349" i="1"/>
  <c r="AA341" i="1"/>
  <c r="AA333" i="1"/>
  <c r="AA325" i="1"/>
  <c r="AA317" i="1"/>
  <c r="AA309" i="1"/>
  <c r="AA301" i="1"/>
  <c r="AA293" i="1"/>
  <c r="AA285" i="1"/>
  <c r="AA277" i="1"/>
  <c r="AA269" i="1"/>
  <c r="AA261" i="1"/>
  <c r="AA253" i="1"/>
  <c r="AA245" i="1"/>
  <c r="AA237" i="1"/>
  <c r="AA229" i="1"/>
  <c r="AA221" i="1"/>
  <c r="AA213" i="1"/>
  <c r="AA205" i="1"/>
  <c r="AA197" i="1"/>
  <c r="AA189" i="1"/>
  <c r="AA181" i="1"/>
  <c r="AA173" i="1"/>
  <c r="AA165" i="1"/>
  <c r="AA157" i="1"/>
  <c r="AA149" i="1"/>
  <c r="AA141" i="1"/>
  <c r="AA133" i="1"/>
  <c r="AA125" i="1"/>
  <c r="AA117" i="1"/>
  <c r="AA109" i="1"/>
  <c r="AA101" i="1"/>
  <c r="AA93" i="1"/>
  <c r="AA85" i="1"/>
  <c r="AA77" i="1"/>
  <c r="AA69" i="1"/>
  <c r="AA61" i="1"/>
  <c r="AA53" i="1"/>
  <c r="AA45" i="1"/>
  <c r="AA37" i="1"/>
  <c r="AA29" i="1"/>
  <c r="AA16" i="1"/>
  <c r="AA183" i="1"/>
  <c r="AA175" i="1"/>
  <c r="AA159" i="1"/>
  <c r="AA143" i="1"/>
  <c r="AA127" i="1"/>
  <c r="AA119" i="1"/>
  <c r="AA103" i="1"/>
  <c r="AA95" i="1"/>
  <c r="AA87" i="1"/>
  <c r="AA71" i="1"/>
  <c r="AA63" i="1"/>
  <c r="AA55" i="1"/>
  <c r="AA47" i="1"/>
  <c r="AA31" i="1"/>
  <c r="AA548" i="1"/>
  <c r="AA540" i="1"/>
  <c r="AA532" i="1"/>
  <c r="AA524" i="1"/>
  <c r="AA516" i="1"/>
  <c r="AA508" i="1"/>
  <c r="AA500" i="1"/>
  <c r="AA492" i="1"/>
  <c r="AA484" i="1"/>
  <c r="AA476" i="1"/>
  <c r="AA468" i="1"/>
  <c r="AA460" i="1"/>
  <c r="AA452" i="1"/>
  <c r="AA444" i="1"/>
  <c r="AA436" i="1"/>
  <c r="AA428" i="1"/>
  <c r="AA420" i="1"/>
  <c r="AA412" i="1"/>
  <c r="AA404" i="1"/>
  <c r="AA396" i="1"/>
  <c r="AA388" i="1"/>
  <c r="AA380" i="1"/>
  <c r="AA372" i="1"/>
  <c r="AA364" i="1"/>
  <c r="AA356" i="1"/>
  <c r="AA348" i="1"/>
  <c r="AA340" i="1"/>
  <c r="AA332" i="1"/>
  <c r="AA324" i="1"/>
  <c r="AA316" i="1"/>
  <c r="AA308" i="1"/>
  <c r="AA300" i="1"/>
  <c r="AA292" i="1"/>
  <c r="AA284" i="1"/>
  <c r="AA276" i="1"/>
  <c r="AA268" i="1"/>
  <c r="AA260" i="1"/>
  <c r="AA252" i="1"/>
  <c r="AA244" i="1"/>
  <c r="AA236" i="1"/>
  <c r="AA228" i="1"/>
  <c r="AA220" i="1"/>
  <c r="AA212" i="1"/>
  <c r="AA204" i="1"/>
  <c r="AA196" i="1"/>
  <c r="AA188" i="1"/>
  <c r="AA180" i="1"/>
  <c r="AA172" i="1"/>
  <c r="AA164" i="1"/>
  <c r="AA156" i="1"/>
  <c r="AA148" i="1"/>
  <c r="AA140" i="1"/>
  <c r="AA132" i="1"/>
  <c r="AA124" i="1"/>
  <c r="AA116" i="1"/>
  <c r="AA108" i="1"/>
  <c r="AA100" i="1"/>
  <c r="AA92" i="1"/>
  <c r="AA84" i="1"/>
  <c r="AA76" i="1"/>
  <c r="AA68" i="1"/>
  <c r="AA60" i="1"/>
  <c r="AA52" i="1"/>
  <c r="AA44" i="1"/>
  <c r="AA36" i="1"/>
  <c r="AA28" i="1"/>
  <c r="AA15" i="1"/>
  <c r="AA25" i="1"/>
  <c r="AA12" i="1"/>
  <c r="AA7" i="1"/>
  <c r="AA23" i="1"/>
  <c r="AA19" i="1"/>
  <c r="AA11" i="1"/>
  <c r="AA10" i="1"/>
  <c r="AA9" i="1"/>
  <c r="AA8" i="1"/>
  <c r="AA22" i="1"/>
  <c r="AA14" i="1"/>
  <c r="AA6" i="1"/>
  <c r="AA21" i="1"/>
  <c r="AA13" i="1"/>
</calcChain>
</file>

<file path=xl/sharedStrings.xml><?xml version="1.0" encoding="utf-8"?>
<sst xmlns="http://schemas.openxmlformats.org/spreadsheetml/2006/main" count="7794" uniqueCount="790">
  <si>
    <t>UNITS</t>
  </si>
  <si>
    <t>HOURS</t>
  </si>
  <si>
    <t>COSTS</t>
  </si>
  <si>
    <t>Phase</t>
  </si>
  <si>
    <t>Description</t>
  </si>
  <si>
    <t>Area</t>
  </si>
  <si>
    <t>Category</t>
  </si>
  <si>
    <t>Contract Item</t>
  </si>
  <si>
    <t>Cost Type</t>
  </si>
  <si>
    <t>Scope</t>
  </si>
  <si>
    <t>Budgeted</t>
  </si>
  <si>
    <t>Actual</t>
  </si>
  <si>
    <t>Projected</t>
  </si>
  <si>
    <t>Remaining</t>
  </si>
  <si>
    <t>Over/(Under)</t>
  </si>
  <si>
    <t>Project Engineer</t>
  </si>
  <si>
    <t>All Other Areas</t>
  </si>
  <si>
    <t>General Conditions Staff</t>
  </si>
  <si>
    <t>Labor</t>
  </si>
  <si>
    <t>Project Manager</t>
  </si>
  <si>
    <t>ALL</t>
  </si>
  <si>
    <t>Other Job Costs</t>
  </si>
  <si>
    <t>General Conditions</t>
  </si>
  <si>
    <t>Other</t>
  </si>
  <si>
    <t>QA/QC</t>
  </si>
  <si>
    <t>Material</t>
  </si>
  <si>
    <t>Plumbing</t>
  </si>
  <si>
    <t>Building Equipment - Piping</t>
  </si>
  <si>
    <t>Piping</t>
  </si>
  <si>
    <t>Specialties - Piping</t>
  </si>
  <si>
    <t>Valves - Piping</t>
  </si>
  <si>
    <t>Sheet Metal</t>
  </si>
  <si>
    <t>Subcontracts</t>
  </si>
  <si>
    <t>Site/Excavation</t>
  </si>
  <si>
    <t>Firestopping</t>
  </si>
  <si>
    <t>Insulation</t>
  </si>
  <si>
    <t>Seismic Engineering</t>
  </si>
  <si>
    <t>Rental Equipment</t>
  </si>
  <si>
    <t>Rental/Owned Equipment</t>
  </si>
  <si>
    <t>Small Tools - Piping</t>
  </si>
  <si>
    <t>Accrued AP</t>
  </si>
  <si>
    <t>Consumables</t>
  </si>
  <si>
    <t>Contingency</t>
  </si>
  <si>
    <t>Jobsite Facilities</t>
  </si>
  <si>
    <t>Welding &amp; Purge Gases</t>
  </si>
  <si>
    <t>General Foreman</t>
  </si>
  <si>
    <t>Detailing</t>
  </si>
  <si>
    <t>Commissioning</t>
  </si>
  <si>
    <t>Detailing Coordination</t>
  </si>
  <si>
    <t>Building Equipment</t>
  </si>
  <si>
    <t>Material Handling</t>
  </si>
  <si>
    <t>Seismic Bracing</t>
  </si>
  <si>
    <t>99.0001.    .</t>
  </si>
  <si>
    <t>Change Orders</t>
  </si>
  <si>
    <t>99.0002.    .</t>
  </si>
  <si>
    <t>Adjusted Scope</t>
  </si>
  <si>
    <t>Budgeted Amount</t>
  </si>
  <si>
    <t>Actual Amount</t>
  </si>
  <si>
    <t>Committed Amount</t>
  </si>
  <si>
    <t>Projected Amount</t>
  </si>
  <si>
    <t>Remaining Amount</t>
  </si>
  <si>
    <t>Over/(Under) Amount</t>
  </si>
  <si>
    <t>Grand Total</t>
  </si>
  <si>
    <t>Piping Total</t>
  </si>
  <si>
    <t>Plumbing Total</t>
  </si>
  <si>
    <t>Sheet Metal Total</t>
  </si>
  <si>
    <t>a</t>
  </si>
  <si>
    <t>b</t>
  </si>
  <si>
    <t>c</t>
  </si>
  <si>
    <t>INSTRUCTIONS:</t>
  </si>
  <si>
    <t>Job #,Title</t>
  </si>
  <si>
    <t>(READ INSTRUCTIONS)</t>
  </si>
  <si>
    <t>Engineering</t>
  </si>
  <si>
    <t>Fuel Oil</t>
  </si>
  <si>
    <t>Boilers - Piping</t>
  </si>
  <si>
    <t>Chillers - Piping</t>
  </si>
  <si>
    <t>Cooling Tower - Piping</t>
  </si>
  <si>
    <t>Permits</t>
  </si>
  <si>
    <t>Hot &amp; Cold Water</t>
  </si>
  <si>
    <t xml:space="preserve"> </t>
  </si>
  <si>
    <t xml:space="preserve">Budgeted </t>
  </si>
  <si>
    <t xml:space="preserve">Actual </t>
  </si>
  <si>
    <t xml:space="preserve">Projected </t>
  </si>
  <si>
    <t>Savings / (Overrun)</t>
  </si>
  <si>
    <t>Committed</t>
  </si>
  <si>
    <t xml:space="preserve"> 3971. LAX People Mover</t>
  </si>
  <si>
    <t>00.0333.    .</t>
  </si>
  <si>
    <t>Rough Material</t>
  </si>
  <si>
    <t>LAX People Mover-HVAC</t>
  </si>
  <si>
    <t>PLUM</t>
  </si>
  <si>
    <t>00.0335.    .</t>
  </si>
  <si>
    <t>No-Hub</t>
  </si>
  <si>
    <t>Gravity</t>
  </si>
  <si>
    <t>00.0336.    .</t>
  </si>
  <si>
    <t>Plastic Pipe</t>
  </si>
  <si>
    <t>Plumbing Pressure</t>
  </si>
  <si>
    <t>00.0337.    .</t>
  </si>
  <si>
    <t>Steel Pipe &amp; Fittings</t>
  </si>
  <si>
    <t>00.0338.    .</t>
  </si>
  <si>
    <t>Stainless Steel Pipe &amp; Fittings</t>
  </si>
  <si>
    <t>00.0340.    .</t>
  </si>
  <si>
    <t>Copper</t>
  </si>
  <si>
    <t>00.0345.    .</t>
  </si>
  <si>
    <t>Valves</t>
  </si>
  <si>
    <t>Specialties / Misc</t>
  </si>
  <si>
    <t>00.0346.    .</t>
  </si>
  <si>
    <t>Hangers &amp; Support</t>
  </si>
  <si>
    <t>Hangers</t>
  </si>
  <si>
    <t>00.0347.    .</t>
  </si>
  <si>
    <t>Specialties</t>
  </si>
  <si>
    <t>00.0355.    .</t>
  </si>
  <si>
    <t>Finish Material</t>
  </si>
  <si>
    <t>Finish</t>
  </si>
  <si>
    <t>00.0356.    .</t>
  </si>
  <si>
    <t>Drains &amp; Carriers</t>
  </si>
  <si>
    <t>00.0360.    .</t>
  </si>
  <si>
    <t>Pipe ID Valve Tag</t>
  </si>
  <si>
    <t>00.0410.    .</t>
  </si>
  <si>
    <t>Coring Drilling/Saw Cutting</t>
  </si>
  <si>
    <t>SUBS</t>
  </si>
  <si>
    <t>00.0410. P2A.</t>
  </si>
  <si>
    <t>Core Drilling/Saw Cutting - Plumbing</t>
  </si>
  <si>
    <t>P2A</t>
  </si>
  <si>
    <t>LAX People Mover-Plumbing</t>
  </si>
  <si>
    <t>00.0430.    .</t>
  </si>
  <si>
    <t>Equipment</t>
  </si>
  <si>
    <t>00.0445.    .</t>
  </si>
  <si>
    <t>00.0446.    .</t>
  </si>
  <si>
    <t>00.0447.    .</t>
  </si>
  <si>
    <t>00.0448.    .</t>
  </si>
  <si>
    <t>Chlorination / Cert.</t>
  </si>
  <si>
    <t>00.0451.    .</t>
  </si>
  <si>
    <t>00.0505.    .</t>
  </si>
  <si>
    <t>00.0510.    .</t>
  </si>
  <si>
    <t>00.0656.    .</t>
  </si>
  <si>
    <t>Small Tools (Over $750)</t>
  </si>
  <si>
    <t>00.0657.    .</t>
  </si>
  <si>
    <t>00.1334.    .</t>
  </si>
  <si>
    <t>Ductwork - Sheetmetal</t>
  </si>
  <si>
    <t>HVAC</t>
  </si>
  <si>
    <t>00.1344.    .</t>
  </si>
  <si>
    <t>Miscellaneous Material - Sheetmetal - Flue</t>
  </si>
  <si>
    <t>00.1346.    .</t>
  </si>
  <si>
    <t>Hangers and Supports - Sheetmetal</t>
  </si>
  <si>
    <t>00.1360.    .</t>
  </si>
  <si>
    <t>Duct ID and Tags-Sheet Metal</t>
  </si>
  <si>
    <t>00.1430.    .</t>
  </si>
  <si>
    <t>Rental Equipment - Sheetmetal</t>
  </si>
  <si>
    <t>00.1444.    .</t>
  </si>
  <si>
    <t>Testing and Balancing - Sheetmetal</t>
  </si>
  <si>
    <t>00.1446.    .</t>
  </si>
  <si>
    <t>Firestopping - Sheetmetal</t>
  </si>
  <si>
    <t>00.1447.    .</t>
  </si>
  <si>
    <t>Insulation - Sheetmetal</t>
  </si>
  <si>
    <t>00.1448.    .</t>
  </si>
  <si>
    <t>Water Treatment - Sheetmetal</t>
  </si>
  <si>
    <t>00.1451.    .</t>
  </si>
  <si>
    <t>Seismic Engineering - Sheetmetal</t>
  </si>
  <si>
    <t>00.1505.    .</t>
  </si>
  <si>
    <t>Consumables - Sheetmetal</t>
  </si>
  <si>
    <t>00.1656.    .</t>
  </si>
  <si>
    <t>Small Tools - Sheetmetal</t>
  </si>
  <si>
    <t>00.2337.    .</t>
  </si>
  <si>
    <t>Steel Pipe and Fittings - Piping</t>
  </si>
  <si>
    <t>PIPE</t>
  </si>
  <si>
    <t>00.2340.    .</t>
  </si>
  <si>
    <t>Copper Pipe, Fittings, and Couplings- Piping</t>
  </si>
  <si>
    <t>00.2341.    .</t>
  </si>
  <si>
    <t>Cleaned and Capped Copper Pipe and Fittings</t>
  </si>
  <si>
    <t>Med Gas</t>
  </si>
  <si>
    <t>00.2342.    .</t>
  </si>
  <si>
    <t>Specialty Pipe and Fittings - Piping</t>
  </si>
  <si>
    <t>00.2345.    .</t>
  </si>
  <si>
    <t>00.2346.    .</t>
  </si>
  <si>
    <t>Hangers and Supports - Piping</t>
  </si>
  <si>
    <t>00.2347.    .</t>
  </si>
  <si>
    <t>00.2360.    .</t>
  </si>
  <si>
    <t>Pipe ID and Valve Tags - Piping</t>
  </si>
  <si>
    <t>00.2430.    .</t>
  </si>
  <si>
    <t>Rental Equipment- Piping</t>
  </si>
  <si>
    <t>00.2445.    .</t>
  </si>
  <si>
    <t>Subcontracts - Piping - Crane</t>
  </si>
  <si>
    <t>00.2447.    .</t>
  </si>
  <si>
    <t>Insulation - Piping</t>
  </si>
  <si>
    <t>00.2505.    .</t>
  </si>
  <si>
    <t>Consumables - Piping</t>
  </si>
  <si>
    <t>00.2510.    .</t>
  </si>
  <si>
    <t>Welding and Purge Gases - Piping</t>
  </si>
  <si>
    <t>00.2656.    .</t>
  </si>
  <si>
    <t>01.0003.    .</t>
  </si>
  <si>
    <t>01.0004.    .</t>
  </si>
  <si>
    <t>Superintendent</t>
  </si>
  <si>
    <t>01.0005.    .</t>
  </si>
  <si>
    <t>01.0006.    .</t>
  </si>
  <si>
    <t>01.0008.    .</t>
  </si>
  <si>
    <t>Preconstruction</t>
  </si>
  <si>
    <t>01.0010.    .</t>
  </si>
  <si>
    <t>Safety Manager</t>
  </si>
  <si>
    <t>01.0013.    .</t>
  </si>
  <si>
    <t>Engineer</t>
  </si>
  <si>
    <t>01.0014.    .</t>
  </si>
  <si>
    <t>Purchasing/Expediting</t>
  </si>
  <si>
    <t>01.0015.    .</t>
  </si>
  <si>
    <t>Estimating</t>
  </si>
  <si>
    <t>01.0650.    .</t>
  </si>
  <si>
    <t>01.0651.    .</t>
  </si>
  <si>
    <t>Parking/Subsistence</t>
  </si>
  <si>
    <t>01.0652.    .</t>
  </si>
  <si>
    <t>CAD/Computers</t>
  </si>
  <si>
    <t>01.0653.    .</t>
  </si>
  <si>
    <t>Copy/Reproduction</t>
  </si>
  <si>
    <t>01.0654.    .</t>
  </si>
  <si>
    <t>Safety</t>
  </si>
  <si>
    <t>01.0655.    .</t>
  </si>
  <si>
    <t>01.0657.    .</t>
  </si>
  <si>
    <t>01.0660.    .</t>
  </si>
  <si>
    <t>Fuel</t>
  </si>
  <si>
    <t>01.0710.    .</t>
  </si>
  <si>
    <t>OCIP (Credit)</t>
  </si>
  <si>
    <t>01.0720.    .</t>
  </si>
  <si>
    <t>Bond</t>
  </si>
  <si>
    <t>01.0740.    .</t>
  </si>
  <si>
    <t>01.0810.    .</t>
  </si>
  <si>
    <t>11.0377.    .</t>
  </si>
  <si>
    <t>11.0377. MSF.</t>
  </si>
  <si>
    <t>MSF</t>
  </si>
  <si>
    <t>11.0377.CCTA.</t>
  </si>
  <si>
    <t>CCTA</t>
  </si>
  <si>
    <t>11.0377.ECTA.</t>
  </si>
  <si>
    <t>ECTA</t>
  </si>
  <si>
    <t>11.0377.EITF.</t>
  </si>
  <si>
    <t>EITF</t>
  </si>
  <si>
    <t>11.0377.TPS1.</t>
  </si>
  <si>
    <t>TPS1</t>
  </si>
  <si>
    <t>11.0377.TPS3.</t>
  </si>
  <si>
    <t>TPS3</t>
  </si>
  <si>
    <t>11.0377.WCTA.</t>
  </si>
  <si>
    <t>WCTA</t>
  </si>
  <si>
    <t>11.0377.WITF.</t>
  </si>
  <si>
    <t>WITF</t>
  </si>
  <si>
    <t>11.1370. MSF.</t>
  </si>
  <si>
    <t>Building Equipment - Sheetmetal</t>
  </si>
  <si>
    <t>11.1370. P2A.</t>
  </si>
  <si>
    <t>11.1370.CCTA.</t>
  </si>
  <si>
    <t>11.1370.CRAC.</t>
  </si>
  <si>
    <t>CRAC</t>
  </si>
  <si>
    <t>11.1370.ECTA.</t>
  </si>
  <si>
    <t>11.1370.EITF.</t>
  </si>
  <si>
    <t>11.1370.TPS1.</t>
  </si>
  <si>
    <t>11.1370.TPS3.</t>
  </si>
  <si>
    <t>11.1370.WCTA.</t>
  </si>
  <si>
    <t>11.1370.WITF.</t>
  </si>
  <si>
    <t>11.1390. MSF.</t>
  </si>
  <si>
    <t>Exhaust Fans - Sheetmetal</t>
  </si>
  <si>
    <t>11.1390.CCTA.</t>
  </si>
  <si>
    <t>11.1390.CRAC.</t>
  </si>
  <si>
    <t>11.1390.ECTA.</t>
  </si>
  <si>
    <t>11.1390.EITF.</t>
  </si>
  <si>
    <t>11.1390.TPS1.</t>
  </si>
  <si>
    <t>11.1390.TPS3.</t>
  </si>
  <si>
    <t>11.1390.WCTA.</t>
  </si>
  <si>
    <t>11.1390.WITF.</t>
  </si>
  <si>
    <t>11.1391. MSF.</t>
  </si>
  <si>
    <t>Fire Smoke Dampers - Sheetmetal</t>
  </si>
  <si>
    <t>11.1391.CCTA.</t>
  </si>
  <si>
    <t>11.1391.CRAC.</t>
  </si>
  <si>
    <t>11.1391.ECTA.</t>
  </si>
  <si>
    <t>11.1391.EITF.</t>
  </si>
  <si>
    <t>11.1391.TPS1.</t>
  </si>
  <si>
    <t>11.1391.TPS3.</t>
  </si>
  <si>
    <t>11.1391.WCTA.</t>
  </si>
  <si>
    <t>11.1391.WITF.</t>
  </si>
  <si>
    <t>11.1393.    .</t>
  </si>
  <si>
    <t>Grilles, Registers and Diffusers - Sheetmetal</t>
  </si>
  <si>
    <t>11.1393. MSF.</t>
  </si>
  <si>
    <t>11.1393. P2A.</t>
  </si>
  <si>
    <t>11.1393.CCTA.</t>
  </si>
  <si>
    <t>11.1393.CRAC.</t>
  </si>
  <si>
    <t>11.1393.ECTA.</t>
  </si>
  <si>
    <t>11.1393.EITF.</t>
  </si>
  <si>
    <t>11.1393.TPS1.</t>
  </si>
  <si>
    <t>11.1393.TPS3.</t>
  </si>
  <si>
    <t>11.1393.WCTA.</t>
  </si>
  <si>
    <t>11.1393.WITF.</t>
  </si>
  <si>
    <t>11.1394. MSF.</t>
  </si>
  <si>
    <t>Mechanical Louvers - Sheetmetal</t>
  </si>
  <si>
    <t>11.1394.CCTA.</t>
  </si>
  <si>
    <t>11.1394.CRAC.</t>
  </si>
  <si>
    <t>11.1394.ECTA.</t>
  </si>
  <si>
    <t>11.1394.EITF.</t>
  </si>
  <si>
    <t>11.1394.TPS1.</t>
  </si>
  <si>
    <t>11.1394.TPS3.</t>
  </si>
  <si>
    <t>11.1394.WCTA.</t>
  </si>
  <si>
    <t>11.1394.WITF.</t>
  </si>
  <si>
    <t>11.2370. MSF.</t>
  </si>
  <si>
    <t>11.2370. P2A.</t>
  </si>
  <si>
    <t>11.2370.CCTA.</t>
  </si>
  <si>
    <t>11.2370.CRAC.</t>
  </si>
  <si>
    <t>11.2370.ECTA.</t>
  </si>
  <si>
    <t>11.2370.EITF.</t>
  </si>
  <si>
    <t>11.2370.TPS1.</t>
  </si>
  <si>
    <t>11.2370.TPS3.</t>
  </si>
  <si>
    <t>11.2370.WCTA.</t>
  </si>
  <si>
    <t>11.2370.WITF.</t>
  </si>
  <si>
    <t>11.2371. MSF.</t>
  </si>
  <si>
    <t>VFDs - Piping</t>
  </si>
  <si>
    <t>11.2371.WCTA.</t>
  </si>
  <si>
    <t>11.2372. MSF.</t>
  </si>
  <si>
    <t>Fan Coil Units w/Grilles - Piping</t>
  </si>
  <si>
    <t>11.2372. P2A.</t>
  </si>
  <si>
    <t>11.2372.CCTA.</t>
  </si>
  <si>
    <t>11.2372.CRAC.</t>
  </si>
  <si>
    <t>11.2372.ECTA.</t>
  </si>
  <si>
    <t>11.2372.EITF.</t>
  </si>
  <si>
    <t>11.2372.TPS1.</t>
  </si>
  <si>
    <t>11.2372.TPS3.</t>
  </si>
  <si>
    <t>11.2372.WCTA.</t>
  </si>
  <si>
    <t>11.2372.WITF.</t>
  </si>
  <si>
    <t>11.2374. MSF.</t>
  </si>
  <si>
    <t>Air Handler Units - Piping</t>
  </si>
  <si>
    <t>11.2374.WCTA.</t>
  </si>
  <si>
    <t>11.2376. MSF.</t>
  </si>
  <si>
    <t>11.2376.WCTA.</t>
  </si>
  <si>
    <t>11.2380. MSF.</t>
  </si>
  <si>
    <t>11.2385. MSF.</t>
  </si>
  <si>
    <t>11.2387. MSF.</t>
  </si>
  <si>
    <t>VAV Boxes/Terminal Units - Piping</t>
  </si>
  <si>
    <t>20.0001.    .</t>
  </si>
  <si>
    <t>Supervision - Fuel Oil</t>
  </si>
  <si>
    <t>FUEL</t>
  </si>
  <si>
    <t>20.1400.    .</t>
  </si>
  <si>
    <t>Piping (A/G) - Fuel Oil</t>
  </si>
  <si>
    <t>20.2750.    .</t>
  </si>
  <si>
    <t>Commissioning - Fuel Oil</t>
  </si>
  <si>
    <t>22.0001.    .</t>
  </si>
  <si>
    <t>Field Supervision</t>
  </si>
  <si>
    <t>22.0002.    .</t>
  </si>
  <si>
    <t>Superintendent (Plumbing)</t>
  </si>
  <si>
    <t>22.0050.    .</t>
  </si>
  <si>
    <t>Detailing Plumbing</t>
  </si>
  <si>
    <t>DETAILING</t>
  </si>
  <si>
    <t>22.0050. MSF.</t>
  </si>
  <si>
    <t>Detailing 3D/BIM - Plumbing</t>
  </si>
  <si>
    <t>22.0050. P2A.</t>
  </si>
  <si>
    <t>22.0050.CCTA.</t>
  </si>
  <si>
    <t>22.0050.ECTA.</t>
  </si>
  <si>
    <t>22.0050.EITF.</t>
  </si>
  <si>
    <t>22.0050.TPS1.</t>
  </si>
  <si>
    <t>22.0050.TPS3.</t>
  </si>
  <si>
    <t>22.0050.WCTA.</t>
  </si>
  <si>
    <t>22.0050.WITF.</t>
  </si>
  <si>
    <t>22.0051.    .</t>
  </si>
  <si>
    <t>Detailing Plumbing Spooling</t>
  </si>
  <si>
    <t>22.0051. MSF.</t>
  </si>
  <si>
    <t>Detailing Spooling - Plumbing</t>
  </si>
  <si>
    <t>22.0051. P2A.</t>
  </si>
  <si>
    <t>22.0051.CCTA.</t>
  </si>
  <si>
    <t>22.0051.ECTA.</t>
  </si>
  <si>
    <t>22.0051.EITF.</t>
  </si>
  <si>
    <t>22.0051.TPS1.</t>
  </si>
  <si>
    <t>22.0051.TPS3.</t>
  </si>
  <si>
    <t>22.0051.WCTA.</t>
  </si>
  <si>
    <t>22.0051.WITF.</t>
  </si>
  <si>
    <t>22.0056. MSF.</t>
  </si>
  <si>
    <t>22.0056. P2A.</t>
  </si>
  <si>
    <t>22.0056.CCTA.</t>
  </si>
  <si>
    <t>22.0056.ECTA.</t>
  </si>
  <si>
    <t>22.0056.EITF.</t>
  </si>
  <si>
    <t>22.0056.TPS1.</t>
  </si>
  <si>
    <t>22.0056.TPS3.</t>
  </si>
  <si>
    <t>22.0056.WCTA.</t>
  </si>
  <si>
    <t>22.0056.WITF.</t>
  </si>
  <si>
    <t>22.0060.  10.</t>
  </si>
  <si>
    <t>22.0060. MSF.</t>
  </si>
  <si>
    <t>Finish - Plumbing</t>
  </si>
  <si>
    <t>22.0060. P2A.</t>
  </si>
  <si>
    <t>22.0060.CCTA.</t>
  </si>
  <si>
    <t>22.0060.ECTA.</t>
  </si>
  <si>
    <t>22.0060.EITF.</t>
  </si>
  <si>
    <t>22.0060.TPS1.</t>
  </si>
  <si>
    <t>22.0060.TPS3.</t>
  </si>
  <si>
    <t>22.0060.WCTA.</t>
  </si>
  <si>
    <t>22.0060.WITF.</t>
  </si>
  <si>
    <t>22.0075.   5.</t>
  </si>
  <si>
    <t>Waste &amp; Vent (U/G)</t>
  </si>
  <si>
    <t>UG</t>
  </si>
  <si>
    <t>Underground</t>
  </si>
  <si>
    <t>22.0075. MSF.</t>
  </si>
  <si>
    <t>Waste &amp; Vent (B/G) - Plumbing</t>
  </si>
  <si>
    <t>22.0075.CCTA.</t>
  </si>
  <si>
    <t>22.0075.ECTA.</t>
  </si>
  <si>
    <t>22.0075.EITF.</t>
  </si>
  <si>
    <t>22.0075.TPS1.</t>
  </si>
  <si>
    <t>22.0075.TPS3.</t>
  </si>
  <si>
    <t>22.0075.WCTA.</t>
  </si>
  <si>
    <t>Waste and Vent (B/G) - Plumbing</t>
  </si>
  <si>
    <t>22.0075.WITF.</t>
  </si>
  <si>
    <t>22.0080.  10.</t>
  </si>
  <si>
    <t>Waste &amp; Vent (A/G)</t>
  </si>
  <si>
    <t>22.0080. MSF.</t>
  </si>
  <si>
    <t>Waste &amp; Vent (A/G) - Plumbing</t>
  </si>
  <si>
    <t>22.0080.CCTA.</t>
  </si>
  <si>
    <t>22.0080.ECTA.</t>
  </si>
  <si>
    <t>22.0080.EITF.</t>
  </si>
  <si>
    <t>22.0080.TPS1.</t>
  </si>
  <si>
    <t>22.0080.TPS3.</t>
  </si>
  <si>
    <t>22.0080.WCTA.</t>
  </si>
  <si>
    <t>Waste and Vent (A/G) - Plumbing</t>
  </si>
  <si>
    <t>22.0080.WITF.</t>
  </si>
  <si>
    <t>22.1000. MSF.</t>
  </si>
  <si>
    <t>Hot and Cold Water (A/G) - Plumbing</t>
  </si>
  <si>
    <t>22.1000. P2A.</t>
  </si>
  <si>
    <t>22.1000.CCTA.</t>
  </si>
  <si>
    <t>22.1000.ECTA.</t>
  </si>
  <si>
    <t>22.1000.EITF.</t>
  </si>
  <si>
    <t>22.1000.TPS1.</t>
  </si>
  <si>
    <t>22.1000.TPS3.</t>
  </si>
  <si>
    <t>22.1000.WCTA.</t>
  </si>
  <si>
    <t>22.1000.WITF.</t>
  </si>
  <si>
    <t>22.1020.  10.</t>
  </si>
  <si>
    <t>22.1020. MSF.</t>
  </si>
  <si>
    <t>Hot and Cold Water (B/G) - Plumbing</t>
  </si>
  <si>
    <t>22.1020.WCTA.</t>
  </si>
  <si>
    <t>22.1020.WITF.</t>
  </si>
  <si>
    <t>22.1050.   5.</t>
  </si>
  <si>
    <t>RD &amp; SD (U/G)</t>
  </si>
  <si>
    <t>22.1050. MSF.</t>
  </si>
  <si>
    <t>RD and SD (B/G) - Plumbing</t>
  </si>
  <si>
    <t>22.1050. P2A.</t>
  </si>
  <si>
    <t>22.1050.CCTA.</t>
  </si>
  <si>
    <t>22.1050.ECTA.</t>
  </si>
  <si>
    <t>22.1050.EITF.</t>
  </si>
  <si>
    <t>22.1050.TPS1.</t>
  </si>
  <si>
    <t>22.1050.TPS3.</t>
  </si>
  <si>
    <t>22.1050.WCTA.</t>
  </si>
  <si>
    <t>22.1050.WITF.</t>
  </si>
  <si>
    <t>22.1100.  10.</t>
  </si>
  <si>
    <t>RD &amp; SD (A/G)</t>
  </si>
  <si>
    <t>22.1100. MSF.</t>
  </si>
  <si>
    <t>RD and SD (A/G) - Plumbing</t>
  </si>
  <si>
    <t>22.1100. P2A.</t>
  </si>
  <si>
    <t>22.1100.CCTA.</t>
  </si>
  <si>
    <t>22.1100.ECTA.</t>
  </si>
  <si>
    <t>22.1100.EITF.</t>
  </si>
  <si>
    <t>22.1100.TPS1.</t>
  </si>
  <si>
    <t>22.1100.TPS3.</t>
  </si>
  <si>
    <t>22.1100.WCTA.</t>
  </si>
  <si>
    <t>22.1100.WITF.</t>
  </si>
  <si>
    <t>22.1250. MSF.</t>
  </si>
  <si>
    <t>Natural Gas (B/G) - Plumbing</t>
  </si>
  <si>
    <t>Gas</t>
  </si>
  <si>
    <t>22.1300.  10.</t>
  </si>
  <si>
    <t>22.1300. MSF.</t>
  </si>
  <si>
    <t>Natural Gas (A/G) - Plumbing</t>
  </si>
  <si>
    <t>22.1300.WCTA.</t>
  </si>
  <si>
    <t>Natural Gas - Plumbing</t>
  </si>
  <si>
    <t>22.1700. MSF.</t>
  </si>
  <si>
    <t>Industrial Water - Plumbing</t>
  </si>
  <si>
    <t>22.1800.  10.</t>
  </si>
  <si>
    <t>Condensate Drains</t>
  </si>
  <si>
    <t>Condensate</t>
  </si>
  <si>
    <t>22.1800. MSF.</t>
  </si>
  <si>
    <t>Condensate - Plumbing</t>
  </si>
  <si>
    <t>22.1800.CCTA.</t>
  </si>
  <si>
    <t>22.1800.CRAC.</t>
  </si>
  <si>
    <t>Condensate/Indirect Waste - Plumbing</t>
  </si>
  <si>
    <t>22.1800.ECTA.</t>
  </si>
  <si>
    <t>22.1800.EITF.</t>
  </si>
  <si>
    <t>22.1800.TPS1.</t>
  </si>
  <si>
    <t>22.1800.WCTA.</t>
  </si>
  <si>
    <t>22.1800.WITF.</t>
  </si>
  <si>
    <t>22.1950. MSF.</t>
  </si>
  <si>
    <t>Compressed Air (B/G) - Plumbing</t>
  </si>
  <si>
    <t>22.2000.   5.</t>
  </si>
  <si>
    <t>Compressed Air (UG)</t>
  </si>
  <si>
    <t>22.2000.  10.</t>
  </si>
  <si>
    <t>Compressed Air</t>
  </si>
  <si>
    <t>22.2000. MSF.</t>
  </si>
  <si>
    <t>Compressed Air (A/G) - Plumbing</t>
  </si>
  <si>
    <t>22.2200.  10.</t>
  </si>
  <si>
    <t>22.2200. MSF.</t>
  </si>
  <si>
    <t>Hangers and Supports - Plumbing</t>
  </si>
  <si>
    <t>22.2200. P2A.</t>
  </si>
  <si>
    <t>22.2200.CCTA.</t>
  </si>
  <si>
    <t>22.2200.CRAC.</t>
  </si>
  <si>
    <t>22.2200.ECTA.</t>
  </si>
  <si>
    <t>22.2200.EITF.</t>
  </si>
  <si>
    <t>22.2200.TPS1.</t>
  </si>
  <si>
    <t>22.2200.TPS3.</t>
  </si>
  <si>
    <t>22.2200.WCTA.</t>
  </si>
  <si>
    <t>22.2200.WITF.</t>
  </si>
  <si>
    <t>22.2300.   5.</t>
  </si>
  <si>
    <t>Sleeve, Insert, Layout (UG)</t>
  </si>
  <si>
    <t>Sleeve, Insert, Layout</t>
  </si>
  <si>
    <t>22.2300.  10.</t>
  </si>
  <si>
    <t>22.2300. MSF.</t>
  </si>
  <si>
    <t>Sleeve, Inserts, and Layout - Plumbing</t>
  </si>
  <si>
    <t>22.2300.CCTA.</t>
  </si>
  <si>
    <t>22.2300.ECTA.</t>
  </si>
  <si>
    <t>22.2300.EITF.</t>
  </si>
  <si>
    <t>22.2300.TPS1.</t>
  </si>
  <si>
    <t>22.2300.TPS3.</t>
  </si>
  <si>
    <t>22.2300.WCTA.</t>
  </si>
  <si>
    <t>Sleeves, Inserts, and Layout - Plumbing</t>
  </si>
  <si>
    <t>22.2300.WITF.</t>
  </si>
  <si>
    <t>22.2400. MSF.</t>
  </si>
  <si>
    <t>Seismic</t>
  </si>
  <si>
    <t>22.2400. P2A.</t>
  </si>
  <si>
    <t>22.2400.CCTA.</t>
  </si>
  <si>
    <t>22.2400.ECTA.</t>
  </si>
  <si>
    <t>22.2400.EITF.</t>
  </si>
  <si>
    <t>22.2400.TPS1.</t>
  </si>
  <si>
    <t>22.2400.TPS3.</t>
  </si>
  <si>
    <t>22.2400.WCTA.</t>
  </si>
  <si>
    <t>22.2400.WITF.</t>
  </si>
  <si>
    <t>22.2600.    .</t>
  </si>
  <si>
    <t>22.2700.    .</t>
  </si>
  <si>
    <t>Pipe ID &amp; Valve tags</t>
  </si>
  <si>
    <t>22.2750.    .</t>
  </si>
  <si>
    <t xml:space="preserve">22.2800.    .  </t>
  </si>
  <si>
    <t>Punch List - Plumbing</t>
  </si>
  <si>
    <t>22.2810. MSF.</t>
  </si>
  <si>
    <t>Oil Waste UG - Plumbing</t>
  </si>
  <si>
    <t>Project Specific</t>
  </si>
  <si>
    <t>22.2900.    .</t>
  </si>
  <si>
    <t>Misc. Labor</t>
  </si>
  <si>
    <t>22.2950.    .</t>
  </si>
  <si>
    <t>Cleanup</t>
  </si>
  <si>
    <t>23.0052.    .</t>
  </si>
  <si>
    <t>Detailing Piping</t>
  </si>
  <si>
    <t>23.0052. MSF.</t>
  </si>
  <si>
    <t>Detailing 3D/BIM - Piping</t>
  </si>
  <si>
    <t>23.0052. P2A.</t>
  </si>
  <si>
    <t>23.0052.CCTA.</t>
  </si>
  <si>
    <t>23.0052.CRAC.</t>
  </si>
  <si>
    <t>23.0052.ECTA.</t>
  </si>
  <si>
    <t>23.0052.EITF.</t>
  </si>
  <si>
    <t>23.0052.TPS1.</t>
  </si>
  <si>
    <t>23.0052.TPS3.</t>
  </si>
  <si>
    <t>23.0052.WCTA.</t>
  </si>
  <si>
    <t>23.0052.WITF.</t>
  </si>
  <si>
    <t>23.0053.    .</t>
  </si>
  <si>
    <t>Detailing Piping Spooling</t>
  </si>
  <si>
    <t>23.0053. MSF.</t>
  </si>
  <si>
    <t>Detailing Spooling - Piping</t>
  </si>
  <si>
    <t>23.0053.CCTA.</t>
  </si>
  <si>
    <t>23.0053.CRAC.</t>
  </si>
  <si>
    <t>23.0053.ECTA.</t>
  </si>
  <si>
    <t>23.0053.EITF.</t>
  </si>
  <si>
    <t>23.0053.WCTA.</t>
  </si>
  <si>
    <t>23.0053.WITF.</t>
  </si>
  <si>
    <t>23.0057. MSF.</t>
  </si>
  <si>
    <t>Detailing Coordination - Piping</t>
  </si>
  <si>
    <t>23.0057.CCTA.</t>
  </si>
  <si>
    <t>23.0057.CRAC.</t>
  </si>
  <si>
    <t>23.0057.ECTA.</t>
  </si>
  <si>
    <t>23.0057.EITF.</t>
  </si>
  <si>
    <t>23.0057.WCTA.</t>
  </si>
  <si>
    <t>23.0057.WITF.</t>
  </si>
  <si>
    <t>23.8010.    .</t>
  </si>
  <si>
    <t>General Foreman-Piping</t>
  </si>
  <si>
    <t>23.8020.    .</t>
  </si>
  <si>
    <t>Superintendent-Piping</t>
  </si>
  <si>
    <t>23.8080.    .</t>
  </si>
  <si>
    <t>Sleeves, Inserts and Layout - Piping</t>
  </si>
  <si>
    <t>23.8080.   5.</t>
  </si>
  <si>
    <t>Sleeve, Insert, Layout-Piping (UG)</t>
  </si>
  <si>
    <t>23.8120.   5.</t>
  </si>
  <si>
    <t>Hydronic Mains-Piping (UG)</t>
  </si>
  <si>
    <t>23.8160. MSF.</t>
  </si>
  <si>
    <t>HHW Indoors - Piping</t>
  </si>
  <si>
    <t>23.8160.WCTA.</t>
  </si>
  <si>
    <t>23.8170. MSF.</t>
  </si>
  <si>
    <t>CHW Indoors - Piping</t>
  </si>
  <si>
    <t>23.8170.TPS1.</t>
  </si>
  <si>
    <t>23.8170.TPS3.</t>
  </si>
  <si>
    <t>23.8400. MSF.</t>
  </si>
  <si>
    <t>Refrigeration (Risers, Shafts) - Piping</t>
  </si>
  <si>
    <t>23.8400. P2A.</t>
  </si>
  <si>
    <t>23.8400.CCTA.</t>
  </si>
  <si>
    <t>23.8400.CRAC.</t>
  </si>
  <si>
    <t>23.8400.ECTA.</t>
  </si>
  <si>
    <t>23.8400.EITF.</t>
  </si>
  <si>
    <t>23.8400.TPS1.</t>
  </si>
  <si>
    <t>23.8400.TPS3.</t>
  </si>
  <si>
    <t>23.8400.WCTA.</t>
  </si>
  <si>
    <t>23.8400.WITF.</t>
  </si>
  <si>
    <t>23.8420.   5.</t>
  </si>
  <si>
    <t>Refrigerations Mains-Piping (UG)</t>
  </si>
  <si>
    <t>23.8580. MSF.</t>
  </si>
  <si>
    <t>23.8580.CCTA.</t>
  </si>
  <si>
    <t>23.8580.CRAC.</t>
  </si>
  <si>
    <t>23.8580.ECTA.</t>
  </si>
  <si>
    <t>23.8580.EITF.</t>
  </si>
  <si>
    <t>23.8580.WCTA.</t>
  </si>
  <si>
    <t>23.8580.WITF.</t>
  </si>
  <si>
    <t>23.8600.    .</t>
  </si>
  <si>
    <t>Seismic-Piping</t>
  </si>
  <si>
    <t>23.8600. MSF.</t>
  </si>
  <si>
    <t>Seismic Bracing - Piping</t>
  </si>
  <si>
    <t>23.8600.CCTA.</t>
  </si>
  <si>
    <t>23.8600.CRAC.</t>
  </si>
  <si>
    <t>23.8600.ECTA.</t>
  </si>
  <si>
    <t>23.8600.EITF.</t>
  </si>
  <si>
    <t>23.8600.WCTA.</t>
  </si>
  <si>
    <t>23.8600.WITF.</t>
  </si>
  <si>
    <t>23.8700.    .</t>
  </si>
  <si>
    <t>Pipe ID &amp; Valve Tags-Piping</t>
  </si>
  <si>
    <t>23.8800.  10.</t>
  </si>
  <si>
    <t>Hookups/Connections-Piping</t>
  </si>
  <si>
    <t>23.8850.    .</t>
  </si>
  <si>
    <t>System Flush-Piping</t>
  </si>
  <si>
    <t>23.8850. MSF.</t>
  </si>
  <si>
    <t>System Flush and Cleaning - Piping</t>
  </si>
  <si>
    <t>23.8850.CCTA.</t>
  </si>
  <si>
    <t>23.8850.CRAC.</t>
  </si>
  <si>
    <t>23.8850.ECTA.</t>
  </si>
  <si>
    <t>23.8850.EITF.</t>
  </si>
  <si>
    <t>23.8850.WCTA.</t>
  </si>
  <si>
    <t>23.8850.WITF.</t>
  </si>
  <si>
    <t>23.8900.    .</t>
  </si>
  <si>
    <t>Pressure Testing-Piping</t>
  </si>
  <si>
    <t>23.8900. MSF.</t>
  </si>
  <si>
    <t>Pressure Testing - Piping</t>
  </si>
  <si>
    <t>23.8900.CCTA.</t>
  </si>
  <si>
    <t>23.8900.CRAC.</t>
  </si>
  <si>
    <t>23.8900.ECTA.</t>
  </si>
  <si>
    <t>23.8900.EITF.</t>
  </si>
  <si>
    <t>23.8900.WCTA.</t>
  </si>
  <si>
    <t>23.8900.WITF.</t>
  </si>
  <si>
    <t>23.8950.    .</t>
  </si>
  <si>
    <t>Commissioning-Piping</t>
  </si>
  <si>
    <t>23.8960.    .</t>
  </si>
  <si>
    <t>Cleanup-Piping</t>
  </si>
  <si>
    <t>23.8970.    .</t>
  </si>
  <si>
    <t>Punch List - Piping</t>
  </si>
  <si>
    <t>23.8980.    .</t>
  </si>
  <si>
    <t>Material Handling-Piping</t>
  </si>
  <si>
    <t>23.8990. MSF.</t>
  </si>
  <si>
    <t>Project Specific Code - Piping - Crane Pick</t>
  </si>
  <si>
    <t>23.8990.CCTA.</t>
  </si>
  <si>
    <t>23.8990.ECTA.</t>
  </si>
  <si>
    <t>23.8990.EITF.</t>
  </si>
  <si>
    <t>23.8990.TPS1.</t>
  </si>
  <si>
    <t>23.8990.TPS3.</t>
  </si>
  <si>
    <t>23.8990.WCTA.</t>
  </si>
  <si>
    <t xml:space="preserve">24.0054.    .  </t>
  </si>
  <si>
    <t>Detailing 3D/BIM - Sheetmetal</t>
  </si>
  <si>
    <t>24.0054. MSF.</t>
  </si>
  <si>
    <t>24.0054. P2A.</t>
  </si>
  <si>
    <t>24.0054.CCTA.</t>
  </si>
  <si>
    <t>24.0054.CRAC.</t>
  </si>
  <si>
    <t>24.0054.ECTA.</t>
  </si>
  <si>
    <t>24.0054.EITF.</t>
  </si>
  <si>
    <t>24.0054.TPS1.</t>
  </si>
  <si>
    <t>24.0054.TPS3.</t>
  </si>
  <si>
    <t>24.0054.WCTA.</t>
  </si>
  <si>
    <t>24.0054.WITF.</t>
  </si>
  <si>
    <t>24.9010.    .</t>
  </si>
  <si>
    <t>General Foreman - Sheetmetal</t>
  </si>
  <si>
    <t>24.9100. MSF.</t>
  </si>
  <si>
    <t>24.9100.CCTA.</t>
  </si>
  <si>
    <t>24.9100.CRAC.</t>
  </si>
  <si>
    <t>24.9100.ECTA.</t>
  </si>
  <si>
    <t>24.9100.EITF.</t>
  </si>
  <si>
    <t>24.9100.WCTA.</t>
  </si>
  <si>
    <t>24.9100.WITF.</t>
  </si>
  <si>
    <t>24.9300. MSF.</t>
  </si>
  <si>
    <t>Rectangular MP Duct - Sheetmetal</t>
  </si>
  <si>
    <t>24.9300. P2A.</t>
  </si>
  <si>
    <t>24.9300.CCTA.</t>
  </si>
  <si>
    <t>24.9300.CRAC.</t>
  </si>
  <si>
    <t>24.9300.ECTA.</t>
  </si>
  <si>
    <t>24.9300.EITF.</t>
  </si>
  <si>
    <t>24.9300.TPS1.</t>
  </si>
  <si>
    <t>24.9300.TPS3.</t>
  </si>
  <si>
    <t>24.9300.WCTA.</t>
  </si>
  <si>
    <t>24.9300.WITF.</t>
  </si>
  <si>
    <t>24.9600. MSF.</t>
  </si>
  <si>
    <t>Seismic Bracing - Sheetmetal</t>
  </si>
  <si>
    <t>24.9600.CCTA.</t>
  </si>
  <si>
    <t>24.9600.CRAC.</t>
  </si>
  <si>
    <t>24.9600.ECTA.</t>
  </si>
  <si>
    <t>24.9600.EITF.</t>
  </si>
  <si>
    <t>24.9600.WCTA.</t>
  </si>
  <si>
    <t>24.9600.WITF.</t>
  </si>
  <si>
    <t>24.9700.    .</t>
  </si>
  <si>
    <t>Duct, Damper and System ID Tags - Sheetmetal</t>
  </si>
  <si>
    <t>24.9750. MSF.</t>
  </si>
  <si>
    <t>24.9750.CCTA.</t>
  </si>
  <si>
    <t>24.9750.CRAC.</t>
  </si>
  <si>
    <t>24.9750.ECTA.</t>
  </si>
  <si>
    <t>24.9750.EITF.</t>
  </si>
  <si>
    <t>24.9750.WCTA.</t>
  </si>
  <si>
    <t>24.9750.WITF.</t>
  </si>
  <si>
    <t>24.9900. MSF.</t>
  </si>
  <si>
    <t>Pressure Testing - Sheetmetal</t>
  </si>
  <si>
    <t>24.9900.CCTA.</t>
  </si>
  <si>
    <t>24.9900.CRAC.</t>
  </si>
  <si>
    <t>24.9900.ECTA.</t>
  </si>
  <si>
    <t>24.9900.EITF.</t>
  </si>
  <si>
    <t>24.9900.WCTA.</t>
  </si>
  <si>
    <t>24.9900.WITF.</t>
  </si>
  <si>
    <t>24.9950. MSF.</t>
  </si>
  <si>
    <t>Commissioning Assistance - Sheetmetal</t>
  </si>
  <si>
    <t>24.9950.CCTA.</t>
  </si>
  <si>
    <t>24.9950.CRAC.</t>
  </si>
  <si>
    <t>24.9950.ECTA.</t>
  </si>
  <si>
    <t>24.9950.EITF.</t>
  </si>
  <si>
    <t>24.9950.TPS1.</t>
  </si>
  <si>
    <t>24.9950.TPS3.</t>
  </si>
  <si>
    <t>24.9950.WCTA.</t>
  </si>
  <si>
    <t>24.9950.WITF.</t>
  </si>
  <si>
    <t>24.9952. MSF.</t>
  </si>
  <si>
    <t>Equipment Startup - Sheetmetal</t>
  </si>
  <si>
    <t>24.9952. P2A.</t>
  </si>
  <si>
    <t>24.9952.CCTA.</t>
  </si>
  <si>
    <t>24.9952.CRAC.</t>
  </si>
  <si>
    <t>24.9952.ECTA.</t>
  </si>
  <si>
    <t>24.9952.EITF.</t>
  </si>
  <si>
    <t>24.9952.TPS1.</t>
  </si>
  <si>
    <t>24.9952.TPS3.</t>
  </si>
  <si>
    <t>24.9952.WCTA.</t>
  </si>
  <si>
    <t>24.9952.WITF.</t>
  </si>
  <si>
    <t>24.9960.    .</t>
  </si>
  <si>
    <t>Clean Up - Sheetmetal</t>
  </si>
  <si>
    <t>24.9970.    .</t>
  </si>
  <si>
    <t>Punch List - Sheetmetal</t>
  </si>
  <si>
    <t>24.9980.    .</t>
  </si>
  <si>
    <t>Material Handling - Sheetmetal</t>
  </si>
  <si>
    <t>24.9990. MSF.</t>
  </si>
  <si>
    <t>Project Specific Code - Sheetmetal - Crane Pick</t>
  </si>
  <si>
    <t>24.9990.CCTA.</t>
  </si>
  <si>
    <t>FSD Testing</t>
  </si>
  <si>
    <t>24.9990.ECTA.</t>
  </si>
  <si>
    <t>PCL Cond Drain Pans</t>
  </si>
  <si>
    <t>24.9990.EITF.</t>
  </si>
  <si>
    <t>24.9990.TPS1.</t>
  </si>
  <si>
    <t>24.9990.TPS3.</t>
  </si>
  <si>
    <t>24.9990.WCTA.</t>
  </si>
  <si>
    <t>25.0060.    .</t>
  </si>
  <si>
    <t>Finish Pre-Fab</t>
  </si>
  <si>
    <t>PRE-FAB</t>
  </si>
  <si>
    <t>Fabrication</t>
  </si>
  <si>
    <t>25.0080.    .</t>
  </si>
  <si>
    <t>Cast Iron Pre-Fab</t>
  </si>
  <si>
    <t>25.1000.    .</t>
  </si>
  <si>
    <t>Copper Pre-Fab</t>
  </si>
  <si>
    <t>25.1300.    .</t>
  </si>
  <si>
    <t>Gas Pre-Fab</t>
  </si>
  <si>
    <t>25.2200.    .</t>
  </si>
  <si>
    <t>Hangers Pre-Fab</t>
  </si>
  <si>
    <t xml:space="preserve">25.8140.    .  </t>
  </si>
  <si>
    <t>Black Sch 40 Welded - Piping - Pre Fab</t>
  </si>
  <si>
    <t>33.0070.    .</t>
  </si>
  <si>
    <t>Site Mechanical Pipe</t>
  </si>
  <si>
    <t>SITE</t>
  </si>
  <si>
    <t>33.0420.    .</t>
  </si>
  <si>
    <t>Excavation/backfill</t>
  </si>
  <si>
    <t>WCTA Civil Scope</t>
  </si>
  <si>
    <t>DCN 099</t>
  </si>
  <si>
    <t>99.0004.    .</t>
  </si>
  <si>
    <t>COVID Pay</t>
  </si>
  <si>
    <t xml:space="preserve">99.0005.    .  </t>
  </si>
  <si>
    <t>Mercury Building Change Order Work</t>
  </si>
  <si>
    <t xml:space="preserve">99.0006.    .  </t>
  </si>
  <si>
    <t>Terminal 2/P2A UG Repairs</t>
  </si>
  <si>
    <t>99.0007. P2A.</t>
  </si>
  <si>
    <t>P2A Office Change Order</t>
  </si>
  <si>
    <t>99.0008. P2A.</t>
  </si>
  <si>
    <t>P2A Plumbing Revisions</t>
  </si>
  <si>
    <t>99.0009. MSF.</t>
  </si>
  <si>
    <t>Paint Booth Installation Change Order</t>
  </si>
  <si>
    <t>99.0010.    .</t>
  </si>
  <si>
    <t>Material Handling for Equipment Storage</t>
  </si>
  <si>
    <t xml:space="preserve">99.0010.    .  </t>
  </si>
  <si>
    <t>99.0015.    .</t>
  </si>
  <si>
    <t>Train Wash Labor</t>
  </si>
  <si>
    <t xml:space="preserve">99.0020.    .  </t>
  </si>
  <si>
    <t>WITF SI-57 Underground Repairs</t>
  </si>
  <si>
    <t xml:space="preserve">99.0025.    .  </t>
  </si>
  <si>
    <t>DCN-306 Change Order</t>
  </si>
  <si>
    <t>99.0030.    .</t>
  </si>
  <si>
    <t>DCN-328 WCTA</t>
  </si>
  <si>
    <t xml:space="preserve">99.0030.    .  </t>
  </si>
  <si>
    <t xml:space="preserve">Select ALL contents ranging from A:Y on Previous Sheet, and past it onto 'MiddleMan" Sheet </t>
  </si>
  <si>
    <t>AFTER Pasting, --&gt; Click Button</t>
  </si>
  <si>
    <t>Under Data tab --&gt; Click Refresh ALL</t>
  </si>
  <si>
    <t xml:space="preserve"> 3971. LAX People Mover Total</t>
  </si>
  <si>
    <t>REFER to 'MiddleMan' Sheet for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</si>
</sst>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164" formatCode="[$-10409]#,##0;\-#,##0"/>
    <numFmt numFmtId="165" formatCode="[$-10409]&quot;$&quot;#,##0;\(&quot;$&quot;#,##0\)"/>
    <numFmt numFmtId="166" formatCode="&quot;$&quot;#,##0"/>
  </numFmts>
  <fonts count="18" x14ac:knownFonts="1">
    <font>
      <sz val="10"/>
      <name val="Arial"/>
    </font>
    <font>
      <b/>
      <sz val="11.95"/>
      <color indexed="11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4"/>
      <color theme="0"/>
      <name val="Arial"/>
      <family val="2"/>
    </font>
    <font>
      <b/>
      <sz val="11.95"/>
      <name val="Arial"/>
      <family val="2"/>
    </font>
    <font>
      <b/>
      <sz val="22"/>
      <name val="Arial"/>
      <family val="2"/>
    </font>
    <font>
      <b/>
      <sz val="11"/>
      <color theme="1"/>
      <name val="Arial"/>
      <family val="2"/>
    </font>
    <font>
      <sz val="10"/>
      <color theme="9" tint="-0.49998474074526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20"/>
      <name val="Arial"/>
      <family val="2"/>
    </font>
    <font>
      <sz val="22"/>
      <name val="Arial"/>
      <family val="2"/>
    </font>
    <font>
      <sz val="24"/>
      <name val="Arial"/>
      <family val="2"/>
    </font>
    <font>
      <b/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0"/>
      </patternFill>
    </fill>
    <fill>
      <patternFill patternType="solid">
        <fgColor indexed="12"/>
        <bgColor indexed="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2" borderId="0" xfId="0" applyFont="1" applyFill="1" applyAlignment="1" applyProtection="1">
      <alignment wrapText="1" readingOrder="1"/>
      <protection locked="0"/>
    </xf>
    <xf numFmtId="0" fontId="2" fillId="2" borderId="0" xfId="0" applyFont="1" applyFill="1" applyAlignment="1" applyProtection="1">
      <alignment vertical="top" wrapText="1" readingOrder="1"/>
      <protection locked="0"/>
    </xf>
    <xf numFmtId="0" fontId="2" fillId="3" borderId="0" xfId="0" applyFont="1" applyFill="1" applyAlignment="1" applyProtection="1">
      <alignment vertical="top" wrapText="1" readingOrder="1"/>
      <protection locked="0"/>
    </xf>
    <xf numFmtId="0" fontId="2" fillId="3" borderId="0" xfId="0" applyFont="1" applyFill="1" applyAlignment="1" applyProtection="1">
      <alignment horizontal="right" vertical="top" wrapText="1" readingOrder="1"/>
      <protection locked="0"/>
    </xf>
    <xf numFmtId="0" fontId="3" fillId="0" borderId="0" xfId="0" applyFont="1" applyAlignment="1" applyProtection="1">
      <alignment vertical="top" wrapText="1" readingOrder="1"/>
      <protection locked="0"/>
    </xf>
    <xf numFmtId="164" fontId="3" fillId="0" borderId="0" xfId="0" applyNumberFormat="1" applyFont="1" applyAlignment="1" applyProtection="1">
      <alignment horizontal="right" vertical="top" wrapText="1" readingOrder="1"/>
      <protection locked="0"/>
    </xf>
    <xf numFmtId="165" fontId="3" fillId="0" borderId="0" xfId="0" applyNumberFormat="1" applyFont="1" applyAlignment="1" applyProtection="1">
      <alignment horizontal="right" vertical="top" wrapText="1" readingOrder="1"/>
      <protection locked="0"/>
    </xf>
    <xf numFmtId="0" fontId="2" fillId="3" borderId="1" xfId="0" applyFont="1" applyFill="1" applyBorder="1" applyAlignment="1" applyProtection="1">
      <alignment horizontal="right" vertical="top" wrapText="1" readingOrder="1"/>
      <protection locked="0"/>
    </xf>
    <xf numFmtId="164" fontId="3" fillId="0" borderId="1" xfId="0" applyNumberFormat="1" applyFont="1" applyBorder="1" applyAlignment="1" applyProtection="1">
      <alignment horizontal="right" vertical="top" wrapText="1" readingOrder="1"/>
      <protection locked="0"/>
    </xf>
    <xf numFmtId="0" fontId="0" fillId="0" borderId="1" xfId="0" applyBorder="1"/>
    <xf numFmtId="0" fontId="2" fillId="3" borderId="2" xfId="0" applyFont="1" applyFill="1" applyBorder="1" applyAlignment="1" applyProtection="1">
      <alignment vertical="top" wrapText="1" readingOrder="1"/>
      <protection locked="0"/>
    </xf>
    <xf numFmtId="0" fontId="3" fillId="0" borderId="2" xfId="0" applyFont="1" applyBorder="1" applyAlignment="1" applyProtection="1">
      <alignment vertical="top" wrapText="1" readingOrder="1"/>
      <protection locked="0"/>
    </xf>
    <xf numFmtId="0" fontId="0" fillId="0" borderId="2" xfId="0" applyBorder="1"/>
    <xf numFmtId="0" fontId="2" fillId="2" borderId="2" xfId="0" applyFont="1" applyFill="1" applyBorder="1" applyAlignment="1" applyProtection="1">
      <alignment wrapText="1" readingOrder="1"/>
      <protection locked="0"/>
    </xf>
    <xf numFmtId="0" fontId="2" fillId="3" borderId="2" xfId="0" applyFont="1" applyFill="1" applyBorder="1" applyAlignment="1" applyProtection="1">
      <alignment horizontal="right" vertical="top" wrapText="1" readingOrder="1"/>
      <protection locked="0"/>
    </xf>
    <xf numFmtId="164" fontId="3" fillId="0" borderId="2" xfId="0" applyNumberFormat="1" applyFont="1" applyBorder="1" applyAlignment="1" applyProtection="1">
      <alignment horizontal="right" vertical="top" wrapText="1" readingOrder="1"/>
      <protection locked="0"/>
    </xf>
    <xf numFmtId="165" fontId="3" fillId="0" borderId="1" xfId="0" applyNumberFormat="1" applyFont="1" applyBorder="1" applyAlignment="1" applyProtection="1">
      <alignment horizontal="right" vertical="top" wrapText="1" readingOrder="1"/>
      <protection locked="0"/>
    </xf>
    <xf numFmtId="0" fontId="4" fillId="4" borderId="1" xfId="0" applyFont="1" applyFill="1" applyBorder="1"/>
    <xf numFmtId="0" fontId="0" fillId="0" borderId="0" xfId="0" pivotButton="1"/>
    <xf numFmtId="0" fontId="0" fillId="0" borderId="1" xfId="0" applyBorder="1" applyAlignment="1">
      <alignment vertical="top"/>
    </xf>
    <xf numFmtId="0" fontId="2" fillId="0" borderId="2" xfId="0" applyFont="1" applyBorder="1" applyAlignment="1" applyProtection="1">
      <alignment vertical="top" wrapText="1" readingOrder="1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7" fillId="4" borderId="0" xfId="0" applyFont="1" applyFill="1" applyAlignment="1">
      <alignment horizontal="center" wrapText="1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6" fontId="0" fillId="0" borderId="0" xfId="0" applyNumberFormat="1"/>
    <xf numFmtId="6" fontId="11" fillId="0" borderId="0" xfId="0" applyNumberFormat="1" applyFont="1"/>
    <xf numFmtId="166" fontId="0" fillId="0" borderId="0" xfId="0" applyNumberFormat="1"/>
    <xf numFmtId="0" fontId="13" fillId="7" borderId="4" xfId="0" applyFont="1" applyFill="1" applyBorder="1" applyAlignment="1">
      <alignment horizontal="left" indent="1"/>
    </xf>
    <xf numFmtId="6" fontId="13" fillId="7" borderId="4" xfId="0" applyNumberFormat="1" applyFont="1" applyFill="1" applyBorder="1"/>
    <xf numFmtId="6" fontId="4" fillId="0" borderId="0" xfId="0" applyNumberFormat="1" applyFont="1" applyAlignment="1">
      <alignment horizontal="right"/>
    </xf>
    <xf numFmtId="0" fontId="12" fillId="8" borderId="0" xfId="0" applyFont="1" applyFill="1" applyAlignment="1">
      <alignment horizontal="left" indent="1"/>
    </xf>
    <xf numFmtId="6" fontId="12" fillId="8" borderId="0" xfId="0" applyNumberFormat="1" applyFont="1" applyFill="1"/>
    <xf numFmtId="0" fontId="12" fillId="8" borderId="3" xfId="0" applyFont="1" applyFill="1" applyBorder="1" applyAlignment="1">
      <alignment horizontal="left" indent="1"/>
    </xf>
    <xf numFmtId="6" fontId="12" fillId="8" borderId="3" xfId="0" applyNumberFormat="1" applyFont="1" applyFill="1" applyBorder="1"/>
    <xf numFmtId="0" fontId="0" fillId="9" borderId="0" xfId="0" applyFill="1" applyAlignment="1">
      <alignment horizontal="left"/>
    </xf>
    <xf numFmtId="6" fontId="0" fillId="9" borderId="0" xfId="0" applyNumberFormat="1" applyFill="1"/>
    <xf numFmtId="0" fontId="1" fillId="2" borderId="0" xfId="0" applyFont="1" applyFill="1" applyAlignment="1" applyProtection="1">
      <alignment horizontal="left" wrapText="1" readingOrder="1"/>
      <protection locked="0"/>
    </xf>
    <xf numFmtId="0" fontId="1" fillId="2" borderId="0" xfId="0" applyFont="1" applyFill="1" applyAlignment="1" applyProtection="1">
      <alignment horizontal="center" wrapText="1" readingOrder="1"/>
      <protection locked="0"/>
    </xf>
    <xf numFmtId="0" fontId="1" fillId="2" borderId="0" xfId="0" applyFont="1" applyFill="1" applyAlignment="1" applyProtection="1">
      <alignment horizontal="center" vertical="center" wrapText="1" readingOrder="1"/>
      <protection locked="0"/>
    </xf>
    <xf numFmtId="0" fontId="0" fillId="5" borderId="0" xfId="0" applyFill="1"/>
    <xf numFmtId="0" fontId="15" fillId="5" borderId="0" xfId="0" applyFont="1" applyFill="1"/>
    <xf numFmtId="0" fontId="9" fillId="6" borderId="1" xfId="0" applyFont="1" applyFill="1" applyBorder="1" applyAlignment="1" applyProtection="1">
      <alignment horizontal="center" wrapText="1" readingOrder="1"/>
      <protection locked="0"/>
    </xf>
    <xf numFmtId="0" fontId="2" fillId="6" borderId="0" xfId="0" applyFont="1" applyFill="1" applyAlignment="1" applyProtection="1">
      <alignment horizontal="center" wrapText="1" readingOrder="1"/>
      <protection locked="0"/>
    </xf>
    <xf numFmtId="0" fontId="6" fillId="5" borderId="0" xfId="0" applyFont="1" applyFill="1" applyAlignment="1">
      <alignment horizontal="left" vertical="center" wrapText="1"/>
    </xf>
    <xf numFmtId="0" fontId="1" fillId="2" borderId="0" xfId="0" applyFont="1" applyFill="1" applyAlignment="1" applyProtection="1">
      <alignment horizontal="left" wrapText="1" readingOrder="1"/>
      <protection locked="0"/>
    </xf>
    <xf numFmtId="0" fontId="0" fillId="0" borderId="0" xfId="0"/>
    <xf numFmtId="0" fontId="1" fillId="2" borderId="0" xfId="0" applyFont="1" applyFill="1" applyAlignment="1" applyProtection="1">
      <alignment horizontal="center" wrapText="1" readingOrder="1"/>
      <protection locked="0"/>
    </xf>
    <xf numFmtId="0" fontId="1" fillId="2" borderId="0" xfId="0" applyFont="1" applyFill="1" applyAlignment="1" applyProtection="1">
      <alignment horizontal="center" vertical="center" wrapText="1" readingOrder="1"/>
      <protection locked="0"/>
    </xf>
    <xf numFmtId="0" fontId="6" fillId="6" borderId="0" xfId="0" applyFont="1" applyFill="1" applyAlignment="1" applyProtection="1">
      <alignment horizontal="left" wrapText="1" readingOrder="1"/>
      <protection locked="0"/>
    </xf>
    <xf numFmtId="0" fontId="8" fillId="6" borderId="0" xfId="0" applyFont="1" applyFill="1" applyAlignment="1" applyProtection="1">
      <alignment horizontal="left" wrapText="1" readingOrder="1"/>
      <protection locked="0"/>
    </xf>
    <xf numFmtId="0" fontId="8" fillId="6" borderId="2" xfId="0" applyFont="1" applyFill="1" applyBorder="1" applyAlignment="1" applyProtection="1">
      <alignment horizontal="left" wrapText="1" readingOrder="1"/>
      <protection locked="0"/>
    </xf>
    <xf numFmtId="0" fontId="1" fillId="6" borderId="0" xfId="0" applyFont="1" applyFill="1" applyAlignment="1" applyProtection="1">
      <alignment horizontal="center" vertical="center" wrapText="1" readingOrder="1"/>
      <protection locked="0"/>
    </xf>
    <xf numFmtId="0" fontId="14" fillId="5" borderId="0" xfId="0" applyFont="1" applyFill="1" applyAlignment="1">
      <alignment horizontal="left" wrapText="1"/>
    </xf>
    <xf numFmtId="0" fontId="17" fillId="5" borderId="0" xfId="0" applyFont="1" applyFill="1" applyAlignment="1">
      <alignment horizontal="left"/>
    </xf>
    <xf numFmtId="0" fontId="16" fillId="5" borderId="0" xfId="0" applyFont="1" applyFill="1" applyAlignment="1">
      <alignment horizontal="left"/>
    </xf>
  </cellXfs>
  <cellStyles count="1">
    <cellStyle name="Normal" xfId="0" builtinId="0"/>
  </cellStyles>
  <dxfs count="41">
    <dxf>
      <numFmt numFmtId="10" formatCode="&quot;$&quot;#,##0_);[Red]\(&quot;$&quot;#,##0\)"/>
    </dxf>
    <dxf>
      <numFmt numFmtId="10" formatCode="&quot;$&quot;#,##0_);[Red]\(&quot;$&quot;#,##0\)"/>
    </dxf>
    <dxf>
      <numFmt numFmtId="166" formatCode="&quot;$&quot;#,##0"/>
    </dxf>
    <dxf>
      <fill>
        <patternFill>
          <bgColor theme="9" tint="0.3999755851924192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ont>
        <color theme="0"/>
      </font>
    </dxf>
    <dxf>
      <border>
        <top style="thin">
          <color indexed="64"/>
        </top>
      </border>
    </dxf>
    <dxf>
      <border>
        <bottom/>
      </border>
    </dxf>
    <dxf>
      <font>
        <color theme="9" tint="-0.499984740745262"/>
      </font>
    </dxf>
    <dxf>
      <numFmt numFmtId="166" formatCode="&quot;$&quot;#,##0"/>
    </dxf>
    <dxf>
      <border>
        <bottom style="thin">
          <color indexed="64"/>
        </bottom>
      </border>
    </dxf>
    <dxf>
      <font>
        <b/>
        <family val="2"/>
      </font>
    </dxf>
    <dxf>
      <font>
        <b/>
        <family val="2"/>
      </font>
    </dxf>
    <dxf>
      <font>
        <b val="0"/>
      </font>
    </dxf>
    <dxf>
      <font>
        <sz val="9"/>
      </font>
    </dxf>
    <dxf>
      <border>
        <bottom style="medium">
          <color indexed="64"/>
        </bottom>
      </border>
    </dxf>
    <dxf>
      <fill>
        <patternFill patternType="solid">
          <bgColor theme="0"/>
        </patternFill>
      </fill>
    </dxf>
    <dxf>
      <font>
        <b/>
      </font>
    </dxf>
    <dxf>
      <border>
        <bottom style="thin">
          <color indexed="64"/>
        </bottom>
      </border>
    </dxf>
    <dxf>
      <border>
        <bottom/>
      </border>
    </dxf>
    <dxf>
      <numFmt numFmtId="10" formatCode="&quot;$&quot;#,##0_);[Red]\(&quot;$&quot;#,##0\)"/>
    </dxf>
    <dxf>
      <numFmt numFmtId="10" formatCode="&quot;$&quot;#,##0_);[Red]\(&quot;$&quot;#,##0\)"/>
    </dxf>
    <dxf>
      <font>
        <b/>
      </font>
    </dxf>
    <dxf>
      <font>
        <sz val="11"/>
      </font>
    </dxf>
    <dxf>
      <font>
        <color theme="1"/>
      </font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font>
        <color rgb="FFFF0000"/>
      </font>
    </dxf>
    <dxf>
      <font>
        <color theme="1"/>
      </font>
    </dxf>
    <dxf>
      <font>
        <color theme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3D3D3"/>
      <rgbColor rgb="00696969"/>
      <rgbColor rgb="00006400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100853</xdr:colOff>
      <xdr:row>5</xdr:row>
      <xdr:rowOff>156882</xdr:rowOff>
    </xdr:from>
    <xdr:to>
      <xdr:col>37</xdr:col>
      <xdr:colOff>313764</xdr:colOff>
      <xdr:row>7</xdr:row>
      <xdr:rowOff>112059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8859500" y="2185147"/>
          <a:ext cx="3843617" cy="12550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Command</a:t>
          </a:r>
          <a:r>
            <a:rPr lang="en-US" sz="2800" baseline="0"/>
            <a:t> Button to Update Content</a:t>
          </a:r>
          <a:endParaRPr lang="en-US" sz="2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4.380915277776" createdVersion="8" refreshedVersion="8" minRefreshableVersion="3" recordCount="1998" xr:uid="{7D203C29-F8C3-4E1F-8373-3355C5279381}">
  <cacheSource type="worksheet">
    <worksheetSource ref="A3:AA2500" sheet="PPMPortal_Projects_Contracts_Jo"/>
  </cacheSource>
  <cacheFields count="27">
    <cacheField name="Phase" numFmtId="0">
      <sharedItems containsBlank="1"/>
    </cacheField>
    <cacheField name="Description" numFmtId="0">
      <sharedItems containsBlank="1"/>
    </cacheField>
    <cacheField name="Area" numFmtId="0">
      <sharedItems containsBlank="1"/>
    </cacheField>
    <cacheField name="Category" numFmtId="0">
      <sharedItems containsBlank="1"/>
    </cacheField>
    <cacheField name="Contract Item" numFmtId="0">
      <sharedItems containsBlank="1"/>
    </cacheField>
    <cacheField name="Cost Type" numFmtId="0">
      <sharedItems containsBlank="1" count="7">
        <s v="Material"/>
        <s v="Labor"/>
        <s v="Subcontracts"/>
        <s v="Rental/Owned Equipment"/>
        <s v="Other Job Costs"/>
        <m/>
        <s v="Managed Labor" u="1"/>
      </sharedItems>
    </cacheField>
    <cacheField name="Scope" numFmtId="0">
      <sharedItems containsBlank="1"/>
    </cacheField>
    <cacheField name="a" numFmtId="0">
      <sharedItems containsNonDate="0" containsString="0" containsBlank="1"/>
    </cacheField>
    <cacheField name="Budgeted" numFmtId="0">
      <sharedItems containsString="0" containsBlank="1" containsNumber="1" containsInteger="1" minValue="0" maxValue="0"/>
    </cacheField>
    <cacheField name="Actual" numFmtId="0">
      <sharedItems containsString="0" containsBlank="1" containsNumber="1" minValue="-1" maxValue="119755"/>
    </cacheField>
    <cacheField name="Projected" numFmtId="0">
      <sharedItems containsString="0" containsBlank="1" containsNumber="1" containsInteger="1" minValue="0" maxValue="5894"/>
    </cacheField>
    <cacheField name="Remaining" numFmtId="0">
      <sharedItems containsString="0" containsBlank="1" containsNumber="1" minValue="-118228" maxValue="17"/>
    </cacheField>
    <cacheField name="b" numFmtId="0">
      <sharedItems containsNonDate="0" containsString="0" containsBlank="1"/>
    </cacheField>
    <cacheField name="Budgeted2" numFmtId="0">
      <sharedItems containsString="0" containsBlank="1" containsNumber="1" containsInteger="1" minValue="0" maxValue="9800"/>
    </cacheField>
    <cacheField name="Actual2" numFmtId="0">
      <sharedItems containsString="0" containsBlank="1" containsNumber="1" minValue="0" maxValue="11725.5"/>
    </cacheField>
    <cacheField name="Projected2" numFmtId="0">
      <sharedItems containsString="0" containsBlank="1" containsNumber="1" minValue="0" maxValue="11725.5"/>
    </cacheField>
    <cacheField name="Remaining2" numFmtId="0">
      <sharedItems containsString="0" containsBlank="1" containsNumber="1" containsInteger="1" minValue="-112" maxValue="440"/>
    </cacheField>
    <cacheField name="Over/(Under)" numFmtId="0">
      <sharedItems containsString="0" containsBlank="1" containsNumber="1" minValue="-1454" maxValue="3445.5"/>
    </cacheField>
    <cacheField name="c" numFmtId="0">
      <sharedItems containsNonDate="0" containsString="0" containsBlank="1"/>
    </cacheField>
    <cacheField name="Budgeted Amount" numFmtId="0">
      <sharedItems containsString="0" containsBlank="1" containsNumber="1" minValue="0" maxValue="2452800"/>
    </cacheField>
    <cacheField name="Actual Amount" numFmtId="0">
      <sharedItems containsString="0" containsBlank="1" containsNumber="1" minValue="0" maxValue="2221201.02"/>
    </cacheField>
    <cacheField name="Committed Amount" numFmtId="0">
      <sharedItems containsString="0" containsBlank="1" containsNumber="1" minValue="0" maxValue="111015"/>
    </cacheField>
    <cacheField name="Projected Amount" numFmtId="0">
      <sharedItems containsString="0" containsBlank="1" containsNumber="1" minValue="0" maxValue="2342762.44"/>
    </cacheField>
    <cacheField name="Remaining Amount" numFmtId="0">
      <sharedItems containsString="0" containsBlank="1" containsNumber="1" minValue="-11761.91" maxValue="121561.42"/>
    </cacheField>
    <cacheField name="Over/(Under) Amount" numFmtId="0">
      <sharedItems containsString="0" containsBlank="1" containsNumber="1" minValue="-275005.02" maxValue="552997.93000000005"/>
    </cacheField>
    <cacheField name="Adjusted Scope" numFmtId="0">
      <sharedItems containsBlank="1" containsMixedTypes="1" containsNumber="1" containsInteger="1" minValue="0" maxValue="0" count="8">
        <s v="Plumbing"/>
        <s v="Sheet Metal"/>
        <s v="Piping"/>
        <s v="ALL"/>
        <s v="FUEL"/>
        <n v="0"/>
        <s v="SITE"/>
        <m/>
      </sharedItems>
    </cacheField>
    <cacheField name="Job #,Title" numFmtId="0">
      <sharedItems containsBlank="1" count="6">
        <s v=" 3971. LAX People Mover"/>
        <s v=""/>
        <m/>
        <s v="22005. City of Hope - CUP" u="1"/>
        <s v="21018. Mercy Hospital Bakersfield" u="1"/>
        <s v="21018 Mercy Hospital Bakersfiel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8">
  <r>
    <s v="00.0333.    ."/>
    <s v="Rough Material"/>
    <s v="All Other Areas"/>
    <s v="General Conditions"/>
    <s v="LAX People Mover-HVAC"/>
    <x v="0"/>
    <s v="PLUM"/>
    <m/>
    <n v="0"/>
    <n v="0"/>
    <n v="0"/>
    <n v="0"/>
    <m/>
    <n v="0"/>
    <n v="0"/>
    <n v="0"/>
    <n v="0"/>
    <n v="0"/>
    <m/>
    <n v="0"/>
    <n v="1054.9100000000001"/>
    <n v="92.9"/>
    <n v="1147.81"/>
    <n v="92.9"/>
    <n v="1147.81"/>
    <x v="0"/>
    <x v="0"/>
  </r>
  <r>
    <s v="00.0335.    ."/>
    <s v="No-Hub"/>
    <s v="All Other Areas"/>
    <s v="Gravity"/>
    <s v="LAX People Mover-HVAC"/>
    <x v="0"/>
    <s v="PLUM"/>
    <m/>
    <n v="0"/>
    <n v="44743"/>
    <n v="5894"/>
    <n v="-38849"/>
    <m/>
    <n v="0"/>
    <n v="0"/>
    <n v="0"/>
    <n v="0"/>
    <n v="0"/>
    <m/>
    <n v="873553.46"/>
    <n v="1066041.52"/>
    <n v="1687.48"/>
    <n v="1067593.04"/>
    <n v="1551.52"/>
    <n v="194039.58"/>
    <x v="0"/>
    <x v="0"/>
  </r>
  <r>
    <s v="00.0336.    ."/>
    <s v="Plastic Pipe"/>
    <s v="All Other Areas"/>
    <s v="Plumbing Pressure"/>
    <s v="LAX People Mover-HVAC"/>
    <x v="0"/>
    <s v="PLUM"/>
    <m/>
    <n v="0"/>
    <n v="8298"/>
    <n v="2938"/>
    <n v="-5360"/>
    <m/>
    <n v="0"/>
    <n v="0"/>
    <n v="0"/>
    <n v="0"/>
    <n v="0"/>
    <m/>
    <n v="32783.61"/>
    <n v="29977.09"/>
    <n v="0"/>
    <n v="29977.09"/>
    <n v="0"/>
    <n v="-2806.52"/>
    <x v="0"/>
    <x v="0"/>
  </r>
  <r>
    <s v="00.0337.    ."/>
    <s v="Steel Pipe &amp; Fittings"/>
    <s v="All Other Areas"/>
    <s v="Plumbing Pressure"/>
    <s v="LAX People Mover-HVAC"/>
    <x v="0"/>
    <s v="PLUM"/>
    <m/>
    <n v="0"/>
    <n v="8545"/>
    <n v="10"/>
    <n v="-8535"/>
    <m/>
    <n v="0"/>
    <n v="0"/>
    <n v="0"/>
    <n v="0"/>
    <n v="0"/>
    <m/>
    <n v="30913.439999999999"/>
    <n v="110145.66"/>
    <n v="0"/>
    <n v="110145.66"/>
    <n v="0"/>
    <n v="79232.22"/>
    <x v="0"/>
    <x v="0"/>
  </r>
  <r>
    <s v="00.0338.    ."/>
    <s v="Stainless Steel Pipe &amp; Fittings"/>
    <s v="All Other Areas"/>
    <s v="Plumbing Pressure"/>
    <s v="LAX People Mover-HVAC"/>
    <x v="0"/>
    <s v="PLUM"/>
    <m/>
    <n v="0"/>
    <n v="157"/>
    <n v="0"/>
    <n v="-157"/>
    <m/>
    <n v="0"/>
    <n v="0"/>
    <n v="0"/>
    <n v="0"/>
    <n v="0"/>
    <m/>
    <n v="7500"/>
    <n v="9930.81"/>
    <n v="0"/>
    <n v="9930.81"/>
    <n v="0"/>
    <n v="2430.81"/>
    <x v="0"/>
    <x v="0"/>
  </r>
  <r>
    <s v="00.0340.    ."/>
    <s v="Copper"/>
    <s v="All Other Areas"/>
    <s v="Plumbing Pressure"/>
    <s v="LAX People Mover-HVAC"/>
    <x v="0"/>
    <s v="PLUM"/>
    <m/>
    <n v="0"/>
    <n v="60720"/>
    <n v="2712"/>
    <n v="-58008"/>
    <m/>
    <n v="0"/>
    <n v="0"/>
    <n v="0"/>
    <n v="0"/>
    <n v="0"/>
    <m/>
    <n v="264654.65999999997"/>
    <n v="400459.85"/>
    <n v="863.47"/>
    <n v="401322.39"/>
    <n v="862.54"/>
    <n v="136667.73000000001"/>
    <x v="0"/>
    <x v="0"/>
  </r>
  <r>
    <s v="00.0345.    ."/>
    <s v="Valves"/>
    <s v="All Other Areas"/>
    <s v="Specialties / Misc"/>
    <s v="LAX People Mover-HVAC"/>
    <x v="0"/>
    <s v="PLUM"/>
    <m/>
    <n v="0"/>
    <n v="710"/>
    <n v="0"/>
    <n v="-710"/>
    <m/>
    <n v="0"/>
    <n v="0"/>
    <n v="0"/>
    <n v="0"/>
    <n v="0"/>
    <m/>
    <n v="81830.399999999994"/>
    <n v="84865.61"/>
    <n v="0"/>
    <n v="84865.61"/>
    <n v="0"/>
    <n v="3035.21"/>
    <x v="0"/>
    <x v="0"/>
  </r>
  <r>
    <s v="00.0346.    ."/>
    <s v="Hangers &amp; Support"/>
    <s v="All Other Areas"/>
    <s v="Hangers"/>
    <s v="LAX People Mover-HVAC"/>
    <x v="1"/>
    <s v="PLUM"/>
    <m/>
    <n v="0"/>
    <n v="0"/>
    <n v="0"/>
    <n v="0"/>
    <m/>
    <n v="0"/>
    <n v="8"/>
    <n v="8"/>
    <n v="0"/>
    <n v="8"/>
    <m/>
    <n v="0"/>
    <n v="544.82000000000005"/>
    <n v="0"/>
    <n v="544.82000000000005"/>
    <n v="0"/>
    <n v="544.82000000000005"/>
    <x v="0"/>
    <x v="0"/>
  </r>
  <r>
    <s v="00.0346.    ."/>
    <s v="Hangers &amp; Support"/>
    <s v="All Other Areas"/>
    <s v="Hangers"/>
    <s v="LAX People Mover-HVAC"/>
    <x v="0"/>
    <s v="PLUM"/>
    <m/>
    <n v="0"/>
    <n v="119755"/>
    <n v="1527"/>
    <n v="-118228"/>
    <m/>
    <n v="0"/>
    <n v="0"/>
    <n v="0"/>
    <n v="0"/>
    <n v="0"/>
    <m/>
    <n v="101243.27"/>
    <n v="407431.75"/>
    <n v="243.65"/>
    <n v="407142.72"/>
    <n v="-289.02999999999997"/>
    <n v="305899.45"/>
    <x v="0"/>
    <x v="0"/>
  </r>
  <r>
    <s v="00.0347.    ."/>
    <s v="Specialties"/>
    <s v="All Other Areas"/>
    <s v="Specialties / Misc"/>
    <s v="LAX People Mover-HVAC"/>
    <x v="0"/>
    <s v="PLUM"/>
    <m/>
    <n v="0"/>
    <n v="6438"/>
    <n v="35"/>
    <n v="-6403"/>
    <m/>
    <n v="0"/>
    <n v="0"/>
    <n v="0"/>
    <n v="0"/>
    <n v="0"/>
    <m/>
    <n v="338425.99"/>
    <n v="490349.72"/>
    <n v="86534.6"/>
    <n v="602270.56000000006"/>
    <n v="111920.84"/>
    <n v="263844.57"/>
    <x v="0"/>
    <x v="0"/>
  </r>
  <r>
    <s v="00.0355.    ."/>
    <s v="Finish Material"/>
    <s v="All Other Areas"/>
    <s v="Finish"/>
    <s v="LAX People Mover-HVAC"/>
    <x v="0"/>
    <s v="PLUM"/>
    <m/>
    <n v="0"/>
    <n v="479"/>
    <n v="0"/>
    <n v="-479"/>
    <m/>
    <n v="0"/>
    <n v="0"/>
    <n v="0"/>
    <n v="0"/>
    <n v="0"/>
    <m/>
    <n v="182942.38"/>
    <n v="105000.1"/>
    <n v="929.95"/>
    <n v="105930.05"/>
    <n v="929.95"/>
    <n v="-77012.33"/>
    <x v="0"/>
    <x v="0"/>
  </r>
  <r>
    <s v="00.0356.    ."/>
    <s v="Drains &amp; Carriers"/>
    <s v="All Other Areas"/>
    <s v="Specialties / Misc"/>
    <s v="LAX People Mover-HVAC"/>
    <x v="0"/>
    <s v="PLUM"/>
    <m/>
    <n v="0"/>
    <n v="1377"/>
    <n v="122"/>
    <n v="-1255"/>
    <m/>
    <n v="0"/>
    <n v="0"/>
    <n v="0"/>
    <n v="0"/>
    <n v="0"/>
    <m/>
    <n v="563552.32999999996"/>
    <n v="673888.96"/>
    <n v="0"/>
    <n v="673888.96"/>
    <n v="0"/>
    <n v="110336.63"/>
    <x v="0"/>
    <x v="0"/>
  </r>
  <r>
    <s v="00.0360.    ."/>
    <s v="Pipe ID Valve Tag"/>
    <s v="All Other Areas"/>
    <s v="Specialties / Misc"/>
    <s v="LAX People Mover-HVAC"/>
    <x v="0"/>
    <s v="PLUM"/>
    <m/>
    <n v="0"/>
    <n v="4077"/>
    <n v="9"/>
    <n v="-4068"/>
    <m/>
    <n v="0"/>
    <n v="0"/>
    <n v="0"/>
    <n v="0"/>
    <n v="0"/>
    <m/>
    <n v="20978.61"/>
    <n v="32928.410000000003"/>
    <n v="0"/>
    <n v="32928.410000000003"/>
    <n v="0"/>
    <n v="11949.8"/>
    <x v="0"/>
    <x v="0"/>
  </r>
  <r>
    <s v="00.0410.    ."/>
    <s v="Coring Drilling/Saw Cutting"/>
    <s v="SUBS"/>
    <s v="Subcontracts"/>
    <s v="LAX People Mover-HVAC"/>
    <x v="1"/>
    <s v="PLUM"/>
    <m/>
    <n v="0"/>
    <n v="0"/>
    <n v="0"/>
    <n v="0"/>
    <m/>
    <n v="10"/>
    <n v="396"/>
    <n v="396"/>
    <n v="0"/>
    <n v="386"/>
    <m/>
    <n v="1000"/>
    <n v="33141.86"/>
    <n v="0"/>
    <n v="33141.86"/>
    <n v="0"/>
    <n v="32141.86"/>
    <x v="0"/>
    <x v="0"/>
  </r>
  <r>
    <s v="00.0410.    ."/>
    <s v="Coring Drilling/Saw Cutting"/>
    <s v="SUBS"/>
    <s v="Subcontracts"/>
    <s v="LAX People Mover-HVAC"/>
    <x v="2"/>
    <s v="PLUM"/>
    <m/>
    <n v="0"/>
    <n v="0"/>
    <n v="0"/>
    <n v="0"/>
    <m/>
    <n v="0"/>
    <n v="0"/>
    <n v="0"/>
    <n v="0"/>
    <n v="0"/>
    <m/>
    <n v="0"/>
    <n v="21457.5"/>
    <n v="9503"/>
    <n v="30960.5"/>
    <n v="9503"/>
    <n v="30960.5"/>
    <x v="0"/>
    <x v="0"/>
  </r>
  <r>
    <s v="00.0410. P2A."/>
    <s v="Core Drilling/Saw Cutting - Plumbing"/>
    <s v="P2A"/>
    <s v="Subcontracts"/>
    <s v="LAX People Mover-Plumbing"/>
    <x v="1"/>
    <s v="PLUM"/>
    <m/>
    <n v="0"/>
    <n v="0"/>
    <n v="0"/>
    <n v="0"/>
    <m/>
    <n v="0"/>
    <n v="79"/>
    <n v="79"/>
    <n v="0"/>
    <n v="79"/>
    <m/>
    <n v="0"/>
    <n v="6987.09"/>
    <n v="0"/>
    <n v="6987.09"/>
    <n v="0"/>
    <n v="6987.09"/>
    <x v="0"/>
    <x v="0"/>
  </r>
  <r>
    <s v="00.0430.    ."/>
    <s v="Rental Equipment"/>
    <s v="All Other Areas"/>
    <s v="Equipment"/>
    <s v="LAX People Mover-HVAC"/>
    <x v="0"/>
    <s v="PLUM"/>
    <m/>
    <n v="0"/>
    <n v="0"/>
    <n v="0"/>
    <n v="0"/>
    <m/>
    <n v="0"/>
    <n v="0"/>
    <n v="0"/>
    <n v="0"/>
    <n v="0"/>
    <m/>
    <n v="0"/>
    <n v="10230"/>
    <n v="0"/>
    <n v="10230"/>
    <n v="0"/>
    <n v="10230"/>
    <x v="0"/>
    <x v="0"/>
  </r>
  <r>
    <s v="00.0430.    ."/>
    <s v="Rental Equipment"/>
    <s v="All Other Areas"/>
    <s v="Equipment"/>
    <s v="LAX People Mover-HVAC"/>
    <x v="3"/>
    <s v="PLUM"/>
    <m/>
    <n v="0"/>
    <n v="36"/>
    <n v="32"/>
    <n v="-4"/>
    <m/>
    <n v="0"/>
    <n v="0"/>
    <n v="0"/>
    <n v="0"/>
    <n v="0"/>
    <m/>
    <n v="153318"/>
    <n v="707721.88"/>
    <n v="0"/>
    <n v="706315.93"/>
    <n v="-1405.95"/>
    <n v="552997.93000000005"/>
    <x v="0"/>
    <x v="0"/>
  </r>
  <r>
    <s v="00.0430.    ."/>
    <s v="Rental Equipment"/>
    <s v="All Other Areas"/>
    <s v="Equipment"/>
    <s v="LAX People Mover-HVAC"/>
    <x v="4"/>
    <s v="PLUM"/>
    <m/>
    <n v="0"/>
    <n v="0"/>
    <n v="0"/>
    <n v="0"/>
    <m/>
    <n v="0"/>
    <n v="0"/>
    <n v="0"/>
    <n v="0"/>
    <n v="0"/>
    <m/>
    <n v="150"/>
    <n v="0"/>
    <n v="0"/>
    <n v="0"/>
    <n v="0"/>
    <n v="-150"/>
    <x v="0"/>
    <x v="0"/>
  </r>
  <r>
    <s v="00.0445.    ."/>
    <s v="Subcontracts"/>
    <s v="SUBS"/>
    <s v="Subcontracts"/>
    <s v="LAX People Mover-HVAC"/>
    <x v="2"/>
    <s v="PLUM"/>
    <m/>
    <n v="0"/>
    <n v="0"/>
    <n v="0"/>
    <n v="0"/>
    <m/>
    <n v="0"/>
    <n v="0"/>
    <n v="0"/>
    <n v="0"/>
    <n v="0"/>
    <m/>
    <n v="6210"/>
    <n v="12795"/>
    <n v="0"/>
    <n v="12795"/>
    <n v="0"/>
    <n v="6585"/>
    <x v="0"/>
    <x v="0"/>
  </r>
  <r>
    <s v="00.0446.    ."/>
    <s v="Firestopping"/>
    <s v="SUBS"/>
    <s v="Subcontracts"/>
    <s v="LAX People Mover-HVAC"/>
    <x v="2"/>
    <s v="PLUM"/>
    <m/>
    <n v="0"/>
    <n v="0"/>
    <n v="0"/>
    <n v="0"/>
    <m/>
    <n v="0"/>
    <n v="0"/>
    <n v="0"/>
    <n v="0"/>
    <n v="0"/>
    <m/>
    <n v="45288"/>
    <n v="35946.620000000003"/>
    <n v="1427.58"/>
    <n v="37614.199999999997"/>
    <n v="1667.58"/>
    <n v="-7673.8"/>
    <x v="0"/>
    <x v="0"/>
  </r>
  <r>
    <s v="00.0447.    ."/>
    <s v="Insulation"/>
    <s v="SUBS"/>
    <s v="Subcontracts"/>
    <s v="LAX People Mover-HVAC"/>
    <x v="2"/>
    <s v="PLUM"/>
    <m/>
    <n v="0"/>
    <n v="0"/>
    <n v="0"/>
    <n v="0"/>
    <m/>
    <n v="0"/>
    <n v="0"/>
    <n v="0"/>
    <n v="0"/>
    <n v="0"/>
    <m/>
    <n v="68124.45"/>
    <n v="75076"/>
    <n v="0"/>
    <n v="75076"/>
    <n v="0"/>
    <n v="6951.55"/>
    <x v="0"/>
    <x v="0"/>
  </r>
  <r>
    <s v="00.0448.    ."/>
    <s v="Chlorination / Cert."/>
    <s v="SUBS"/>
    <s v="Subcontracts"/>
    <s v="LAX People Mover-HVAC"/>
    <x v="2"/>
    <s v="PLUM"/>
    <m/>
    <n v="0"/>
    <n v="0"/>
    <n v="0"/>
    <n v="0"/>
    <m/>
    <n v="0"/>
    <n v="0"/>
    <n v="0"/>
    <n v="0"/>
    <n v="0"/>
    <m/>
    <n v="14925"/>
    <n v="6649.63"/>
    <n v="16869"/>
    <n v="23518.63"/>
    <n v="16869"/>
    <n v="8593.6299999999992"/>
    <x v="0"/>
    <x v="0"/>
  </r>
  <r>
    <s v="00.0451.    ."/>
    <s v="Seismic Engineering"/>
    <s v="SUBS"/>
    <s v="Subcontracts"/>
    <s v="LAX People Mover-HVAC"/>
    <x v="0"/>
    <s v="PLUM"/>
    <m/>
    <n v="0"/>
    <n v="17"/>
    <n v="0"/>
    <n v="-17"/>
    <m/>
    <n v="0"/>
    <n v="0"/>
    <n v="0"/>
    <n v="0"/>
    <n v="0"/>
    <m/>
    <n v="2430"/>
    <n v="95743.88"/>
    <n v="1716.96"/>
    <n v="97743.88"/>
    <n v="2000"/>
    <n v="95313.88"/>
    <x v="0"/>
    <x v="0"/>
  </r>
  <r>
    <s v="00.0451.    ."/>
    <s v="Seismic Engineering"/>
    <s v="SUBS"/>
    <s v="Subcontracts"/>
    <s v="LAX People Mover-HVAC"/>
    <x v="2"/>
    <s v="PLUM"/>
    <m/>
    <n v="0"/>
    <n v="0"/>
    <n v="0"/>
    <n v="0"/>
    <m/>
    <n v="0"/>
    <n v="0"/>
    <n v="0"/>
    <n v="0"/>
    <n v="0"/>
    <m/>
    <n v="185095"/>
    <n v="50402.61"/>
    <n v="0"/>
    <n v="90002.61"/>
    <n v="39600"/>
    <n v="-95092.39"/>
    <x v="0"/>
    <x v="0"/>
  </r>
  <r>
    <s v="00.0505.    ."/>
    <s v="Consumables"/>
    <s v="All Other Areas"/>
    <s v="General Conditions"/>
    <s v="LAX People Mover-HVAC"/>
    <x v="0"/>
    <s v="PLUM"/>
    <m/>
    <n v="0"/>
    <n v="7672"/>
    <n v="1003"/>
    <n v="-6669"/>
    <m/>
    <n v="0"/>
    <n v="0"/>
    <n v="0"/>
    <n v="0"/>
    <n v="0"/>
    <m/>
    <n v="63807.23"/>
    <n v="93159.44"/>
    <n v="28.21"/>
    <n v="93187.65"/>
    <n v="28.21"/>
    <n v="29380.42"/>
    <x v="0"/>
    <x v="0"/>
  </r>
  <r>
    <s v="00.0510.    ."/>
    <s v="Welding &amp; Purge Gases"/>
    <s v="All Other Areas"/>
    <s v="Specialties / Misc"/>
    <s v="LAX People Mover-HVAC"/>
    <x v="0"/>
    <s v="PLUM"/>
    <m/>
    <n v="0"/>
    <n v="4"/>
    <n v="0"/>
    <n v="-4"/>
    <m/>
    <n v="0"/>
    <n v="0"/>
    <n v="0"/>
    <n v="0"/>
    <n v="0"/>
    <m/>
    <n v="12744.95"/>
    <n v="5433.59"/>
    <n v="0"/>
    <n v="5433.59"/>
    <n v="0"/>
    <n v="-7311.36"/>
    <x v="0"/>
    <x v="0"/>
  </r>
  <r>
    <s v="00.0656.    ."/>
    <s v="Small Tools (Over $750)"/>
    <s v="All Other Areas"/>
    <s v="General Conditions"/>
    <s v="LAX People Mover-HVAC"/>
    <x v="4"/>
    <s v="PLUM"/>
    <m/>
    <n v="0"/>
    <n v="531"/>
    <n v="207"/>
    <n v="-324"/>
    <m/>
    <n v="0"/>
    <n v="0"/>
    <n v="0"/>
    <n v="0"/>
    <n v="0"/>
    <m/>
    <n v="62134.35"/>
    <n v="59438.76"/>
    <n v="0"/>
    <n v="59438.76"/>
    <n v="0"/>
    <n v="-2695.59"/>
    <x v="0"/>
    <x v="0"/>
  </r>
  <r>
    <s v="00.0657.    ."/>
    <s v="Permits"/>
    <s v="All Other Areas"/>
    <s v="General Conditions"/>
    <s v="LAX People Mover-HVAC"/>
    <x v="4"/>
    <s v="PLUM"/>
    <m/>
    <n v="0"/>
    <n v="6"/>
    <n v="6"/>
    <n v="0"/>
    <m/>
    <n v="0"/>
    <n v="0"/>
    <n v="0"/>
    <n v="0"/>
    <n v="0"/>
    <m/>
    <n v="326.58999999999997"/>
    <n v="124.22"/>
    <n v="0"/>
    <n v="124.22"/>
    <n v="0"/>
    <n v="-202.37"/>
    <x v="0"/>
    <x v="0"/>
  </r>
  <r>
    <s v="00.1334.    ."/>
    <s v="Ductwork - Sheetmetal"/>
    <s v="All Other Areas"/>
    <s v="Sheet Metal"/>
    <s v="LAX People Mover-HVAC"/>
    <x v="1"/>
    <s v="HVAC"/>
    <m/>
    <n v="0"/>
    <n v="0"/>
    <n v="0"/>
    <n v="0"/>
    <m/>
    <n v="0"/>
    <n v="0"/>
    <n v="0"/>
    <n v="0"/>
    <n v="0"/>
    <m/>
    <n v="750"/>
    <n v="1170.8599999999999"/>
    <n v="0"/>
    <n v="1170.8599999999999"/>
    <n v="0"/>
    <n v="420.86"/>
    <x v="1"/>
    <x v="0"/>
  </r>
  <r>
    <s v="00.1334.    ."/>
    <s v="Ductwork - Sheetmetal"/>
    <s v="All Other Areas"/>
    <s v="Sheet Metal"/>
    <s v="LAX People Mover-HVAC"/>
    <x v="0"/>
    <s v="HVAC"/>
    <m/>
    <n v="0"/>
    <n v="1348"/>
    <n v="0"/>
    <n v="-1348"/>
    <m/>
    <n v="0"/>
    <n v="0"/>
    <n v="0"/>
    <n v="0"/>
    <n v="0"/>
    <m/>
    <n v="660013.65"/>
    <n v="817796.32"/>
    <n v="833.3"/>
    <n v="817791.86"/>
    <n v="-4.46"/>
    <n v="157778.21"/>
    <x v="1"/>
    <x v="0"/>
  </r>
  <r>
    <s v="00.1344.    ."/>
    <s v="Miscellaneous Material - Sheetmetal - Flue"/>
    <s v="All Other Areas"/>
    <s v="Sheet Metal"/>
    <s v="LAX People Mover-HVAC"/>
    <x v="0"/>
    <s v="HVAC"/>
    <m/>
    <n v="0"/>
    <n v="3214"/>
    <n v="0"/>
    <n v="-3214"/>
    <m/>
    <n v="0"/>
    <n v="0"/>
    <n v="0"/>
    <n v="0"/>
    <n v="0"/>
    <m/>
    <n v="13688"/>
    <n v="114115.42"/>
    <n v="0"/>
    <n v="114115.42"/>
    <n v="0"/>
    <n v="100427.42"/>
    <x v="1"/>
    <x v="0"/>
  </r>
  <r>
    <s v="00.1346.    ."/>
    <s v="Hangers and Supports - Sheetmetal"/>
    <s v="All Other Areas"/>
    <s v="Hangers"/>
    <s v="LAX People Mover-HVAC"/>
    <x v="0"/>
    <s v="HVAC"/>
    <m/>
    <n v="0"/>
    <n v="51766"/>
    <n v="0"/>
    <n v="-51766"/>
    <m/>
    <n v="0"/>
    <n v="0"/>
    <n v="0"/>
    <n v="0"/>
    <n v="0"/>
    <m/>
    <n v="44950"/>
    <n v="172816.99"/>
    <n v="0"/>
    <n v="172816.99"/>
    <n v="0"/>
    <n v="127866.99"/>
    <x v="1"/>
    <x v="0"/>
  </r>
  <r>
    <s v="00.1360.    ."/>
    <s v="Duct ID and Tags-Sheet Metal"/>
    <s v="All Other Areas"/>
    <s v="Specialties / Misc"/>
    <s v="LAX People Mover-HVAC"/>
    <x v="0"/>
    <s v="HVAC"/>
    <m/>
    <n v="0"/>
    <n v="0"/>
    <n v="0"/>
    <n v="0"/>
    <m/>
    <n v="0"/>
    <n v="0"/>
    <n v="0"/>
    <n v="0"/>
    <n v="0"/>
    <m/>
    <n v="1601"/>
    <n v="0"/>
    <n v="0"/>
    <n v="0"/>
    <n v="0"/>
    <n v="-1601"/>
    <x v="1"/>
    <x v="0"/>
  </r>
  <r>
    <s v="00.1430.    ."/>
    <s v="Rental Equipment - Sheetmetal"/>
    <s v="All Other Areas"/>
    <s v="Equipment"/>
    <s v="LAX People Mover-HVAC"/>
    <x v="2"/>
    <s v="HVAC"/>
    <m/>
    <n v="0"/>
    <n v="0"/>
    <n v="0"/>
    <n v="0"/>
    <m/>
    <n v="0"/>
    <n v="0"/>
    <n v="0"/>
    <n v="0"/>
    <n v="0"/>
    <m/>
    <n v="38000"/>
    <n v="96914.01"/>
    <n v="15431.7"/>
    <n v="112345.71"/>
    <n v="15431.7"/>
    <n v="74345.710000000006"/>
    <x v="1"/>
    <x v="0"/>
  </r>
  <r>
    <s v="00.1430.    ."/>
    <s v="Rental Equipment - Sheetmetal"/>
    <s v="All Other Areas"/>
    <s v="Equipment"/>
    <s v="LAX People Mover-HVAC"/>
    <x v="3"/>
    <s v="HVAC"/>
    <m/>
    <n v="0"/>
    <n v="0"/>
    <n v="0"/>
    <n v="0"/>
    <m/>
    <n v="0"/>
    <n v="0"/>
    <n v="0"/>
    <n v="0"/>
    <n v="0"/>
    <m/>
    <n v="5476"/>
    <n v="0"/>
    <n v="0"/>
    <n v="0"/>
    <n v="0"/>
    <n v="-5476"/>
    <x v="1"/>
    <x v="0"/>
  </r>
  <r>
    <s v="00.1430.    ."/>
    <s v="Rental Equipment - Sheetmetal"/>
    <s v="All Other Areas"/>
    <s v="Equipment"/>
    <s v="LAX People Mover-HVAC"/>
    <x v="4"/>
    <s v="HVAC"/>
    <m/>
    <n v="0"/>
    <n v="0"/>
    <n v="0"/>
    <n v="0"/>
    <m/>
    <n v="0"/>
    <n v="0"/>
    <n v="0"/>
    <n v="0"/>
    <n v="0"/>
    <m/>
    <n v="25000"/>
    <n v="0"/>
    <n v="0"/>
    <n v="0"/>
    <n v="0"/>
    <n v="-25000"/>
    <x v="1"/>
    <x v="0"/>
  </r>
  <r>
    <s v="00.1444.    ."/>
    <s v="Testing and Balancing - Sheetmetal"/>
    <s v="SUBS"/>
    <s v="Subcontracts"/>
    <s v="LAX People Mover-HVAC"/>
    <x v="2"/>
    <s v="HVAC"/>
    <m/>
    <n v="0"/>
    <n v="0"/>
    <n v="0"/>
    <n v="0"/>
    <m/>
    <n v="0"/>
    <n v="0"/>
    <n v="0"/>
    <n v="0"/>
    <n v="0"/>
    <m/>
    <n v="142505"/>
    <n v="66170"/>
    <n v="76110"/>
    <n v="142280"/>
    <n v="76110"/>
    <n v="-225"/>
    <x v="1"/>
    <x v="0"/>
  </r>
  <r>
    <s v="00.1446.    ."/>
    <s v="Firestopping - Sheetmetal"/>
    <s v="SUBS"/>
    <s v="Subcontracts"/>
    <s v="LAX People Mover-HVAC"/>
    <x v="2"/>
    <s v="HVAC"/>
    <m/>
    <n v="0"/>
    <n v="0"/>
    <n v="0"/>
    <n v="0"/>
    <m/>
    <n v="0"/>
    <n v="0"/>
    <n v="0"/>
    <n v="0"/>
    <n v="0"/>
    <m/>
    <n v="140760"/>
    <n v="48525"/>
    <n v="0"/>
    <n v="48525"/>
    <n v="0"/>
    <n v="-92235"/>
    <x v="1"/>
    <x v="0"/>
  </r>
  <r>
    <s v="00.1447.    ."/>
    <s v="Insulation - Sheetmetal"/>
    <s v="SUBS"/>
    <s v="Subcontracts"/>
    <s v="LAX People Mover-HVAC"/>
    <x v="2"/>
    <s v="HVAC"/>
    <m/>
    <n v="0"/>
    <n v="0"/>
    <n v="0"/>
    <n v="0"/>
    <m/>
    <n v="0"/>
    <n v="0"/>
    <n v="0"/>
    <n v="0"/>
    <n v="0"/>
    <m/>
    <n v="546928"/>
    <n v="432134.31"/>
    <n v="0"/>
    <n v="432134.31"/>
    <n v="0"/>
    <n v="-114793.69"/>
    <x v="1"/>
    <x v="0"/>
  </r>
  <r>
    <s v="00.1448.    ."/>
    <s v="Water Treatment - Sheetmetal"/>
    <s v="SUBS"/>
    <s v="Subcontracts"/>
    <s v="LAX People Mover-HVAC"/>
    <x v="2"/>
    <s v="HVAC"/>
    <m/>
    <n v="0"/>
    <n v="0"/>
    <n v="0"/>
    <n v="0"/>
    <m/>
    <n v="0"/>
    <n v="0"/>
    <n v="0"/>
    <n v="0"/>
    <n v="0"/>
    <m/>
    <n v="6500"/>
    <n v="2134.27"/>
    <n v="0"/>
    <n v="6500"/>
    <n v="4365.7299999999996"/>
    <n v="0"/>
    <x v="1"/>
    <x v="0"/>
  </r>
  <r>
    <s v="00.1451.    ."/>
    <s v="Seismic Engineering - Sheetmetal"/>
    <s v="All Other Areas"/>
    <s v="Subcontracts"/>
    <s v="LAX People Mover-HVAC"/>
    <x v="0"/>
    <s v="HVAC"/>
    <m/>
    <n v="0"/>
    <n v="9"/>
    <n v="0"/>
    <n v="-9"/>
    <m/>
    <n v="0"/>
    <n v="0"/>
    <n v="0"/>
    <n v="0"/>
    <n v="0"/>
    <m/>
    <n v="0"/>
    <n v="371.33"/>
    <n v="0"/>
    <n v="371.33"/>
    <n v="0"/>
    <n v="371.33"/>
    <x v="1"/>
    <x v="0"/>
  </r>
  <r>
    <s v="00.1451.    ."/>
    <s v="Seismic Engineering - Sheetmetal"/>
    <s v="All Other Areas"/>
    <s v="Subcontracts"/>
    <s v="LAX People Mover-HVAC"/>
    <x v="2"/>
    <s v="HVAC"/>
    <m/>
    <n v="0"/>
    <n v="0"/>
    <n v="0"/>
    <n v="0"/>
    <m/>
    <n v="0"/>
    <n v="0"/>
    <n v="0"/>
    <n v="0"/>
    <n v="0"/>
    <m/>
    <n v="227681"/>
    <n v="237714.07"/>
    <n v="28066.38"/>
    <n v="265780.45"/>
    <n v="28066.38"/>
    <n v="38099.449999999997"/>
    <x v="1"/>
    <x v="0"/>
  </r>
  <r>
    <s v="00.1505.    ."/>
    <s v="Consumables - Sheetmetal"/>
    <s v="All Other Areas"/>
    <s v="General Conditions"/>
    <s v="LAX People Mover-HVAC"/>
    <x v="0"/>
    <s v="HVAC"/>
    <m/>
    <n v="0"/>
    <n v="4401"/>
    <n v="0"/>
    <n v="-4401"/>
    <m/>
    <n v="0"/>
    <n v="0"/>
    <n v="0"/>
    <n v="0"/>
    <n v="0"/>
    <m/>
    <n v="11140"/>
    <n v="19257.439999999999"/>
    <n v="0"/>
    <n v="19757.439999999999"/>
    <n v="500"/>
    <n v="8617.44"/>
    <x v="1"/>
    <x v="0"/>
  </r>
  <r>
    <s v="00.1656.    ."/>
    <s v="Small Tools - Sheetmetal"/>
    <s v="All Other Areas"/>
    <s v="General Conditions"/>
    <s v="LAX People Mover-HVAC"/>
    <x v="4"/>
    <s v="HVAC"/>
    <m/>
    <n v="0"/>
    <n v="899"/>
    <n v="0"/>
    <n v="-899"/>
    <m/>
    <n v="0"/>
    <n v="0"/>
    <n v="0"/>
    <n v="0"/>
    <n v="0"/>
    <m/>
    <n v="39631"/>
    <n v="29112.78"/>
    <n v="0"/>
    <n v="29112.78"/>
    <n v="0"/>
    <n v="-10518.22"/>
    <x v="1"/>
    <x v="0"/>
  </r>
  <r>
    <s v="00.2337.    ."/>
    <s v="Steel Pipe and Fittings - Piping"/>
    <s v="All Other Areas"/>
    <s v="Piping"/>
    <s v="LAX People Mover-HVAC"/>
    <x v="0"/>
    <s v="PIPE"/>
    <m/>
    <n v="0"/>
    <n v="3593"/>
    <n v="52"/>
    <n v="-3541"/>
    <m/>
    <n v="0"/>
    <n v="0"/>
    <n v="0"/>
    <n v="0"/>
    <n v="0"/>
    <m/>
    <n v="31472.799999999999"/>
    <n v="39681.4"/>
    <n v="0"/>
    <n v="39681.4"/>
    <n v="0"/>
    <n v="8208.6"/>
    <x v="2"/>
    <x v="0"/>
  </r>
  <r>
    <s v="00.2340.    ."/>
    <s v="Copper Pipe, Fittings, and Couplings- Piping"/>
    <s v="All Other Areas"/>
    <s v="Piping"/>
    <s v="LAX People Mover-HVAC"/>
    <x v="0"/>
    <s v="PIPE"/>
    <m/>
    <n v="0"/>
    <n v="39673"/>
    <n v="98"/>
    <n v="-39575"/>
    <m/>
    <n v="0"/>
    <n v="0"/>
    <n v="0"/>
    <n v="0"/>
    <n v="0"/>
    <m/>
    <n v="35906"/>
    <n v="217288.43"/>
    <n v="0"/>
    <n v="217288.43"/>
    <n v="0"/>
    <n v="181382.43"/>
    <x v="2"/>
    <x v="0"/>
  </r>
  <r>
    <s v="00.2341.    ."/>
    <s v="Cleaned and Capped Copper Pipe and Fittings"/>
    <s v="All Other Areas"/>
    <s v="Med Gas"/>
    <s v="LAX People Mover-HVAC"/>
    <x v="0"/>
    <s v="PIPE"/>
    <m/>
    <n v="0"/>
    <n v="7564"/>
    <n v="0"/>
    <n v="-7564"/>
    <m/>
    <n v="0"/>
    <n v="0"/>
    <n v="0"/>
    <n v="0"/>
    <n v="0"/>
    <m/>
    <n v="84121.12"/>
    <n v="60826.66"/>
    <n v="0"/>
    <n v="60826.66"/>
    <n v="0"/>
    <n v="-23294.46"/>
    <x v="2"/>
    <x v="0"/>
  </r>
  <r>
    <s v="00.2342.    ."/>
    <s v="Specialty Pipe and Fittings - Piping"/>
    <s v="All Other Areas"/>
    <s v="Piping"/>
    <s v="LAX People Mover-HVAC"/>
    <x v="0"/>
    <s v="PIPE"/>
    <m/>
    <n v="0"/>
    <n v="86"/>
    <n v="71"/>
    <n v="-15"/>
    <m/>
    <n v="0"/>
    <n v="0"/>
    <n v="0"/>
    <n v="0"/>
    <n v="0"/>
    <m/>
    <n v="45571"/>
    <n v="70587.199999999997"/>
    <n v="0"/>
    <n v="70587.199999999997"/>
    <n v="0"/>
    <n v="25016.2"/>
    <x v="2"/>
    <x v="0"/>
  </r>
  <r>
    <s v="00.2345.    ."/>
    <s v="Valves - Piping"/>
    <s v="All Other Areas"/>
    <s v="Specialties / Misc"/>
    <s v="LAX People Mover-HVAC"/>
    <x v="0"/>
    <s v="PIPE"/>
    <m/>
    <n v="0"/>
    <n v="457"/>
    <n v="0"/>
    <n v="-457"/>
    <m/>
    <n v="0"/>
    <n v="0"/>
    <n v="0"/>
    <n v="0"/>
    <n v="0"/>
    <m/>
    <n v="32800"/>
    <n v="21420.2"/>
    <n v="0"/>
    <n v="21420.2"/>
    <n v="0"/>
    <n v="-11379.8"/>
    <x v="2"/>
    <x v="0"/>
  </r>
  <r>
    <s v="00.2346.    ."/>
    <s v="Hangers and Supports - Piping"/>
    <s v="All Other Areas"/>
    <s v="Hangers"/>
    <s v="LAX People Mover-HVAC"/>
    <x v="0"/>
    <s v="PIPE"/>
    <m/>
    <n v="0"/>
    <n v="73840"/>
    <n v="2"/>
    <n v="-73838"/>
    <m/>
    <n v="0"/>
    <n v="0"/>
    <n v="0"/>
    <n v="0"/>
    <n v="0"/>
    <m/>
    <n v="93562"/>
    <n v="181357.57"/>
    <n v="0"/>
    <n v="181857.57"/>
    <n v="500"/>
    <n v="88295.57"/>
    <x v="2"/>
    <x v="0"/>
  </r>
  <r>
    <s v="00.2347.    ."/>
    <s v="Specialties - Piping"/>
    <s v="All Other Areas"/>
    <s v="Specialties / Misc"/>
    <s v="LAX People Mover-HVAC"/>
    <x v="0"/>
    <s v="PIPE"/>
    <m/>
    <n v="0"/>
    <n v="1632"/>
    <n v="2"/>
    <n v="-1630"/>
    <m/>
    <n v="0"/>
    <n v="0"/>
    <n v="0"/>
    <n v="0"/>
    <n v="0"/>
    <m/>
    <n v="48347.11"/>
    <n v="86225.56"/>
    <n v="0"/>
    <n v="86225.56"/>
    <n v="0"/>
    <n v="37878.449999999997"/>
    <x v="2"/>
    <x v="0"/>
  </r>
  <r>
    <s v="00.2360.    ."/>
    <s v="Pipe ID and Valve Tags - Piping"/>
    <s v="All Other Areas"/>
    <s v="Specialties / Misc"/>
    <s v="LAX People Mover-HVAC"/>
    <x v="0"/>
    <s v="PIPE"/>
    <m/>
    <n v="0"/>
    <n v="2562"/>
    <n v="0"/>
    <n v="-2562"/>
    <m/>
    <n v="0"/>
    <n v="0"/>
    <n v="0"/>
    <n v="0"/>
    <n v="0"/>
    <m/>
    <n v="3443"/>
    <n v="25301.19"/>
    <n v="0"/>
    <n v="25301.19"/>
    <n v="0"/>
    <n v="21858.19"/>
    <x v="2"/>
    <x v="0"/>
  </r>
  <r>
    <s v="00.2430.    ."/>
    <s v="Rental Equipment- Piping"/>
    <s v="All Other Areas"/>
    <s v="Equipment"/>
    <s v="LAX People Mover-HVAC"/>
    <x v="0"/>
    <s v="PIPE"/>
    <m/>
    <n v="0"/>
    <n v="0"/>
    <n v="0"/>
    <n v="0"/>
    <m/>
    <n v="0"/>
    <n v="0"/>
    <n v="0"/>
    <n v="0"/>
    <n v="0"/>
    <m/>
    <n v="0"/>
    <n v="0"/>
    <n v="0"/>
    <n v="0"/>
    <n v="0"/>
    <n v="0"/>
    <x v="2"/>
    <x v="0"/>
  </r>
  <r>
    <s v="00.2445.    ."/>
    <s v="Subcontracts - Piping - Crane"/>
    <s v="SUBS"/>
    <s v="Subcontracts"/>
    <s v="LAX People Mover-HVAC"/>
    <x v="2"/>
    <s v="PIPE"/>
    <m/>
    <n v="0"/>
    <n v="0"/>
    <n v="0"/>
    <n v="0"/>
    <m/>
    <n v="0"/>
    <n v="0"/>
    <n v="0"/>
    <n v="0"/>
    <n v="0"/>
    <m/>
    <n v="120000"/>
    <n v="104797.97"/>
    <n v="2.9"/>
    <n v="104800.87"/>
    <n v="2.9"/>
    <n v="-15199.13"/>
    <x v="2"/>
    <x v="0"/>
  </r>
  <r>
    <s v="00.2447.    ."/>
    <s v="Insulation - Piping"/>
    <s v="SUBS"/>
    <s v="Subcontracts"/>
    <s v="LAX People Mover-Plumbing"/>
    <x v="0"/>
    <s v="PIPE"/>
    <m/>
    <n v="0"/>
    <n v="0"/>
    <n v="0"/>
    <n v="0"/>
    <m/>
    <n v="0"/>
    <n v="0"/>
    <n v="0"/>
    <n v="0"/>
    <n v="0"/>
    <m/>
    <n v="0"/>
    <n v="1729.24"/>
    <n v="0"/>
    <n v="1729.24"/>
    <n v="0"/>
    <n v="1729.24"/>
    <x v="2"/>
    <x v="0"/>
  </r>
  <r>
    <s v="00.2447.    ."/>
    <s v="Insulation - Piping"/>
    <s v="SUBS"/>
    <s v="Subcontracts"/>
    <s v="LAX People Mover-Plumbing"/>
    <x v="2"/>
    <s v="PIPE"/>
    <m/>
    <n v="0"/>
    <n v="0"/>
    <n v="0"/>
    <n v="0"/>
    <m/>
    <n v="0"/>
    <n v="0"/>
    <n v="0"/>
    <n v="0"/>
    <n v="0"/>
    <m/>
    <n v="7269.12"/>
    <n v="35445.43"/>
    <n v="0"/>
    <n v="35445.43"/>
    <n v="0"/>
    <n v="28176.31"/>
    <x v="2"/>
    <x v="0"/>
  </r>
  <r>
    <s v="00.2505.    ."/>
    <s v="Consumables - Piping"/>
    <s v="All Other Areas"/>
    <s v="General Conditions"/>
    <s v="LAX People Mover-HVAC"/>
    <x v="0"/>
    <s v="PIPE"/>
    <m/>
    <n v="0"/>
    <n v="5808"/>
    <n v="1168"/>
    <n v="-4640"/>
    <m/>
    <n v="0"/>
    <n v="0"/>
    <n v="0"/>
    <n v="0"/>
    <n v="0"/>
    <m/>
    <n v="25980"/>
    <n v="47611.23"/>
    <n v="0"/>
    <n v="48111.23"/>
    <n v="500"/>
    <n v="22131.23"/>
    <x v="2"/>
    <x v="0"/>
  </r>
  <r>
    <s v="00.2510.    ."/>
    <s v="Welding and Purge Gases - Piping"/>
    <s v="All Other Areas"/>
    <s v="General Conditions"/>
    <s v="LAX People Mover-HVAC"/>
    <x v="0"/>
    <s v="PIPE"/>
    <m/>
    <n v="0"/>
    <n v="181"/>
    <n v="0"/>
    <n v="-181"/>
    <m/>
    <n v="0"/>
    <n v="0"/>
    <n v="0"/>
    <n v="0"/>
    <n v="0"/>
    <m/>
    <n v="200"/>
    <n v="2350.08"/>
    <n v="0"/>
    <n v="2350.08"/>
    <n v="0"/>
    <n v="2150.08"/>
    <x v="2"/>
    <x v="0"/>
  </r>
  <r>
    <s v="00.2656.    ."/>
    <s v="Small Tools - Piping"/>
    <s v="All Other Areas"/>
    <s v="General Conditions"/>
    <s v="LAX People Mover-HVAC"/>
    <x v="0"/>
    <s v="PIPE"/>
    <m/>
    <n v="0"/>
    <n v="146"/>
    <n v="0"/>
    <n v="-146"/>
    <m/>
    <n v="0"/>
    <n v="0"/>
    <n v="0"/>
    <n v="0"/>
    <n v="0"/>
    <m/>
    <n v="0"/>
    <n v="13713.37"/>
    <n v="0"/>
    <n v="13751.04"/>
    <n v="37.67"/>
    <n v="13751.04"/>
    <x v="2"/>
    <x v="0"/>
  </r>
  <r>
    <s v="00.2656.    ."/>
    <s v="Small Tools - Piping"/>
    <s v="All Other Areas"/>
    <s v="General Conditions"/>
    <s v="LAX People Mover-HVAC"/>
    <x v="4"/>
    <s v="PIPE"/>
    <m/>
    <n v="0"/>
    <n v="1258"/>
    <n v="10"/>
    <n v="-1248"/>
    <m/>
    <n v="0"/>
    <n v="0"/>
    <n v="0"/>
    <n v="0"/>
    <n v="0"/>
    <m/>
    <n v="39869"/>
    <n v="62931.53"/>
    <n v="0"/>
    <n v="62931.53"/>
    <n v="0"/>
    <n v="23062.53"/>
    <x v="2"/>
    <x v="0"/>
  </r>
  <r>
    <s v="01.0003.    ."/>
    <s v="QA/QC"/>
    <s v="All Other Areas"/>
    <s v="General Conditions Staff"/>
    <s v="LAX People Mover-HVAC"/>
    <x v="1"/>
    <s v="ALL"/>
    <m/>
    <n v="0"/>
    <n v="0"/>
    <n v="0"/>
    <n v="0"/>
    <m/>
    <n v="1165"/>
    <n v="1036"/>
    <n v="1036"/>
    <n v="0"/>
    <n v="-129"/>
    <m/>
    <n v="104900"/>
    <n v="108694.78"/>
    <n v="0"/>
    <n v="108694.78"/>
    <n v="0"/>
    <n v="3794.78"/>
    <x v="3"/>
    <x v="0"/>
  </r>
  <r>
    <s v="01.0004.    ."/>
    <s v="Superintendent"/>
    <s v="All Other Areas"/>
    <s v="General Conditions Staff"/>
    <s v="LAX People Mover-HVAC"/>
    <x v="1"/>
    <s v="ALL"/>
    <m/>
    <n v="0"/>
    <n v="0"/>
    <n v="0"/>
    <n v="0"/>
    <m/>
    <n v="2712"/>
    <n v="2391"/>
    <n v="2436"/>
    <n v="45"/>
    <n v="-276"/>
    <m/>
    <n v="244260"/>
    <n v="281718.15999999997"/>
    <n v="0"/>
    <n v="286984.75"/>
    <n v="5266.59"/>
    <n v="42724.75"/>
    <x v="3"/>
    <x v="0"/>
  </r>
  <r>
    <s v="01.0005.    ."/>
    <s v="Project Manager"/>
    <s v="All Other Areas"/>
    <s v="General Conditions Staff"/>
    <s v="LAX People Mover-HVAC"/>
    <x v="1"/>
    <s v="ALL"/>
    <m/>
    <n v="0"/>
    <n v="0"/>
    <n v="0"/>
    <n v="0"/>
    <m/>
    <n v="5083"/>
    <n v="5773"/>
    <n v="6213"/>
    <n v="440"/>
    <n v="1130"/>
    <m/>
    <n v="460685"/>
    <n v="647408.42000000004"/>
    <n v="0"/>
    <n v="698888.42"/>
    <n v="51480"/>
    <n v="238203.42"/>
    <x v="3"/>
    <x v="0"/>
  </r>
  <r>
    <s v="01.0006.    ."/>
    <s v="Project Engineer"/>
    <s v="All Other Areas"/>
    <s v="General Conditions Staff"/>
    <s v="LAX People Mover-HVAC"/>
    <x v="1"/>
    <s v="ALL"/>
    <m/>
    <n v="0"/>
    <n v="0"/>
    <n v="0"/>
    <n v="0"/>
    <m/>
    <n v="9800"/>
    <n v="11725.5"/>
    <n v="11725.5"/>
    <n v="0"/>
    <n v="1925.5"/>
    <m/>
    <n v="637930"/>
    <n v="775033.51"/>
    <n v="0"/>
    <n v="775033.51"/>
    <n v="0"/>
    <n v="137103.51"/>
    <x v="3"/>
    <x v="0"/>
  </r>
  <r>
    <s v="01.0008.    ."/>
    <s v="Preconstruction"/>
    <s v="All Other Areas"/>
    <s v="General Conditions Staff"/>
    <s v="LAX People Mover-HVAC"/>
    <x v="1"/>
    <s v="ALL"/>
    <m/>
    <n v="0"/>
    <n v="0"/>
    <n v="0"/>
    <n v="0"/>
    <m/>
    <n v="0"/>
    <n v="120"/>
    <n v="120"/>
    <n v="0"/>
    <n v="120"/>
    <m/>
    <n v="0"/>
    <n v="11092"/>
    <n v="0"/>
    <n v="11092"/>
    <n v="0"/>
    <n v="11092"/>
    <x v="3"/>
    <x v="0"/>
  </r>
  <r>
    <s v="01.0010.    ."/>
    <s v="Safety Manager"/>
    <s v="All Other Areas"/>
    <s v="General Conditions Staff"/>
    <s v="LAX People Mover-HVAC"/>
    <x v="1"/>
    <s v="ALL"/>
    <m/>
    <n v="0"/>
    <n v="0"/>
    <n v="0"/>
    <n v="0"/>
    <m/>
    <n v="960"/>
    <n v="0"/>
    <n v="0"/>
    <n v="0"/>
    <n v="-960"/>
    <m/>
    <n v="72000"/>
    <n v="0"/>
    <n v="0"/>
    <n v="0"/>
    <n v="0"/>
    <n v="-72000"/>
    <x v="3"/>
    <x v="0"/>
  </r>
  <r>
    <s v="01.0013.    ."/>
    <s v="Engineer"/>
    <s v="All Other Areas"/>
    <s v="Engineering"/>
    <s v="LAX People Mover-HVAC"/>
    <x v="1"/>
    <s v="ALL"/>
    <m/>
    <n v="0"/>
    <n v="0"/>
    <n v="0"/>
    <n v="0"/>
    <m/>
    <n v="1626"/>
    <n v="214.5"/>
    <n v="214.5"/>
    <n v="0"/>
    <n v="-1411.5"/>
    <m/>
    <n v="146340"/>
    <n v="15926.95"/>
    <n v="0"/>
    <n v="15926.95"/>
    <n v="0"/>
    <n v="-130413.05"/>
    <x v="3"/>
    <x v="0"/>
  </r>
  <r>
    <s v="01.0014.    ."/>
    <s v="Purchasing/Expediting"/>
    <s v="All Other Areas"/>
    <s v="General Conditions Staff"/>
    <s v="LAX People Mover-HVAC"/>
    <x v="1"/>
    <s v="ALL"/>
    <m/>
    <n v="0"/>
    <n v="0"/>
    <n v="0"/>
    <n v="0"/>
    <m/>
    <n v="3225"/>
    <n v="2456"/>
    <n v="2456"/>
    <n v="0"/>
    <n v="-769"/>
    <m/>
    <n v="96792"/>
    <n v="76381.8"/>
    <n v="0"/>
    <n v="76381.8"/>
    <n v="0"/>
    <n v="-20410.2"/>
    <x v="3"/>
    <x v="0"/>
  </r>
  <r>
    <s v="01.0015.    ."/>
    <s v="Estimating"/>
    <s v="All Other Areas"/>
    <s v="General Conditions Staff"/>
    <s v="LAX People Mover-HVAC"/>
    <x v="1"/>
    <s v="ALL"/>
    <m/>
    <n v="0"/>
    <n v="0"/>
    <n v="0"/>
    <n v="0"/>
    <m/>
    <n v="0"/>
    <n v="36"/>
    <n v="36"/>
    <n v="0"/>
    <n v="36"/>
    <m/>
    <n v="0"/>
    <n v="3506.82"/>
    <n v="0"/>
    <n v="3506.82"/>
    <n v="0"/>
    <n v="3506.82"/>
    <x v="3"/>
    <x v="0"/>
  </r>
  <r>
    <s v="01.0650.    ."/>
    <s v="Jobsite Facilities"/>
    <s v="All Other Areas"/>
    <s v="General Conditions"/>
    <s v="LAX People Mover-HVAC"/>
    <x v="4"/>
    <s v="ALL"/>
    <m/>
    <n v="0"/>
    <n v="90"/>
    <n v="0"/>
    <n v="-90"/>
    <m/>
    <n v="0"/>
    <n v="0"/>
    <n v="0"/>
    <n v="0"/>
    <n v="0"/>
    <m/>
    <n v="89103"/>
    <n v="37117.49"/>
    <n v="0"/>
    <n v="38634.589999999997"/>
    <n v="1517.1"/>
    <n v="-50468.41"/>
    <x v="3"/>
    <x v="0"/>
  </r>
  <r>
    <s v="01.0651.    ."/>
    <s v="Parking/Subsistence"/>
    <s v="All Other Areas"/>
    <s v="General Conditions"/>
    <s v="LAX People Mover-HVAC"/>
    <x v="3"/>
    <s v="ALL"/>
    <m/>
    <n v="0"/>
    <n v="0"/>
    <n v="0"/>
    <n v="0"/>
    <m/>
    <n v="0"/>
    <n v="0"/>
    <n v="0"/>
    <n v="0"/>
    <n v="0"/>
    <m/>
    <n v="137"/>
    <n v="0"/>
    <n v="0"/>
    <n v="0"/>
    <n v="0"/>
    <n v="-137"/>
    <x v="3"/>
    <x v="0"/>
  </r>
  <r>
    <s v="01.0651.    ."/>
    <s v="Parking/Subsistence"/>
    <s v="All Other Areas"/>
    <s v="General Conditions"/>
    <s v="LAX People Mover-HVAC"/>
    <x v="4"/>
    <s v="ALL"/>
    <m/>
    <n v="0"/>
    <n v="0"/>
    <n v="0"/>
    <n v="0"/>
    <m/>
    <n v="0"/>
    <n v="0"/>
    <n v="0"/>
    <n v="0"/>
    <n v="0"/>
    <m/>
    <n v="226158"/>
    <n v="123761.06"/>
    <n v="0"/>
    <n v="124075.06"/>
    <n v="314"/>
    <n v="-102082.94"/>
    <x v="3"/>
    <x v="0"/>
  </r>
  <r>
    <s v="01.0652.    ."/>
    <s v="CAD/Computers"/>
    <s v="All Other Areas"/>
    <s v="General Conditions"/>
    <s v="LAX People Mover-HVAC"/>
    <x v="4"/>
    <s v="ALL"/>
    <m/>
    <n v="0"/>
    <n v="0"/>
    <n v="0"/>
    <n v="0"/>
    <m/>
    <n v="0"/>
    <n v="0"/>
    <n v="0"/>
    <n v="0"/>
    <n v="0"/>
    <m/>
    <n v="9686.83"/>
    <n v="6575.38"/>
    <n v="0"/>
    <n v="6575.38"/>
    <n v="0"/>
    <n v="-3111.45"/>
    <x v="3"/>
    <x v="0"/>
  </r>
  <r>
    <s v="01.0653.    ."/>
    <s v="Copy/Reproduction"/>
    <s v="All Other Areas"/>
    <s v="General Conditions"/>
    <s v="LAX People Mover-HVAC"/>
    <x v="4"/>
    <s v="ALL"/>
    <m/>
    <n v="0"/>
    <n v="0"/>
    <n v="0"/>
    <n v="0"/>
    <m/>
    <n v="0"/>
    <n v="0"/>
    <n v="0"/>
    <n v="0"/>
    <n v="0"/>
    <m/>
    <n v="9000"/>
    <n v="416.48"/>
    <n v="0"/>
    <n v="416.48"/>
    <n v="0"/>
    <n v="-8583.52"/>
    <x v="3"/>
    <x v="0"/>
  </r>
  <r>
    <s v="01.0654.    ."/>
    <s v="Safety"/>
    <s v="All Other Areas"/>
    <s v="General Conditions"/>
    <s v="LAX People Mover-HVAC"/>
    <x v="4"/>
    <s v="ALL"/>
    <m/>
    <n v="0"/>
    <n v="1439"/>
    <n v="502"/>
    <n v="-937"/>
    <m/>
    <n v="0"/>
    <n v="0"/>
    <n v="0"/>
    <n v="0"/>
    <n v="0"/>
    <m/>
    <n v="20000"/>
    <n v="26515.55"/>
    <n v="0"/>
    <n v="27515.55"/>
    <n v="1000"/>
    <n v="7515.55"/>
    <x v="3"/>
    <x v="0"/>
  </r>
  <r>
    <s v="01.0655.    ."/>
    <s v="Other Job Costs"/>
    <s v="All Other Areas"/>
    <s v="General Conditions"/>
    <s v="LAX People Mover-HVAC"/>
    <x v="4"/>
    <s v="ALL"/>
    <m/>
    <n v="0"/>
    <n v="3"/>
    <n v="20"/>
    <n v="17"/>
    <m/>
    <n v="0"/>
    <n v="0"/>
    <n v="0"/>
    <n v="0"/>
    <n v="0"/>
    <m/>
    <n v="82"/>
    <n v="138914.74"/>
    <n v="0"/>
    <n v="136556.54"/>
    <n v="-2358.1999999999998"/>
    <n v="136474.54"/>
    <x v="3"/>
    <x v="0"/>
  </r>
  <r>
    <s v="01.0657.    ."/>
    <s v="Permits"/>
    <s v="All Other Areas"/>
    <s v="General Conditions"/>
    <s v="LAX People Mover-HVAC"/>
    <x v="4"/>
    <s v="ALL"/>
    <m/>
    <n v="0"/>
    <n v="0"/>
    <n v="0"/>
    <n v="0"/>
    <m/>
    <n v="0"/>
    <n v="0"/>
    <n v="0"/>
    <n v="0"/>
    <n v="0"/>
    <m/>
    <n v="194365"/>
    <n v="2939.31"/>
    <n v="0"/>
    <n v="2939.31"/>
    <n v="0"/>
    <n v="-191425.69"/>
    <x v="3"/>
    <x v="0"/>
  </r>
  <r>
    <s v="01.0660.    ."/>
    <s v="Fuel"/>
    <s v="All Other Areas"/>
    <s v="General Conditions"/>
    <s v="LAX People Mover-HVAC"/>
    <x v="4"/>
    <s v="ALL"/>
    <m/>
    <n v="0"/>
    <n v="0"/>
    <n v="0"/>
    <n v="0"/>
    <m/>
    <n v="0"/>
    <n v="0"/>
    <n v="0"/>
    <n v="0"/>
    <n v="0"/>
    <m/>
    <n v="0"/>
    <n v="291.27"/>
    <n v="0"/>
    <n v="291.27"/>
    <n v="0"/>
    <n v="291.27"/>
    <x v="3"/>
    <x v="0"/>
  </r>
  <r>
    <s v="01.0710.    ."/>
    <s v="OCIP (Credit)"/>
    <s v="All Other Areas"/>
    <s v="General Conditions"/>
    <s v="LAX People Mover-HVAC"/>
    <x v="4"/>
    <s v="ALL"/>
    <m/>
    <n v="0"/>
    <n v="0"/>
    <n v="0"/>
    <n v="0"/>
    <m/>
    <n v="0"/>
    <n v="0"/>
    <n v="0"/>
    <n v="0"/>
    <n v="0"/>
    <m/>
    <n v="0"/>
    <n v="0"/>
    <n v="0"/>
    <n v="0"/>
    <n v="0"/>
    <n v="0"/>
    <x v="3"/>
    <x v="0"/>
  </r>
  <r>
    <s v="01.0720.    ."/>
    <s v="Bond"/>
    <s v="All Other Areas"/>
    <s v="General Conditions"/>
    <s v="LAX People Mover-HVAC"/>
    <x v="4"/>
    <s v="ALL"/>
    <m/>
    <n v="0"/>
    <n v="0"/>
    <n v="0"/>
    <n v="0"/>
    <m/>
    <n v="0"/>
    <n v="0"/>
    <n v="0"/>
    <n v="0"/>
    <n v="0"/>
    <m/>
    <n v="255773.05"/>
    <n v="168462"/>
    <n v="0"/>
    <n v="209884"/>
    <n v="41422"/>
    <n v="-45889.05"/>
    <x v="3"/>
    <x v="0"/>
  </r>
  <r>
    <s v="01.0740.    ."/>
    <s v="Contingency"/>
    <s v="All Other Areas"/>
    <s v="Contingency"/>
    <s v="LAX People Mover-HVAC"/>
    <x v="4"/>
    <s v="ALL"/>
    <m/>
    <n v="0"/>
    <n v="0"/>
    <n v="0"/>
    <n v="0"/>
    <m/>
    <n v="0"/>
    <n v="0"/>
    <n v="0"/>
    <n v="0"/>
    <n v="0"/>
    <m/>
    <n v="60000"/>
    <n v="0"/>
    <n v="0"/>
    <n v="0"/>
    <n v="0"/>
    <n v="-60000"/>
    <x v="3"/>
    <x v="0"/>
  </r>
  <r>
    <s v="01.0810.    ."/>
    <s v="Accrued AP"/>
    <s v="All Other Areas"/>
    <s v="General Conditions"/>
    <s v="LAX People Mover-HVAC"/>
    <x v="0"/>
    <s v="ALL"/>
    <m/>
    <n v="0"/>
    <n v="0"/>
    <n v="0"/>
    <n v="0"/>
    <m/>
    <n v="0"/>
    <n v="0"/>
    <n v="0"/>
    <n v="0"/>
    <n v="0"/>
    <m/>
    <n v="0"/>
    <n v="0"/>
    <n v="0"/>
    <n v="0"/>
    <n v="0"/>
    <n v="0"/>
    <x v="3"/>
    <x v="0"/>
  </r>
  <r>
    <s v="11.0377.    ."/>
    <s v="Building Equipment"/>
    <s v="All Other Areas"/>
    <s v="Equipment"/>
    <s v="LAX People Mover-HVAC"/>
    <x v="1"/>
    <s v="PLUM"/>
    <m/>
    <n v="0"/>
    <n v="0"/>
    <n v="0"/>
    <n v="0"/>
    <m/>
    <n v="0"/>
    <n v="408"/>
    <n v="408"/>
    <n v="0"/>
    <n v="408"/>
    <m/>
    <n v="0"/>
    <n v="39258.800000000003"/>
    <n v="0"/>
    <n v="39258.800000000003"/>
    <n v="0"/>
    <n v="39258.800000000003"/>
    <x v="0"/>
    <x v="0"/>
  </r>
  <r>
    <s v="11.0377.    ."/>
    <s v="Building Equipment"/>
    <s v="All Other Areas"/>
    <s v="Equipment"/>
    <s v="LAX People Mover-HVAC"/>
    <x v="0"/>
    <s v="PLUM"/>
    <m/>
    <n v="0"/>
    <n v="36"/>
    <n v="0"/>
    <n v="-36"/>
    <m/>
    <n v="0"/>
    <n v="0"/>
    <n v="0"/>
    <n v="0"/>
    <n v="0"/>
    <m/>
    <n v="0"/>
    <n v="49817.35"/>
    <n v="664.58"/>
    <n v="50481.93"/>
    <n v="664.58"/>
    <n v="50481.93"/>
    <x v="0"/>
    <x v="0"/>
  </r>
  <r>
    <s v="11.0377. MSF."/>
    <s v="Equipment"/>
    <s v="MSF"/>
    <s v="Equipment"/>
    <s v="LAX People Mover-HVAC"/>
    <x v="1"/>
    <s v="PLUM"/>
    <m/>
    <n v="0"/>
    <n v="0"/>
    <n v="0"/>
    <n v="0"/>
    <m/>
    <n v="233"/>
    <n v="543"/>
    <n v="543"/>
    <n v="0"/>
    <n v="310"/>
    <m/>
    <n v="21167.4"/>
    <n v="46828.43"/>
    <n v="0"/>
    <n v="46828.43"/>
    <n v="0"/>
    <n v="25661.03"/>
    <x v="0"/>
    <x v="0"/>
  </r>
  <r>
    <s v="11.0377. MSF."/>
    <s v="Equipment"/>
    <s v="MSF"/>
    <s v="Equipment"/>
    <s v="LAX People Mover-HVAC"/>
    <x v="0"/>
    <s v="PLUM"/>
    <m/>
    <n v="0"/>
    <n v="83"/>
    <n v="0"/>
    <n v="-83"/>
    <m/>
    <n v="0"/>
    <n v="0"/>
    <n v="0"/>
    <n v="0"/>
    <n v="0"/>
    <m/>
    <n v="167250.29999999999"/>
    <n v="70782.86"/>
    <n v="0"/>
    <n v="70782.86"/>
    <n v="0"/>
    <n v="-96467.44"/>
    <x v="0"/>
    <x v="0"/>
  </r>
  <r>
    <s v="11.0377. MSF."/>
    <s v="Equipment"/>
    <s v="MSF"/>
    <s v="Equipment"/>
    <s v="LAX People Mover-HVAC"/>
    <x v="3"/>
    <s v="PLUM"/>
    <m/>
    <n v="0"/>
    <n v="0"/>
    <n v="0"/>
    <n v="0"/>
    <m/>
    <n v="0"/>
    <n v="0"/>
    <n v="0"/>
    <n v="0"/>
    <n v="0"/>
    <m/>
    <n v="915"/>
    <n v="0"/>
    <n v="0"/>
    <n v="0"/>
    <n v="0"/>
    <n v="-915"/>
    <x v="0"/>
    <x v="0"/>
  </r>
  <r>
    <s v="11.0377.CCTA."/>
    <s v="Equipment"/>
    <s v="CCTA"/>
    <s v="Equipment"/>
    <s v="LAX People Mover-HVAC"/>
    <x v="1"/>
    <s v="PLUM"/>
    <m/>
    <n v="0"/>
    <n v="0"/>
    <n v="0"/>
    <n v="0"/>
    <m/>
    <n v="46"/>
    <n v="152"/>
    <n v="152"/>
    <n v="0"/>
    <n v="106"/>
    <m/>
    <n v="4140"/>
    <n v="13585.64"/>
    <n v="0"/>
    <n v="13585.64"/>
    <n v="0"/>
    <n v="9445.64"/>
    <x v="0"/>
    <x v="0"/>
  </r>
  <r>
    <s v="11.0377.CCTA."/>
    <s v="Equipment"/>
    <s v="CCTA"/>
    <s v="Equipment"/>
    <s v="LAX People Mover-HVAC"/>
    <x v="0"/>
    <s v="PLUM"/>
    <m/>
    <n v="0"/>
    <n v="2"/>
    <n v="0"/>
    <n v="-2"/>
    <m/>
    <n v="0"/>
    <n v="0"/>
    <n v="0"/>
    <n v="0"/>
    <n v="0"/>
    <m/>
    <n v="10732.1"/>
    <n v="2114.62"/>
    <n v="0"/>
    <n v="2114.62"/>
    <n v="0"/>
    <n v="-8617.48"/>
    <x v="0"/>
    <x v="0"/>
  </r>
  <r>
    <s v="11.0377.ECTA."/>
    <s v="Equipment"/>
    <s v="ECTA"/>
    <s v="Equipment"/>
    <s v="LAX People Mover-HVAC"/>
    <x v="1"/>
    <s v="PLUM"/>
    <m/>
    <n v="0"/>
    <n v="0"/>
    <n v="0"/>
    <n v="0"/>
    <m/>
    <n v="50"/>
    <n v="122"/>
    <n v="122"/>
    <n v="0"/>
    <n v="72"/>
    <m/>
    <n v="4500"/>
    <n v="12179.4"/>
    <n v="0"/>
    <n v="12179.4"/>
    <n v="0"/>
    <n v="7679.4"/>
    <x v="0"/>
    <x v="0"/>
  </r>
  <r>
    <s v="11.0377.ECTA."/>
    <s v="Equipment"/>
    <s v="ECTA"/>
    <s v="Equipment"/>
    <s v="LAX People Mover-HVAC"/>
    <x v="0"/>
    <s v="PLUM"/>
    <m/>
    <n v="0"/>
    <n v="2"/>
    <n v="0"/>
    <n v="-2"/>
    <m/>
    <n v="0"/>
    <n v="0"/>
    <n v="0"/>
    <n v="0"/>
    <n v="0"/>
    <m/>
    <n v="14272.23"/>
    <n v="1708.2"/>
    <n v="0"/>
    <n v="1708.2"/>
    <n v="0"/>
    <n v="-12564.03"/>
    <x v="0"/>
    <x v="0"/>
  </r>
  <r>
    <s v="11.0377.EITF."/>
    <s v="Equipment"/>
    <s v="EITF"/>
    <s v="Equipment"/>
    <s v="LAX People Mover-HVAC"/>
    <x v="1"/>
    <s v="PLUM"/>
    <m/>
    <n v="0"/>
    <n v="0"/>
    <n v="0"/>
    <n v="0"/>
    <m/>
    <n v="68"/>
    <n v="421"/>
    <n v="444"/>
    <n v="23"/>
    <n v="376"/>
    <m/>
    <n v="6120"/>
    <n v="40533.949999999997"/>
    <n v="0"/>
    <n v="42990.59"/>
    <n v="2456.64"/>
    <n v="36870.589999999997"/>
    <x v="0"/>
    <x v="0"/>
  </r>
  <r>
    <s v="11.0377.EITF."/>
    <s v="Equipment"/>
    <s v="EITF"/>
    <s v="Equipment"/>
    <s v="LAX People Mover-HVAC"/>
    <x v="0"/>
    <s v="PLUM"/>
    <m/>
    <n v="0"/>
    <n v="16"/>
    <n v="0"/>
    <n v="-16"/>
    <m/>
    <n v="0"/>
    <n v="0"/>
    <n v="0"/>
    <n v="0"/>
    <n v="0"/>
    <m/>
    <n v="52231.5"/>
    <n v="54763.43"/>
    <n v="0"/>
    <n v="54632.03"/>
    <n v="-131.4"/>
    <n v="2400.5300000000002"/>
    <x v="0"/>
    <x v="0"/>
  </r>
  <r>
    <s v="11.0377.TPS1."/>
    <s v="Equipment"/>
    <s v="TPS1"/>
    <s v="Equipment"/>
    <s v="LAX People Mover-HVAC"/>
    <x v="1"/>
    <s v="PLUM"/>
    <m/>
    <n v="0"/>
    <n v="0"/>
    <n v="0"/>
    <n v="0"/>
    <m/>
    <n v="17"/>
    <n v="68"/>
    <n v="68"/>
    <n v="0"/>
    <n v="51"/>
    <m/>
    <n v="1530"/>
    <n v="6806.29"/>
    <n v="0"/>
    <n v="6806.29"/>
    <n v="0"/>
    <n v="5276.29"/>
    <x v="0"/>
    <x v="0"/>
  </r>
  <r>
    <s v="11.0377.TPS1."/>
    <s v="Equipment"/>
    <s v="TPS1"/>
    <s v="Equipment"/>
    <s v="LAX People Mover-HVAC"/>
    <x v="0"/>
    <s v="PLUM"/>
    <m/>
    <n v="0"/>
    <n v="0"/>
    <n v="0"/>
    <n v="0"/>
    <m/>
    <n v="0"/>
    <n v="0"/>
    <n v="0"/>
    <n v="0"/>
    <n v="0"/>
    <m/>
    <n v="23965.17"/>
    <n v="0"/>
    <n v="0"/>
    <n v="0"/>
    <n v="0"/>
    <n v="-23965.17"/>
    <x v="0"/>
    <x v="0"/>
  </r>
  <r>
    <s v="11.0377.TPS3."/>
    <s v="Equipment"/>
    <s v="TPS3"/>
    <s v="Equipment"/>
    <s v="LAX People Mover-HVAC"/>
    <x v="1"/>
    <s v="PLUM"/>
    <m/>
    <n v="0"/>
    <n v="0"/>
    <n v="0"/>
    <n v="0"/>
    <m/>
    <n v="3"/>
    <n v="29"/>
    <n v="29"/>
    <n v="0"/>
    <n v="26"/>
    <m/>
    <n v="270"/>
    <n v="2264.04"/>
    <n v="0"/>
    <n v="2264.04"/>
    <n v="0"/>
    <n v="1994.04"/>
    <x v="0"/>
    <x v="0"/>
  </r>
  <r>
    <s v="11.0377.TPS3."/>
    <s v="Equipment"/>
    <s v="TPS3"/>
    <s v="Equipment"/>
    <s v="LAX People Mover-HVAC"/>
    <x v="0"/>
    <s v="PLUM"/>
    <m/>
    <n v="0"/>
    <n v="1"/>
    <n v="0"/>
    <n v="-1"/>
    <m/>
    <n v="0"/>
    <n v="0"/>
    <n v="0"/>
    <n v="0"/>
    <n v="0"/>
    <m/>
    <n v="6977.34"/>
    <n v="3932.45"/>
    <n v="0"/>
    <n v="3932.45"/>
    <n v="0"/>
    <n v="-3044.89"/>
    <x v="0"/>
    <x v="0"/>
  </r>
  <r>
    <s v="11.0377.WCTA."/>
    <s v="Equipment"/>
    <s v="WCTA"/>
    <s v="Equipment"/>
    <s v="LAX People Mover-HVAC"/>
    <x v="1"/>
    <s v="PLUM"/>
    <m/>
    <n v="0"/>
    <n v="0"/>
    <n v="0"/>
    <n v="0"/>
    <m/>
    <n v="110"/>
    <n v="329"/>
    <n v="345"/>
    <n v="16"/>
    <n v="235"/>
    <m/>
    <n v="9900"/>
    <n v="28379.79"/>
    <n v="0"/>
    <n v="30059.79"/>
    <n v="1680"/>
    <n v="20159.79"/>
    <x v="0"/>
    <x v="0"/>
  </r>
  <r>
    <s v="11.0377.WCTA."/>
    <s v="Equipment"/>
    <s v="WCTA"/>
    <s v="Equipment"/>
    <s v="LAX People Mover-HVAC"/>
    <x v="0"/>
    <s v="PLUM"/>
    <m/>
    <n v="0"/>
    <n v="16"/>
    <n v="0"/>
    <n v="-16"/>
    <m/>
    <n v="0"/>
    <n v="0"/>
    <n v="0"/>
    <n v="0"/>
    <n v="0"/>
    <m/>
    <n v="49926.53"/>
    <n v="32453.55"/>
    <n v="0"/>
    <n v="32453.55"/>
    <n v="0"/>
    <n v="-17472.98"/>
    <x v="0"/>
    <x v="0"/>
  </r>
  <r>
    <s v="11.0377.WITF."/>
    <s v="Equipment"/>
    <s v="WITF"/>
    <s v="Equipment"/>
    <s v="LAX People Mover-HVAC"/>
    <x v="1"/>
    <s v="PLUM"/>
    <m/>
    <n v="0"/>
    <n v="0"/>
    <n v="0"/>
    <n v="0"/>
    <m/>
    <n v="67"/>
    <n v="285"/>
    <n v="293"/>
    <n v="8"/>
    <n v="226"/>
    <m/>
    <n v="6030"/>
    <n v="24882.68"/>
    <n v="0"/>
    <n v="25722.68"/>
    <n v="840"/>
    <n v="19692.68"/>
    <x v="0"/>
    <x v="0"/>
  </r>
  <r>
    <s v="11.0377.WITF."/>
    <s v="Equipment"/>
    <s v="WITF"/>
    <s v="Equipment"/>
    <s v="LAX People Mover-HVAC"/>
    <x v="0"/>
    <s v="PLUM"/>
    <m/>
    <n v="0"/>
    <n v="2"/>
    <n v="0"/>
    <n v="-2"/>
    <m/>
    <n v="0"/>
    <n v="0"/>
    <n v="0"/>
    <n v="0"/>
    <n v="0"/>
    <m/>
    <n v="30412.53"/>
    <n v="21121.08"/>
    <n v="4907.29"/>
    <n v="26028.39"/>
    <n v="4907.3100000000004"/>
    <n v="-4384.1400000000003"/>
    <x v="0"/>
    <x v="0"/>
  </r>
  <r>
    <s v="11.1370. MSF."/>
    <s v="Building Equipment - Sheetmetal"/>
    <s v="MSF"/>
    <s v="Equipment"/>
    <s v="LAX People Mover-HVAC"/>
    <x v="1"/>
    <s v="HVAC"/>
    <m/>
    <n v="0"/>
    <n v="0"/>
    <n v="0"/>
    <n v="0"/>
    <m/>
    <n v="670"/>
    <n v="928"/>
    <n v="928"/>
    <n v="0"/>
    <n v="258"/>
    <m/>
    <n v="60300"/>
    <n v="78853.95"/>
    <n v="0"/>
    <n v="78853.95"/>
    <n v="0"/>
    <n v="18553.95"/>
    <x v="1"/>
    <x v="0"/>
  </r>
  <r>
    <s v="11.1370. MSF."/>
    <s v="Building Equipment - Sheetmetal"/>
    <s v="MSF"/>
    <s v="Equipment"/>
    <s v="LAX People Mover-HVAC"/>
    <x v="0"/>
    <s v="HVAC"/>
    <m/>
    <n v="0"/>
    <n v="0"/>
    <n v="0"/>
    <n v="0"/>
    <m/>
    <n v="0"/>
    <n v="0"/>
    <n v="0"/>
    <n v="0"/>
    <n v="0"/>
    <m/>
    <n v="325"/>
    <n v="0"/>
    <n v="0"/>
    <n v="0"/>
    <n v="0"/>
    <n v="-325"/>
    <x v="1"/>
    <x v="0"/>
  </r>
  <r>
    <s v="11.1370. P2A."/>
    <s v="Building Equipment - Sheetmetal"/>
    <s v="P2A"/>
    <s v="Equipment"/>
    <s v="LAX People Mover-HVAC"/>
    <x v="1"/>
    <s v="HVAC"/>
    <m/>
    <n v="0"/>
    <n v="0"/>
    <n v="0"/>
    <n v="0"/>
    <m/>
    <n v="8"/>
    <n v="25"/>
    <n v="42"/>
    <n v="17"/>
    <n v="34"/>
    <m/>
    <n v="720"/>
    <n v="2335.63"/>
    <n v="0"/>
    <n v="4120.63"/>
    <n v="1785"/>
    <n v="3400.63"/>
    <x v="1"/>
    <x v="0"/>
  </r>
  <r>
    <s v="11.1370. P2A."/>
    <s v="Building Equipment - Sheetmetal"/>
    <s v="P2A"/>
    <s v="Equipment"/>
    <s v="LAX People Mover-HVAC"/>
    <x v="0"/>
    <s v="HVAC"/>
    <m/>
    <n v="0"/>
    <n v="0"/>
    <n v="0"/>
    <n v="0"/>
    <m/>
    <n v="0"/>
    <n v="0"/>
    <n v="0"/>
    <n v="0"/>
    <n v="0"/>
    <m/>
    <n v="0"/>
    <n v="0"/>
    <n v="0"/>
    <n v="1135.3499999999999"/>
    <n v="1135.3499999999999"/>
    <n v="1135.3499999999999"/>
    <x v="1"/>
    <x v="0"/>
  </r>
  <r>
    <s v="11.1370.CCTA."/>
    <s v="Building Equipment - Sheetmetal"/>
    <s v="CCTA"/>
    <s v="Equipment"/>
    <s v="LAX People Mover-HVAC"/>
    <x v="1"/>
    <s v="HVAC"/>
    <m/>
    <n v="0"/>
    <n v="0"/>
    <n v="0"/>
    <n v="0"/>
    <m/>
    <n v="77"/>
    <n v="250"/>
    <n v="250"/>
    <n v="0"/>
    <n v="173"/>
    <m/>
    <n v="6930"/>
    <n v="21716.42"/>
    <n v="0"/>
    <n v="21716.42"/>
    <n v="0"/>
    <n v="14786.42"/>
    <x v="1"/>
    <x v="0"/>
  </r>
  <r>
    <s v="11.1370.CRAC."/>
    <s v="Building Equipment - Sheetmetal"/>
    <s v="CRAC"/>
    <s v="Equipment"/>
    <s v="LAX People Mover-HVAC"/>
    <x v="1"/>
    <s v="HVAC"/>
    <m/>
    <n v="0"/>
    <n v="0"/>
    <n v="0"/>
    <n v="0"/>
    <m/>
    <n v="59"/>
    <n v="63"/>
    <n v="63"/>
    <n v="0"/>
    <n v="4"/>
    <m/>
    <n v="5310"/>
    <n v="4786.84"/>
    <n v="0"/>
    <n v="4786.84"/>
    <n v="0"/>
    <n v="-523.16"/>
    <x v="1"/>
    <x v="0"/>
  </r>
  <r>
    <s v="11.1370.ECTA."/>
    <s v="Building Equipment - Sheetmetal"/>
    <s v="ECTA"/>
    <s v="Equipment"/>
    <s v="LAX People Mover-HVAC"/>
    <x v="1"/>
    <s v="HVAC"/>
    <m/>
    <n v="0"/>
    <n v="0"/>
    <n v="0"/>
    <n v="0"/>
    <m/>
    <n v="100"/>
    <n v="214"/>
    <n v="214"/>
    <n v="0"/>
    <n v="114"/>
    <m/>
    <n v="9000"/>
    <n v="18076.419999999998"/>
    <n v="0"/>
    <n v="18076.419999999998"/>
    <n v="0"/>
    <n v="9076.42"/>
    <x v="1"/>
    <x v="0"/>
  </r>
  <r>
    <s v="11.1370.EITF."/>
    <s v="Building Equipment - Sheetmetal"/>
    <s v="EITF"/>
    <s v="Equipment"/>
    <s v="LAX People Mover-HVAC"/>
    <x v="1"/>
    <s v="HVAC"/>
    <m/>
    <n v="0"/>
    <n v="0"/>
    <n v="0"/>
    <n v="0"/>
    <m/>
    <n v="36"/>
    <n v="366"/>
    <n v="366"/>
    <n v="0"/>
    <n v="330"/>
    <m/>
    <n v="3240"/>
    <n v="32386.38"/>
    <n v="0"/>
    <n v="32386.38"/>
    <n v="0"/>
    <n v="29146.38"/>
    <x v="1"/>
    <x v="0"/>
  </r>
  <r>
    <s v="11.1370.TPS1."/>
    <s v="Building Equipment - Sheetmetal"/>
    <s v="TPS1"/>
    <s v="Equipment"/>
    <s v="LAX People Mover-HVAC"/>
    <x v="1"/>
    <s v="HVAC"/>
    <m/>
    <n v="0"/>
    <n v="0"/>
    <n v="0"/>
    <n v="0"/>
    <m/>
    <n v="32"/>
    <n v="0"/>
    <n v="0"/>
    <n v="0"/>
    <n v="-32"/>
    <m/>
    <n v="2880"/>
    <n v="0"/>
    <n v="0"/>
    <n v="0"/>
    <n v="0"/>
    <n v="-2880"/>
    <x v="1"/>
    <x v="0"/>
  </r>
  <r>
    <s v="11.1370.TPS3."/>
    <s v="Building Equipment - Sheetmetal"/>
    <s v="TPS3"/>
    <s v="Equipment"/>
    <s v="LAX People Mover-HVAC"/>
    <x v="1"/>
    <s v="HVAC"/>
    <m/>
    <n v="0"/>
    <n v="0"/>
    <n v="0"/>
    <n v="0"/>
    <m/>
    <n v="32"/>
    <n v="40"/>
    <n v="40"/>
    <n v="0"/>
    <n v="8"/>
    <m/>
    <n v="2880"/>
    <n v="2476.37"/>
    <n v="0"/>
    <n v="2476.37"/>
    <n v="0"/>
    <n v="-403.63"/>
    <x v="1"/>
    <x v="0"/>
  </r>
  <r>
    <s v="11.1370.WCTA."/>
    <s v="Building Equipment - Sheetmetal"/>
    <s v="WCTA"/>
    <s v="Equipment"/>
    <s v="LAX People Mover-HVAC"/>
    <x v="1"/>
    <s v="HVAC"/>
    <m/>
    <n v="0"/>
    <n v="0"/>
    <n v="0"/>
    <n v="0"/>
    <m/>
    <n v="682"/>
    <n v="1197"/>
    <n v="1197"/>
    <n v="0"/>
    <n v="515"/>
    <m/>
    <n v="61380"/>
    <n v="105463.92"/>
    <n v="0"/>
    <n v="105463.92"/>
    <n v="0"/>
    <n v="44083.92"/>
    <x v="1"/>
    <x v="0"/>
  </r>
  <r>
    <s v="11.1370.WITF."/>
    <s v="Building Equipment - Sheetmetal"/>
    <s v="WITF"/>
    <s v="Equipment"/>
    <s v="LAX People Mover-HVAC"/>
    <x v="1"/>
    <s v="HVAC"/>
    <m/>
    <n v="0"/>
    <n v="0"/>
    <n v="0"/>
    <n v="0"/>
    <m/>
    <n v="36"/>
    <n v="252"/>
    <n v="252"/>
    <n v="0"/>
    <n v="216"/>
    <m/>
    <n v="3240"/>
    <n v="20289.09"/>
    <n v="0"/>
    <n v="20289.09"/>
    <n v="0"/>
    <n v="17049.09"/>
    <x v="1"/>
    <x v="0"/>
  </r>
  <r>
    <s v="11.1390. MSF."/>
    <s v="Exhaust Fans - Sheetmetal"/>
    <s v="MSF"/>
    <s v="Equipment"/>
    <s v="LAX People Mover-HVAC"/>
    <x v="0"/>
    <s v="HVAC"/>
    <m/>
    <n v="0"/>
    <n v="2"/>
    <n v="0"/>
    <n v="-2"/>
    <m/>
    <n v="0"/>
    <n v="0"/>
    <n v="0"/>
    <n v="0"/>
    <n v="0"/>
    <m/>
    <n v="102492"/>
    <n v="179032.94"/>
    <n v="0"/>
    <n v="179045.16"/>
    <n v="12.22"/>
    <n v="76553.16"/>
    <x v="1"/>
    <x v="0"/>
  </r>
  <r>
    <s v="11.1390.CCTA."/>
    <s v="Exhaust Fans - Sheetmetal"/>
    <s v="CCTA"/>
    <s v="Equipment"/>
    <s v="LAX People Mover-HVAC"/>
    <x v="0"/>
    <s v="HVAC"/>
    <m/>
    <n v="0"/>
    <n v="3"/>
    <n v="0"/>
    <n v="-3"/>
    <m/>
    <n v="0"/>
    <n v="0"/>
    <n v="0"/>
    <n v="0"/>
    <n v="0"/>
    <m/>
    <n v="45087"/>
    <n v="47229.46"/>
    <n v="0"/>
    <n v="47229.46"/>
    <n v="0"/>
    <n v="2142.46"/>
    <x v="1"/>
    <x v="0"/>
  </r>
  <r>
    <s v="11.1390.CRAC."/>
    <s v="Exhaust Fans - Sheetmetal"/>
    <s v="CRAC"/>
    <s v="Equipment"/>
    <s v="LAX People Mover-HVAC"/>
    <x v="0"/>
    <s v="HVAC"/>
    <m/>
    <n v="0"/>
    <n v="0"/>
    <n v="0"/>
    <n v="0"/>
    <m/>
    <n v="0"/>
    <n v="0"/>
    <n v="0"/>
    <n v="0"/>
    <n v="0"/>
    <m/>
    <n v="80554"/>
    <n v="49050.53"/>
    <n v="0"/>
    <n v="49050.53"/>
    <n v="0"/>
    <n v="-31503.47"/>
    <x v="1"/>
    <x v="0"/>
  </r>
  <r>
    <s v="11.1390.ECTA."/>
    <s v="Exhaust Fans - Sheetmetal"/>
    <s v="ECTA"/>
    <s v="Equipment"/>
    <s v="LAX People Mover-HVAC"/>
    <x v="0"/>
    <s v="HVAC"/>
    <m/>
    <n v="0"/>
    <n v="1"/>
    <n v="0"/>
    <n v="-1"/>
    <m/>
    <n v="0"/>
    <n v="0"/>
    <n v="0"/>
    <n v="0"/>
    <n v="0"/>
    <m/>
    <n v="44369"/>
    <n v="45449.14"/>
    <n v="0"/>
    <n v="45449.14"/>
    <n v="0"/>
    <n v="1080.1400000000001"/>
    <x v="1"/>
    <x v="0"/>
  </r>
  <r>
    <s v="11.1390.EITF."/>
    <s v="Exhaust Fans - Sheetmetal"/>
    <s v="EITF"/>
    <s v="Equipment"/>
    <s v="LAX People Mover-HVAC"/>
    <x v="0"/>
    <s v="HVAC"/>
    <m/>
    <n v="0"/>
    <n v="1"/>
    <n v="0"/>
    <n v="-1"/>
    <m/>
    <n v="0"/>
    <n v="0"/>
    <n v="0"/>
    <n v="0"/>
    <n v="0"/>
    <m/>
    <n v="40066"/>
    <n v="64799.24"/>
    <n v="0"/>
    <n v="64799.24"/>
    <n v="0"/>
    <n v="24733.24"/>
    <x v="1"/>
    <x v="0"/>
  </r>
  <r>
    <s v="11.1390.TPS1."/>
    <s v="Exhaust Fans - Sheetmetal"/>
    <s v="TPS1"/>
    <s v="Equipment"/>
    <s v="LAX People Mover-HVAC"/>
    <x v="0"/>
    <s v="HVAC"/>
    <m/>
    <n v="0"/>
    <n v="0"/>
    <n v="0"/>
    <n v="0"/>
    <m/>
    <n v="0"/>
    <n v="0"/>
    <n v="0"/>
    <n v="0"/>
    <n v="0"/>
    <m/>
    <n v="9937.1299999999992"/>
    <n v="3557.68"/>
    <n v="0"/>
    <n v="3557.68"/>
    <n v="0"/>
    <n v="-6379.45"/>
    <x v="1"/>
    <x v="0"/>
  </r>
  <r>
    <s v="11.1390.TPS3."/>
    <s v="Exhaust Fans - Sheetmetal"/>
    <s v="TPS3"/>
    <s v="Equipment"/>
    <s v="LAX People Mover-HVAC"/>
    <x v="0"/>
    <s v="HVAC"/>
    <m/>
    <n v="0"/>
    <n v="0"/>
    <n v="0"/>
    <n v="0"/>
    <m/>
    <n v="0"/>
    <n v="0"/>
    <n v="0"/>
    <n v="0"/>
    <n v="0"/>
    <m/>
    <n v="9937"/>
    <n v="3224.77"/>
    <n v="0"/>
    <n v="3224.77"/>
    <n v="0"/>
    <n v="-6712.23"/>
    <x v="1"/>
    <x v="0"/>
  </r>
  <r>
    <s v="11.1390.WCTA."/>
    <s v="Exhaust Fans - Sheetmetal"/>
    <s v="WCTA"/>
    <s v="Equipment"/>
    <s v="LAX People Mover-HVAC"/>
    <x v="0"/>
    <s v="HVAC"/>
    <m/>
    <n v="0"/>
    <n v="1"/>
    <n v="0"/>
    <n v="-1"/>
    <m/>
    <n v="0"/>
    <n v="0"/>
    <n v="0"/>
    <n v="0"/>
    <n v="0"/>
    <m/>
    <n v="55527"/>
    <n v="72692.710000000006"/>
    <n v="0"/>
    <n v="72692.710000000006"/>
    <n v="0"/>
    <n v="17165.71"/>
    <x v="1"/>
    <x v="0"/>
  </r>
  <r>
    <s v="11.1390.WITF."/>
    <s v="Exhaust Fans - Sheetmetal"/>
    <s v="WITF"/>
    <s v="Equipment"/>
    <s v="LAX People Mover-HVAC"/>
    <x v="0"/>
    <s v="HVAC"/>
    <m/>
    <n v="0"/>
    <n v="0"/>
    <n v="0"/>
    <n v="0"/>
    <m/>
    <n v="0"/>
    <n v="0"/>
    <n v="0"/>
    <n v="0"/>
    <n v="0"/>
    <m/>
    <n v="40696"/>
    <n v="49673.58"/>
    <n v="0"/>
    <n v="49673.58"/>
    <n v="0"/>
    <n v="8977.58"/>
    <x v="1"/>
    <x v="0"/>
  </r>
  <r>
    <s v="11.1391. MSF."/>
    <s v="Fire Smoke Dampers - Sheetmetal"/>
    <s v="MSF"/>
    <s v="Equipment"/>
    <s v="LAX People Mover-HVAC"/>
    <x v="0"/>
    <s v="HVAC"/>
    <m/>
    <n v="0"/>
    <n v="0"/>
    <n v="0"/>
    <n v="0"/>
    <m/>
    <n v="0"/>
    <n v="0"/>
    <n v="0"/>
    <n v="0"/>
    <n v="0"/>
    <m/>
    <n v="32664"/>
    <n v="21715.63"/>
    <n v="0"/>
    <n v="21715.63"/>
    <n v="0"/>
    <n v="-10948.37"/>
    <x v="1"/>
    <x v="0"/>
  </r>
  <r>
    <s v="11.1391.CCTA."/>
    <s v="Fire Smoke Dampers - Sheetmetal"/>
    <s v="CCTA"/>
    <s v="Equipment"/>
    <s v="LAX People Mover-HVAC"/>
    <x v="0"/>
    <s v="HVAC"/>
    <m/>
    <n v="0"/>
    <n v="-1"/>
    <n v="0"/>
    <n v="1"/>
    <m/>
    <n v="0"/>
    <n v="0"/>
    <n v="0"/>
    <n v="0"/>
    <n v="0"/>
    <m/>
    <n v="36000"/>
    <n v="279458.39"/>
    <n v="0"/>
    <n v="279458.39"/>
    <n v="0"/>
    <n v="243458.39"/>
    <x v="1"/>
    <x v="0"/>
  </r>
  <r>
    <s v="11.1391.CRAC."/>
    <s v="Fire Smoke Dampers - Sheetmetal"/>
    <s v="CRAC"/>
    <s v="Equipment"/>
    <s v="LAX People Mover-HVAC"/>
    <x v="0"/>
    <s v="HVAC"/>
    <m/>
    <n v="0"/>
    <n v="1"/>
    <n v="0"/>
    <n v="-1"/>
    <m/>
    <n v="0"/>
    <n v="0"/>
    <n v="0"/>
    <n v="0"/>
    <n v="0"/>
    <m/>
    <n v="5400"/>
    <n v="261"/>
    <n v="0"/>
    <n v="1100"/>
    <n v="839"/>
    <n v="-4300"/>
    <x v="1"/>
    <x v="0"/>
  </r>
  <r>
    <s v="11.1391.ECTA."/>
    <s v="Fire Smoke Dampers - Sheetmetal"/>
    <s v="ECTA"/>
    <s v="Equipment"/>
    <s v="LAX People Mover-HVAC"/>
    <x v="0"/>
    <s v="HVAC"/>
    <m/>
    <n v="0"/>
    <n v="0"/>
    <n v="0"/>
    <n v="0"/>
    <m/>
    <n v="0"/>
    <n v="0"/>
    <n v="0"/>
    <n v="0"/>
    <n v="0"/>
    <m/>
    <n v="68450"/>
    <n v="0"/>
    <n v="0"/>
    <n v="0"/>
    <n v="0"/>
    <n v="-68450"/>
    <x v="1"/>
    <x v="0"/>
  </r>
  <r>
    <s v="11.1391.EITF."/>
    <s v="Fire Smoke Dampers - Sheetmetal"/>
    <s v="EITF"/>
    <s v="Equipment"/>
    <s v="LAX People Mover-HVAC"/>
    <x v="0"/>
    <s v="HVAC"/>
    <m/>
    <n v="0"/>
    <n v="0"/>
    <n v="0"/>
    <n v="0"/>
    <m/>
    <n v="0"/>
    <n v="0"/>
    <n v="0"/>
    <n v="0"/>
    <n v="0"/>
    <m/>
    <n v="63963"/>
    <n v="78622.59"/>
    <n v="0"/>
    <n v="78622.59"/>
    <n v="0"/>
    <n v="14659.59"/>
    <x v="1"/>
    <x v="0"/>
  </r>
  <r>
    <s v="11.1391.TPS1."/>
    <s v="Fire Smoke Dampers - Sheetmetal"/>
    <s v="TPS1"/>
    <s v="Equipment"/>
    <s v="LAX People Mover-HVAC"/>
    <x v="0"/>
    <s v="HVAC"/>
    <m/>
    <n v="0"/>
    <n v="3"/>
    <n v="0"/>
    <n v="-3"/>
    <m/>
    <n v="0"/>
    <n v="0"/>
    <n v="0"/>
    <n v="0"/>
    <n v="0"/>
    <m/>
    <n v="1370"/>
    <n v="1621.48"/>
    <n v="0"/>
    <n v="1621.48"/>
    <n v="0"/>
    <n v="251.48"/>
    <x v="1"/>
    <x v="0"/>
  </r>
  <r>
    <s v="11.1391.TPS3."/>
    <s v="Fire Smoke Dampers - Sheetmetal"/>
    <s v="TPS3"/>
    <s v="Equipment"/>
    <s v="LAX People Mover-HVAC"/>
    <x v="0"/>
    <s v="HVAC"/>
    <m/>
    <n v="0"/>
    <n v="4"/>
    <n v="0"/>
    <n v="-4"/>
    <m/>
    <n v="0"/>
    <n v="0"/>
    <n v="0"/>
    <n v="0"/>
    <n v="0"/>
    <m/>
    <n v="1410"/>
    <n v="2006.52"/>
    <n v="0"/>
    <n v="2006.52"/>
    <n v="0"/>
    <n v="596.52"/>
    <x v="1"/>
    <x v="0"/>
  </r>
  <r>
    <s v="11.1391.WCTA."/>
    <s v="Fire Smoke Dampers - Sheetmetal"/>
    <s v="WCTA"/>
    <s v="Equipment"/>
    <s v="LAX People Mover-HVAC"/>
    <x v="0"/>
    <s v="HVAC"/>
    <m/>
    <n v="0"/>
    <n v="2"/>
    <n v="0"/>
    <n v="-2"/>
    <m/>
    <n v="0"/>
    <n v="0"/>
    <n v="0"/>
    <n v="0"/>
    <n v="0"/>
    <m/>
    <n v="0"/>
    <n v="1005.48"/>
    <n v="195.5"/>
    <n v="1200.98"/>
    <n v="195.5"/>
    <n v="1200.98"/>
    <x v="1"/>
    <x v="0"/>
  </r>
  <r>
    <s v="11.1391.WITF."/>
    <s v="Fire Smoke Dampers - Sheetmetal"/>
    <s v="WITF"/>
    <s v="Equipment"/>
    <s v="LAX People Mover-HVAC"/>
    <x v="0"/>
    <s v="HVAC"/>
    <m/>
    <n v="0"/>
    <n v="1"/>
    <n v="0"/>
    <n v="-1"/>
    <m/>
    <n v="0"/>
    <n v="0"/>
    <n v="0"/>
    <n v="0"/>
    <n v="0"/>
    <m/>
    <n v="46449"/>
    <n v="18494.97"/>
    <n v="0"/>
    <n v="18494.97"/>
    <n v="0"/>
    <n v="-27954.03"/>
    <x v="1"/>
    <x v="0"/>
  </r>
  <r>
    <s v="11.1393.    ."/>
    <s v="Grilles, Registers and Diffusers - Sheetmetal"/>
    <s v="All Other Areas"/>
    <s v="Equipment"/>
    <s v="LAX People Mover-HVAC"/>
    <x v="0"/>
    <s v="HVAC"/>
    <m/>
    <n v="0"/>
    <n v="0"/>
    <n v="0"/>
    <n v="0"/>
    <m/>
    <n v="0"/>
    <n v="0"/>
    <n v="0"/>
    <n v="0"/>
    <n v="0"/>
    <m/>
    <n v="0"/>
    <n v="9340.4"/>
    <n v="0"/>
    <n v="9340.4"/>
    <n v="0"/>
    <n v="9340.4"/>
    <x v="1"/>
    <x v="0"/>
  </r>
  <r>
    <s v="11.1393. MSF."/>
    <s v="Grilles, Registers and Diffusers - Sheetmetal"/>
    <s v="MSF"/>
    <s v="Equipment"/>
    <s v="LAX People Mover-HVAC"/>
    <x v="0"/>
    <s v="HVAC"/>
    <m/>
    <n v="0"/>
    <n v="0"/>
    <n v="0"/>
    <n v="0"/>
    <m/>
    <n v="0"/>
    <n v="0"/>
    <n v="0"/>
    <n v="0"/>
    <n v="0"/>
    <m/>
    <n v="43395"/>
    <n v="57487.75"/>
    <n v="0"/>
    <n v="57487.75"/>
    <n v="0"/>
    <n v="14092.75"/>
    <x v="1"/>
    <x v="0"/>
  </r>
  <r>
    <s v="11.1393. P2A."/>
    <s v="Grilles, Registers and Diffusers - Sheetmetal"/>
    <s v="P2A"/>
    <s v="Equipment"/>
    <s v="LAX People Mover-HVAC"/>
    <x v="0"/>
    <s v="HVAC"/>
    <m/>
    <n v="0"/>
    <n v="3"/>
    <n v="0"/>
    <n v="-3"/>
    <m/>
    <n v="0"/>
    <n v="0"/>
    <n v="0"/>
    <n v="0"/>
    <n v="0"/>
    <m/>
    <n v="586.91999999999996"/>
    <n v="5475"/>
    <n v="0"/>
    <n v="5475.01"/>
    <n v="0.01"/>
    <n v="4888.09"/>
    <x v="1"/>
    <x v="0"/>
  </r>
  <r>
    <s v="11.1393.CCTA."/>
    <s v="Grilles, Registers and Diffusers - Sheetmetal"/>
    <s v="CCTA"/>
    <s v="Equipment"/>
    <s v="LAX People Mover-HVAC"/>
    <x v="0"/>
    <s v="HVAC"/>
    <m/>
    <n v="0"/>
    <n v="0"/>
    <n v="0"/>
    <n v="0"/>
    <m/>
    <n v="0"/>
    <n v="0"/>
    <n v="0"/>
    <n v="0"/>
    <n v="0"/>
    <m/>
    <n v="1785"/>
    <n v="2712.15"/>
    <n v="1554.9"/>
    <n v="4267.05"/>
    <n v="1554.9"/>
    <n v="2482.0500000000002"/>
    <x v="1"/>
    <x v="0"/>
  </r>
  <r>
    <s v="11.1393.CRAC."/>
    <s v="Grilles, Registers and Diffusers - Sheetmetal"/>
    <s v="CRAC"/>
    <s v="Equipment"/>
    <s v="LAX People Mover-HVAC"/>
    <x v="0"/>
    <s v="HVAC"/>
    <m/>
    <n v="0"/>
    <n v="0"/>
    <n v="0"/>
    <n v="0"/>
    <m/>
    <n v="0"/>
    <n v="0"/>
    <n v="0"/>
    <n v="0"/>
    <n v="0"/>
    <m/>
    <n v="1100"/>
    <n v="5446.36"/>
    <n v="0"/>
    <n v="5446.36"/>
    <n v="0"/>
    <n v="4346.3599999999997"/>
    <x v="1"/>
    <x v="0"/>
  </r>
  <r>
    <s v="11.1393.ECTA."/>
    <s v="Grilles, Registers and Diffusers - Sheetmetal"/>
    <s v="ECTA"/>
    <s v="Equipment"/>
    <s v="LAX People Mover-HVAC"/>
    <x v="0"/>
    <s v="HVAC"/>
    <m/>
    <n v="0"/>
    <n v="0"/>
    <n v="0"/>
    <n v="0"/>
    <m/>
    <n v="0"/>
    <n v="0"/>
    <n v="0"/>
    <n v="0"/>
    <n v="0"/>
    <m/>
    <n v="900"/>
    <n v="3197.26"/>
    <n v="0"/>
    <n v="3197.26"/>
    <n v="0"/>
    <n v="2297.2600000000002"/>
    <x v="1"/>
    <x v="0"/>
  </r>
  <r>
    <s v="11.1393.EITF."/>
    <s v="Grilles, Registers and Diffusers - Sheetmetal"/>
    <s v="EITF"/>
    <s v="Equipment"/>
    <s v="LAX People Mover-HVAC"/>
    <x v="0"/>
    <s v="HVAC"/>
    <m/>
    <n v="0"/>
    <n v="0"/>
    <n v="0"/>
    <n v="0"/>
    <m/>
    <n v="0"/>
    <n v="0"/>
    <n v="0"/>
    <n v="0"/>
    <n v="0"/>
    <m/>
    <n v="1368"/>
    <n v="0"/>
    <n v="0"/>
    <n v="0"/>
    <n v="0"/>
    <n v="-1368"/>
    <x v="1"/>
    <x v="0"/>
  </r>
  <r>
    <s v="11.1393.TPS1."/>
    <s v="Grilles, Registers and Diffusers - Sheetmetal"/>
    <s v="TPS1"/>
    <s v="Equipment"/>
    <s v="LAX People Mover-HVAC"/>
    <x v="0"/>
    <s v="HVAC"/>
    <m/>
    <n v="0"/>
    <n v="0"/>
    <n v="0"/>
    <n v="0"/>
    <m/>
    <n v="0"/>
    <n v="0"/>
    <n v="0"/>
    <n v="0"/>
    <n v="0"/>
    <m/>
    <n v="630"/>
    <n v="0"/>
    <n v="0"/>
    <n v="0"/>
    <n v="0"/>
    <n v="-630"/>
    <x v="1"/>
    <x v="0"/>
  </r>
  <r>
    <s v="11.1393.TPS3."/>
    <s v="Grilles, Registers and Diffusers - Sheetmetal"/>
    <s v="TPS3"/>
    <s v="Equipment"/>
    <s v="LAX People Mover-HVAC"/>
    <x v="0"/>
    <s v="HVAC"/>
    <m/>
    <n v="0"/>
    <n v="0"/>
    <n v="0"/>
    <n v="0"/>
    <m/>
    <n v="0"/>
    <n v="0"/>
    <n v="0"/>
    <n v="0"/>
    <n v="0"/>
    <m/>
    <n v="1050"/>
    <n v="0"/>
    <n v="0"/>
    <n v="0"/>
    <n v="0"/>
    <n v="-1050"/>
    <x v="1"/>
    <x v="0"/>
  </r>
  <r>
    <s v="11.1393.WCTA."/>
    <s v="Grilles, Registers and Diffusers - Sheetmetal"/>
    <s v="WCTA"/>
    <s v="Equipment"/>
    <s v="LAX People Mover-HVAC"/>
    <x v="0"/>
    <s v="HVAC"/>
    <m/>
    <n v="0"/>
    <n v="7"/>
    <n v="0"/>
    <n v="-7"/>
    <m/>
    <n v="0"/>
    <n v="0"/>
    <n v="0"/>
    <n v="0"/>
    <n v="0"/>
    <m/>
    <n v="4600"/>
    <n v="6383.49"/>
    <n v="744.6"/>
    <n v="7128.09"/>
    <n v="744.6"/>
    <n v="2528.09"/>
    <x v="1"/>
    <x v="0"/>
  </r>
  <r>
    <s v="11.1393.WITF."/>
    <s v="Grilles, Registers and Diffusers - Sheetmetal"/>
    <s v="WITF"/>
    <s v="Equipment"/>
    <s v="LAX People Mover-HVAC"/>
    <x v="0"/>
    <s v="HVAC"/>
    <m/>
    <n v="0"/>
    <n v="0"/>
    <n v="0"/>
    <n v="0"/>
    <m/>
    <n v="0"/>
    <n v="0"/>
    <n v="0"/>
    <n v="0"/>
    <n v="0"/>
    <m/>
    <n v="1660"/>
    <n v="3279.94"/>
    <n v="0"/>
    <n v="3279.94"/>
    <n v="0"/>
    <n v="1619.94"/>
    <x v="1"/>
    <x v="0"/>
  </r>
  <r>
    <s v="11.1394. MSF."/>
    <s v="Mechanical Louvers - Sheetmetal"/>
    <s v="MSF"/>
    <s v="Equipment"/>
    <s v="LAX People Mover-HVAC"/>
    <x v="0"/>
    <s v="HVAC"/>
    <m/>
    <n v="0"/>
    <n v="0"/>
    <n v="0"/>
    <n v="0"/>
    <m/>
    <n v="0"/>
    <n v="0"/>
    <n v="0"/>
    <n v="0"/>
    <n v="0"/>
    <m/>
    <n v="4380"/>
    <n v="875.91"/>
    <n v="0"/>
    <n v="875.91"/>
    <n v="0"/>
    <n v="-3504.09"/>
    <x v="1"/>
    <x v="0"/>
  </r>
  <r>
    <s v="11.1394.CCTA."/>
    <s v="Mechanical Louvers - Sheetmetal"/>
    <s v="CCTA"/>
    <s v="Equipment"/>
    <s v="LAX People Mover-HVAC"/>
    <x v="1"/>
    <s v="HVAC"/>
    <m/>
    <n v="0"/>
    <n v="0"/>
    <n v="0"/>
    <n v="0"/>
    <m/>
    <n v="197"/>
    <n v="417.5"/>
    <n v="417.5"/>
    <n v="0"/>
    <n v="220.5"/>
    <m/>
    <n v="17730"/>
    <n v="39608.19"/>
    <n v="0"/>
    <n v="39608.19"/>
    <n v="0"/>
    <n v="21878.19"/>
    <x v="1"/>
    <x v="0"/>
  </r>
  <r>
    <s v="11.1394.CCTA."/>
    <s v="Mechanical Louvers - Sheetmetal"/>
    <s v="CCTA"/>
    <s v="Equipment"/>
    <s v="LAX People Mover-HVAC"/>
    <x v="0"/>
    <s v="HVAC"/>
    <m/>
    <n v="0"/>
    <n v="0"/>
    <n v="0"/>
    <n v="0"/>
    <m/>
    <n v="0"/>
    <n v="0"/>
    <n v="0"/>
    <n v="0"/>
    <n v="0"/>
    <m/>
    <n v="163379.25"/>
    <n v="74407.570000000007"/>
    <n v="0"/>
    <n v="74407.570000000007"/>
    <n v="0"/>
    <n v="-88971.68"/>
    <x v="1"/>
    <x v="0"/>
  </r>
  <r>
    <s v="11.1394.CRAC."/>
    <s v="Mechanical Louvers - Sheetmetal"/>
    <s v="CRAC"/>
    <s v="Equipment"/>
    <s v="LAX People Mover-HVAC"/>
    <x v="0"/>
    <s v="HVAC"/>
    <m/>
    <n v="0"/>
    <n v="0"/>
    <n v="0"/>
    <n v="0"/>
    <m/>
    <n v="0"/>
    <n v="0"/>
    <n v="0"/>
    <n v="0"/>
    <n v="0"/>
    <m/>
    <n v="3500"/>
    <n v="9351.2999999999993"/>
    <n v="0"/>
    <n v="9351.2999999999993"/>
    <n v="0"/>
    <n v="5851.3"/>
    <x v="1"/>
    <x v="0"/>
  </r>
  <r>
    <s v="11.1394.ECTA."/>
    <s v="Mechanical Louvers - Sheetmetal"/>
    <s v="ECTA"/>
    <s v="Equipment"/>
    <s v="LAX People Mover-HVAC"/>
    <x v="1"/>
    <s v="HVAC"/>
    <m/>
    <n v="0"/>
    <n v="0"/>
    <n v="0"/>
    <n v="0"/>
    <m/>
    <n v="196"/>
    <n v="1129.5"/>
    <n v="1129.5"/>
    <n v="0"/>
    <n v="933.5"/>
    <m/>
    <n v="17640"/>
    <n v="102499.96"/>
    <n v="0"/>
    <n v="102499.96"/>
    <n v="0"/>
    <n v="84859.96"/>
    <x v="1"/>
    <x v="0"/>
  </r>
  <r>
    <s v="11.1394.ECTA."/>
    <s v="Mechanical Louvers - Sheetmetal"/>
    <s v="ECTA"/>
    <s v="Equipment"/>
    <s v="LAX People Mover-HVAC"/>
    <x v="0"/>
    <s v="HVAC"/>
    <m/>
    <n v="0"/>
    <n v="0"/>
    <n v="0"/>
    <n v="0"/>
    <m/>
    <n v="0"/>
    <n v="0"/>
    <n v="0"/>
    <n v="0"/>
    <n v="0"/>
    <m/>
    <n v="255258.9"/>
    <n v="164451.34"/>
    <n v="0"/>
    <n v="165136.78"/>
    <n v="685.44"/>
    <n v="-90122.12"/>
    <x v="1"/>
    <x v="0"/>
  </r>
  <r>
    <s v="11.1394.EITF."/>
    <s v="Mechanical Louvers - Sheetmetal"/>
    <s v="EITF"/>
    <s v="Equipment"/>
    <s v="LAX People Mover-HVAC"/>
    <x v="1"/>
    <s v="HVAC"/>
    <m/>
    <n v="0"/>
    <n v="0"/>
    <n v="0"/>
    <n v="0"/>
    <m/>
    <n v="245"/>
    <n v="428"/>
    <n v="428"/>
    <n v="0"/>
    <n v="183"/>
    <m/>
    <n v="22050"/>
    <n v="42173.64"/>
    <n v="0"/>
    <n v="42173.64"/>
    <n v="0"/>
    <n v="20123.64"/>
    <x v="1"/>
    <x v="0"/>
  </r>
  <r>
    <s v="11.1394.EITF."/>
    <s v="Mechanical Louvers - Sheetmetal"/>
    <s v="EITF"/>
    <s v="Equipment"/>
    <s v="LAX People Mover-HVAC"/>
    <x v="0"/>
    <s v="HVAC"/>
    <m/>
    <n v="0"/>
    <n v="0"/>
    <n v="0"/>
    <n v="0"/>
    <m/>
    <n v="0"/>
    <n v="0"/>
    <n v="0"/>
    <n v="0"/>
    <n v="0"/>
    <m/>
    <n v="173715.41"/>
    <n v="105009.3"/>
    <n v="0"/>
    <n v="105009.3"/>
    <n v="0"/>
    <n v="-68706.11"/>
    <x v="1"/>
    <x v="0"/>
  </r>
  <r>
    <s v="11.1394.TPS1."/>
    <s v="Mechanical Louvers - Sheetmetal"/>
    <s v="TPS1"/>
    <s v="Equipment"/>
    <s v="LAX People Mover-HVAC"/>
    <x v="0"/>
    <s v="HVAC"/>
    <m/>
    <n v="0"/>
    <n v="0"/>
    <n v="0"/>
    <n v="0"/>
    <m/>
    <n v="0"/>
    <n v="0"/>
    <n v="0"/>
    <n v="0"/>
    <n v="0"/>
    <m/>
    <n v="1170"/>
    <n v="0"/>
    <n v="0"/>
    <n v="0"/>
    <n v="0"/>
    <n v="-1170"/>
    <x v="1"/>
    <x v="0"/>
  </r>
  <r>
    <s v="11.1394.TPS3."/>
    <s v="Mechanical Louvers - Sheetmetal"/>
    <s v="TPS3"/>
    <s v="Equipment"/>
    <s v="LAX People Mover-HVAC"/>
    <x v="0"/>
    <s v="HVAC"/>
    <m/>
    <n v="0"/>
    <n v="0"/>
    <n v="0"/>
    <n v="0"/>
    <m/>
    <n v="0"/>
    <n v="0"/>
    <n v="0"/>
    <n v="0"/>
    <n v="0"/>
    <m/>
    <n v="1640"/>
    <n v="0"/>
    <n v="0"/>
    <n v="0"/>
    <n v="0"/>
    <n v="-1640"/>
    <x v="1"/>
    <x v="0"/>
  </r>
  <r>
    <s v="11.1394.WCTA."/>
    <s v="Mechanical Louvers - Sheetmetal"/>
    <s v="WCTA"/>
    <s v="Equipment"/>
    <s v="LAX People Mover-HVAC"/>
    <x v="1"/>
    <s v="HVAC"/>
    <m/>
    <n v="0"/>
    <n v="0"/>
    <n v="0"/>
    <n v="0"/>
    <m/>
    <n v="70"/>
    <n v="159"/>
    <n v="159"/>
    <n v="0"/>
    <n v="89"/>
    <m/>
    <n v="6300"/>
    <n v="13399.5"/>
    <n v="0"/>
    <n v="13399.5"/>
    <n v="0"/>
    <n v="7099.5"/>
    <x v="1"/>
    <x v="0"/>
  </r>
  <r>
    <s v="11.1394.WCTA."/>
    <s v="Mechanical Louvers - Sheetmetal"/>
    <s v="WCTA"/>
    <s v="Equipment"/>
    <s v="LAX People Mover-HVAC"/>
    <x v="0"/>
    <s v="HVAC"/>
    <m/>
    <n v="0"/>
    <n v="0"/>
    <n v="0"/>
    <n v="0"/>
    <m/>
    <n v="0"/>
    <n v="0"/>
    <n v="0"/>
    <n v="0"/>
    <n v="0"/>
    <m/>
    <n v="28389.88"/>
    <n v="25479.49"/>
    <n v="6578.76"/>
    <n v="25479.49"/>
    <n v="0"/>
    <n v="-2910.39"/>
    <x v="1"/>
    <x v="0"/>
  </r>
  <r>
    <s v="11.1394.WITF."/>
    <s v="Mechanical Louvers - Sheetmetal"/>
    <s v="WITF"/>
    <s v="Equipment"/>
    <s v="LAX People Mover-HVAC"/>
    <x v="1"/>
    <s v="HVAC"/>
    <m/>
    <n v="0"/>
    <n v="0"/>
    <n v="0"/>
    <n v="0"/>
    <m/>
    <n v="147"/>
    <n v="473"/>
    <n v="473"/>
    <n v="0"/>
    <n v="326"/>
    <m/>
    <n v="13230"/>
    <n v="43412.34"/>
    <n v="0"/>
    <n v="43412.34"/>
    <n v="0"/>
    <n v="30182.34"/>
    <x v="1"/>
    <x v="0"/>
  </r>
  <r>
    <s v="11.1394.WITF."/>
    <s v="Mechanical Louvers - Sheetmetal"/>
    <s v="WITF"/>
    <s v="Equipment"/>
    <s v="LAX People Mover-HVAC"/>
    <x v="0"/>
    <s v="HVAC"/>
    <m/>
    <n v="0"/>
    <n v="0"/>
    <n v="0"/>
    <n v="0"/>
    <m/>
    <n v="0"/>
    <n v="0"/>
    <n v="0"/>
    <n v="0"/>
    <n v="0"/>
    <m/>
    <n v="116405.96"/>
    <n v="73333.5"/>
    <n v="0"/>
    <n v="73333.5"/>
    <n v="0"/>
    <n v="-43072.46"/>
    <x v="1"/>
    <x v="0"/>
  </r>
  <r>
    <s v="11.2370. MSF."/>
    <s v="Building Equipment - Piping"/>
    <s v="MSF"/>
    <s v="Equipment"/>
    <s v="LAX People Mover-HVAC"/>
    <x v="1"/>
    <s v="PIPE"/>
    <m/>
    <n v="0"/>
    <n v="0"/>
    <n v="0"/>
    <n v="0"/>
    <m/>
    <n v="460"/>
    <n v="662"/>
    <n v="662"/>
    <n v="0"/>
    <n v="202"/>
    <m/>
    <n v="41400"/>
    <n v="56422.25"/>
    <n v="0"/>
    <n v="56422.25"/>
    <n v="0"/>
    <n v="15022.25"/>
    <x v="2"/>
    <x v="0"/>
  </r>
  <r>
    <s v="11.2370. MSF."/>
    <s v="Building Equipment - Piping"/>
    <s v="MSF"/>
    <s v="Equipment"/>
    <s v="LAX People Mover-HVAC"/>
    <x v="0"/>
    <s v="PIPE"/>
    <m/>
    <n v="0"/>
    <n v="10"/>
    <n v="0"/>
    <n v="-10"/>
    <m/>
    <n v="0"/>
    <n v="0"/>
    <n v="0"/>
    <n v="0"/>
    <n v="0"/>
    <m/>
    <n v="300810"/>
    <n v="25773.91"/>
    <n v="31.06"/>
    <n v="25804.98"/>
    <n v="31.07"/>
    <n v="-275005.02"/>
    <x v="2"/>
    <x v="0"/>
  </r>
  <r>
    <s v="11.2370. P2A."/>
    <s v="Building Equipment - Piping"/>
    <s v="P2A"/>
    <s v="Equipment"/>
    <s v="LAX People Mover-HVAC"/>
    <x v="1"/>
    <s v="PIPE"/>
    <m/>
    <n v="0"/>
    <n v="0"/>
    <n v="0"/>
    <n v="0"/>
    <m/>
    <n v="8"/>
    <n v="24"/>
    <n v="24"/>
    <n v="0"/>
    <n v="16"/>
    <m/>
    <n v="720"/>
    <n v="1389.03"/>
    <n v="0"/>
    <n v="1389.03"/>
    <n v="0"/>
    <n v="669.03"/>
    <x v="2"/>
    <x v="0"/>
  </r>
  <r>
    <s v="11.2370.CCTA."/>
    <s v="Building Equipment - Piping"/>
    <s v="CCTA"/>
    <s v="Equipment"/>
    <s v="LAX People Mover-HVAC"/>
    <x v="1"/>
    <s v="PIPE"/>
    <m/>
    <n v="0"/>
    <n v="0"/>
    <n v="0"/>
    <n v="0"/>
    <m/>
    <n v="222"/>
    <n v="402.5"/>
    <n v="402.5"/>
    <n v="0"/>
    <n v="180.5"/>
    <m/>
    <n v="19980"/>
    <n v="31901.35"/>
    <n v="0"/>
    <n v="31901.35"/>
    <n v="0"/>
    <n v="11921.35"/>
    <x v="2"/>
    <x v="0"/>
  </r>
  <r>
    <s v="11.2370.CCTA."/>
    <s v="Building Equipment - Piping"/>
    <s v="CCTA"/>
    <s v="Equipment"/>
    <s v="LAX People Mover-HVAC"/>
    <x v="0"/>
    <s v="PIPE"/>
    <m/>
    <n v="0"/>
    <n v="39"/>
    <n v="0"/>
    <n v="-39"/>
    <m/>
    <n v="0"/>
    <n v="0"/>
    <n v="0"/>
    <n v="0"/>
    <n v="0"/>
    <m/>
    <n v="371954"/>
    <n v="287210.90000000002"/>
    <n v="0"/>
    <n v="287667.84999999998"/>
    <n v="456.95"/>
    <n v="-84286.15"/>
    <x v="2"/>
    <x v="0"/>
  </r>
  <r>
    <s v="11.2370.CRAC."/>
    <s v="Building Equipment - Piping"/>
    <s v="CRAC"/>
    <s v="Equipment"/>
    <s v="LAX People Mover-HVAC"/>
    <x v="1"/>
    <s v="PIPE"/>
    <m/>
    <n v="0"/>
    <n v="0"/>
    <n v="0"/>
    <n v="0"/>
    <m/>
    <n v="100"/>
    <n v="136"/>
    <n v="136"/>
    <n v="0"/>
    <n v="36"/>
    <m/>
    <n v="9000"/>
    <n v="10743.61"/>
    <n v="0"/>
    <n v="10743.61"/>
    <n v="0"/>
    <n v="1743.61"/>
    <x v="2"/>
    <x v="0"/>
  </r>
  <r>
    <s v="11.2370.CRAC."/>
    <s v="Building Equipment - Piping"/>
    <s v="CRAC"/>
    <s v="Equipment"/>
    <s v="LAX People Mover-HVAC"/>
    <x v="0"/>
    <s v="PIPE"/>
    <m/>
    <n v="0"/>
    <n v="0"/>
    <n v="0"/>
    <n v="0"/>
    <m/>
    <n v="0"/>
    <n v="0"/>
    <n v="0"/>
    <n v="0"/>
    <n v="0"/>
    <m/>
    <n v="183873"/>
    <n v="154148.68"/>
    <n v="0"/>
    <n v="154148.68"/>
    <n v="0"/>
    <n v="-29724.32"/>
    <x v="2"/>
    <x v="0"/>
  </r>
  <r>
    <s v="11.2370.ECTA."/>
    <s v="Building Equipment - Piping"/>
    <s v="ECTA"/>
    <s v="Equipment"/>
    <s v="LAX People Mover-HVAC"/>
    <x v="1"/>
    <s v="PIPE"/>
    <m/>
    <n v="0"/>
    <n v="0"/>
    <n v="0"/>
    <n v="0"/>
    <m/>
    <n v="140"/>
    <n v="234"/>
    <n v="234"/>
    <n v="0"/>
    <n v="94"/>
    <m/>
    <n v="12600"/>
    <n v="20012.54"/>
    <n v="0"/>
    <n v="20220.25"/>
    <n v="207.71"/>
    <n v="7620.25"/>
    <x v="2"/>
    <x v="0"/>
  </r>
  <r>
    <s v="11.2370.ECTA."/>
    <s v="Building Equipment - Piping"/>
    <s v="ECTA"/>
    <s v="Equipment"/>
    <s v="LAX People Mover-HVAC"/>
    <x v="0"/>
    <s v="PIPE"/>
    <m/>
    <n v="0"/>
    <n v="25"/>
    <n v="0"/>
    <n v="-25"/>
    <m/>
    <n v="0"/>
    <n v="0"/>
    <n v="0"/>
    <n v="0"/>
    <n v="0"/>
    <m/>
    <n v="282002"/>
    <n v="204127.96"/>
    <n v="0"/>
    <n v="204531.71"/>
    <n v="403.75"/>
    <n v="-77470.289999999994"/>
    <x v="2"/>
    <x v="0"/>
  </r>
  <r>
    <s v="11.2370.EITF."/>
    <s v="Building Equipment - Piping"/>
    <s v="EITF"/>
    <s v="Equipment"/>
    <s v="LAX People Mover-HVAC"/>
    <x v="1"/>
    <s v="PIPE"/>
    <m/>
    <n v="0"/>
    <n v="0"/>
    <n v="0"/>
    <n v="0"/>
    <m/>
    <n v="126"/>
    <n v="573"/>
    <n v="573"/>
    <n v="0"/>
    <n v="447"/>
    <m/>
    <n v="11340"/>
    <n v="41578.57"/>
    <n v="0"/>
    <n v="41578.57"/>
    <n v="0"/>
    <n v="30238.57"/>
    <x v="2"/>
    <x v="0"/>
  </r>
  <r>
    <s v="11.2370.EITF."/>
    <s v="Building Equipment - Piping"/>
    <s v="EITF"/>
    <s v="Equipment"/>
    <s v="LAX People Mover-HVAC"/>
    <x v="0"/>
    <s v="PIPE"/>
    <m/>
    <n v="0"/>
    <n v="0"/>
    <n v="0"/>
    <n v="0"/>
    <m/>
    <n v="0"/>
    <n v="0"/>
    <n v="0"/>
    <n v="0"/>
    <n v="0"/>
    <m/>
    <n v="282002"/>
    <n v="166809.82999999999"/>
    <n v="6337.94"/>
    <n v="174311.28"/>
    <n v="7501.45"/>
    <n v="-107690.72"/>
    <x v="2"/>
    <x v="0"/>
  </r>
  <r>
    <s v="11.2370.TPS1."/>
    <s v="Building Equipment - Piping"/>
    <s v="TPS1"/>
    <s v="Equipment"/>
    <s v="LAX People Mover-HVAC"/>
    <x v="1"/>
    <s v="PIPE"/>
    <m/>
    <n v="0"/>
    <n v="0"/>
    <n v="0"/>
    <n v="0"/>
    <m/>
    <n v="27"/>
    <n v="149"/>
    <n v="173"/>
    <n v="24"/>
    <n v="146"/>
    <m/>
    <n v="2430"/>
    <n v="13416.4"/>
    <n v="0"/>
    <n v="15577.43"/>
    <n v="2161.0300000000002"/>
    <n v="13147.43"/>
    <x v="2"/>
    <x v="0"/>
  </r>
  <r>
    <s v="11.2370.TPS1."/>
    <s v="Building Equipment - Piping"/>
    <s v="TPS1"/>
    <s v="Equipment"/>
    <s v="LAX People Mover-HVAC"/>
    <x v="0"/>
    <s v="PIPE"/>
    <m/>
    <n v="0"/>
    <n v="0"/>
    <n v="0"/>
    <n v="0"/>
    <m/>
    <n v="0"/>
    <n v="0"/>
    <n v="0"/>
    <n v="0"/>
    <n v="0"/>
    <m/>
    <n v="69286.13"/>
    <n v="50146.84"/>
    <n v="0"/>
    <n v="50146.84"/>
    <n v="0"/>
    <n v="-19139.29"/>
    <x v="2"/>
    <x v="0"/>
  </r>
  <r>
    <s v="11.2370.TPS3."/>
    <s v="Building Equipment - Piping"/>
    <s v="TPS3"/>
    <s v="Equipment"/>
    <s v="LAX People Mover-HVAC"/>
    <x v="1"/>
    <s v="PIPE"/>
    <m/>
    <n v="0"/>
    <n v="0"/>
    <n v="0"/>
    <n v="0"/>
    <m/>
    <n v="27"/>
    <n v="134"/>
    <n v="158"/>
    <n v="24"/>
    <n v="131"/>
    <m/>
    <n v="2430"/>
    <n v="11832.87"/>
    <n v="0"/>
    <n v="13952.19"/>
    <n v="2119.3200000000002"/>
    <n v="11522.19"/>
    <x v="2"/>
    <x v="0"/>
  </r>
  <r>
    <s v="11.2370.TPS3."/>
    <s v="Building Equipment - Piping"/>
    <s v="TPS3"/>
    <s v="Equipment"/>
    <s v="LAX People Mover-HVAC"/>
    <x v="0"/>
    <s v="PIPE"/>
    <m/>
    <n v="0"/>
    <n v="0"/>
    <n v="0"/>
    <n v="0"/>
    <m/>
    <n v="0"/>
    <n v="0"/>
    <n v="0"/>
    <n v="0"/>
    <n v="0"/>
    <m/>
    <n v="69286"/>
    <n v="49652.28"/>
    <n v="0"/>
    <n v="49652.28"/>
    <n v="0"/>
    <n v="-19633.72"/>
    <x v="2"/>
    <x v="0"/>
  </r>
  <r>
    <s v="11.2370.WCTA."/>
    <s v="Building Equipment - Piping"/>
    <s v="WCTA"/>
    <s v="Equipment"/>
    <s v="LAX People Mover-HVAC"/>
    <x v="1"/>
    <s v="PIPE"/>
    <m/>
    <n v="0"/>
    <n v="0"/>
    <n v="0"/>
    <n v="0"/>
    <m/>
    <n v="581"/>
    <n v="1187"/>
    <n v="1187"/>
    <n v="0"/>
    <n v="606"/>
    <m/>
    <n v="52290"/>
    <n v="104673.49"/>
    <n v="0"/>
    <n v="104673.49"/>
    <n v="0"/>
    <n v="52383.49"/>
    <x v="2"/>
    <x v="0"/>
  </r>
  <r>
    <s v="11.2370.WCTA."/>
    <s v="Building Equipment - Piping"/>
    <s v="WCTA"/>
    <s v="Equipment"/>
    <s v="LAX People Mover-HVAC"/>
    <x v="0"/>
    <s v="PIPE"/>
    <m/>
    <n v="0"/>
    <n v="53"/>
    <n v="0"/>
    <n v="-53"/>
    <m/>
    <n v="0"/>
    <n v="0"/>
    <n v="0"/>
    <n v="0"/>
    <n v="0"/>
    <m/>
    <n v="887679"/>
    <n v="843201.15"/>
    <n v="23560.74"/>
    <n v="869960.74"/>
    <n v="26759.59"/>
    <n v="-17718.259999999998"/>
    <x v="2"/>
    <x v="0"/>
  </r>
  <r>
    <s v="11.2370.WITF."/>
    <s v="Building Equipment - Piping"/>
    <s v="WITF"/>
    <s v="Equipment"/>
    <s v="LAX People Mover-HVAC"/>
    <x v="1"/>
    <s v="PIPE"/>
    <m/>
    <n v="0"/>
    <n v="0"/>
    <n v="0"/>
    <n v="0"/>
    <m/>
    <n v="168"/>
    <n v="269"/>
    <n v="269"/>
    <n v="0"/>
    <n v="101"/>
    <m/>
    <n v="15120"/>
    <n v="23218.880000000001"/>
    <n v="0"/>
    <n v="23218.880000000001"/>
    <n v="0"/>
    <n v="8098.88"/>
    <x v="2"/>
    <x v="0"/>
  </r>
  <r>
    <s v="11.2370.WITF."/>
    <s v="Building Equipment - Piping"/>
    <s v="WITF"/>
    <s v="Equipment"/>
    <s v="LAX People Mover-HVAC"/>
    <x v="0"/>
    <s v="PIPE"/>
    <m/>
    <n v="0"/>
    <n v="0"/>
    <n v="0"/>
    <n v="0"/>
    <m/>
    <n v="0"/>
    <n v="0"/>
    <n v="0"/>
    <n v="0"/>
    <n v="0"/>
    <m/>
    <n v="371954"/>
    <n v="222038.05"/>
    <n v="16.16"/>
    <n v="222054.21"/>
    <n v="16.16"/>
    <n v="-149899.79"/>
    <x v="2"/>
    <x v="0"/>
  </r>
  <r>
    <s v="11.2371. MSF."/>
    <s v="VFDs - Piping"/>
    <s v="MSF"/>
    <s v="Equipment"/>
    <s v="LAX People Mover-HVAC"/>
    <x v="0"/>
    <s v="PIPE"/>
    <m/>
    <n v="0"/>
    <n v="2"/>
    <n v="0"/>
    <n v="-2"/>
    <m/>
    <n v="0"/>
    <n v="0"/>
    <n v="0"/>
    <n v="0"/>
    <n v="0"/>
    <m/>
    <n v="50869.27"/>
    <n v="31454.98"/>
    <n v="0"/>
    <n v="31454.98"/>
    <n v="0"/>
    <n v="-19414.29"/>
    <x v="2"/>
    <x v="0"/>
  </r>
  <r>
    <s v="11.2371.WCTA."/>
    <s v="VFDs - Piping"/>
    <s v="WCTA"/>
    <s v="Equipment"/>
    <s v="LAX People Mover-HVAC"/>
    <x v="0"/>
    <s v="PIPE"/>
    <m/>
    <n v="0"/>
    <n v="2"/>
    <n v="0"/>
    <n v="-2"/>
    <m/>
    <n v="0"/>
    <n v="0"/>
    <n v="0"/>
    <n v="0"/>
    <n v="0"/>
    <m/>
    <n v="9855"/>
    <n v="8774.0300000000007"/>
    <n v="0"/>
    <n v="8774.0300000000007"/>
    <n v="0"/>
    <n v="-1080.97"/>
    <x v="2"/>
    <x v="0"/>
  </r>
  <r>
    <s v="11.2372. MSF."/>
    <s v="Fan Coil Units w/Grilles - Piping"/>
    <s v="MSF"/>
    <s v="Equipment"/>
    <s v="LAX People Mover-HVAC"/>
    <x v="0"/>
    <s v="PIPE"/>
    <m/>
    <n v="0"/>
    <n v="24"/>
    <n v="0"/>
    <n v="-24"/>
    <m/>
    <n v="0"/>
    <n v="0"/>
    <n v="0"/>
    <n v="0"/>
    <n v="0"/>
    <m/>
    <n v="94527"/>
    <n v="29220.52"/>
    <n v="0"/>
    <n v="29220.52"/>
    <n v="0"/>
    <n v="-65306.48"/>
    <x v="2"/>
    <x v="0"/>
  </r>
  <r>
    <s v="11.2372. P2A."/>
    <s v="Fan Coil Units w/Grilles - Piping"/>
    <s v="P2A"/>
    <s v="Equipment"/>
    <s v="LAX People Mover-HVAC"/>
    <x v="0"/>
    <s v="PIPE"/>
    <m/>
    <n v="0"/>
    <n v="0"/>
    <n v="0"/>
    <n v="0"/>
    <m/>
    <n v="0"/>
    <n v="0"/>
    <n v="0"/>
    <n v="0"/>
    <n v="0"/>
    <m/>
    <n v="12619.88"/>
    <n v="11188.21"/>
    <n v="0"/>
    <n v="11188.21"/>
    <n v="0"/>
    <n v="-1431.67"/>
    <x v="2"/>
    <x v="0"/>
  </r>
  <r>
    <s v="11.2372.CCTA."/>
    <s v="Fan Coil Units w/Grilles - Piping"/>
    <s v="CCTA"/>
    <s v="Equipment"/>
    <s v="LAX People Mover-HVAC"/>
    <x v="0"/>
    <s v="PIPE"/>
    <m/>
    <n v="0"/>
    <n v="5"/>
    <n v="0"/>
    <n v="-5"/>
    <m/>
    <n v="0"/>
    <n v="0"/>
    <n v="0"/>
    <n v="0"/>
    <n v="0"/>
    <m/>
    <n v="57738"/>
    <n v="1345.63"/>
    <n v="0"/>
    <n v="1345.63"/>
    <n v="0"/>
    <n v="-56392.37"/>
    <x v="2"/>
    <x v="0"/>
  </r>
  <r>
    <s v="11.2372.CRAC."/>
    <s v="Fan Coil Units w/Grilles - Piping"/>
    <s v="CRAC"/>
    <s v="Equipment"/>
    <s v="LAX People Mover-HVAC"/>
    <x v="0"/>
    <s v="PIPE"/>
    <m/>
    <n v="0"/>
    <n v="17"/>
    <n v="0"/>
    <n v="-17"/>
    <m/>
    <n v="0"/>
    <n v="0"/>
    <n v="0"/>
    <n v="0"/>
    <n v="0"/>
    <m/>
    <n v="24178"/>
    <n v="1857.52"/>
    <n v="383.25"/>
    <n v="2240.77"/>
    <n v="383.25"/>
    <n v="-21937.23"/>
    <x v="2"/>
    <x v="0"/>
  </r>
  <r>
    <s v="11.2372.ECTA."/>
    <s v="Fan Coil Units w/Grilles - Piping"/>
    <s v="ECTA"/>
    <s v="Equipment"/>
    <s v="LAX People Mover-HVAC"/>
    <x v="0"/>
    <s v="PIPE"/>
    <m/>
    <n v="0"/>
    <n v="0"/>
    <n v="0"/>
    <n v="0"/>
    <m/>
    <n v="0"/>
    <n v="0"/>
    <n v="0"/>
    <n v="0"/>
    <n v="0"/>
    <m/>
    <n v="40404"/>
    <n v="33143"/>
    <n v="697.56"/>
    <n v="33840.559999999998"/>
    <n v="697.56"/>
    <n v="-6563.44"/>
    <x v="2"/>
    <x v="0"/>
  </r>
  <r>
    <s v="11.2372.EITF."/>
    <s v="Fan Coil Units w/Grilles - Piping"/>
    <s v="EITF"/>
    <s v="Equipment"/>
    <s v="LAX People Mover-HVAC"/>
    <x v="0"/>
    <s v="PIPE"/>
    <m/>
    <n v="0"/>
    <n v="0"/>
    <n v="0"/>
    <n v="0"/>
    <m/>
    <n v="0"/>
    <n v="0"/>
    <n v="0"/>
    <n v="0"/>
    <n v="0"/>
    <m/>
    <n v="30674"/>
    <n v="61007.97"/>
    <n v="0"/>
    <n v="61007.97"/>
    <n v="0"/>
    <n v="30333.97"/>
    <x v="2"/>
    <x v="0"/>
  </r>
  <r>
    <s v="11.2372.TPS1."/>
    <s v="Fan Coil Units w/Grilles - Piping"/>
    <s v="TPS1"/>
    <s v="Equipment"/>
    <s v="LAX People Mover-HVAC"/>
    <x v="0"/>
    <s v="PIPE"/>
    <m/>
    <n v="0"/>
    <n v="0"/>
    <n v="0"/>
    <n v="0"/>
    <m/>
    <n v="0"/>
    <n v="0"/>
    <n v="0"/>
    <n v="0"/>
    <n v="0"/>
    <m/>
    <n v="3175.5"/>
    <n v="2843.27"/>
    <n v="0"/>
    <n v="2843.27"/>
    <n v="0"/>
    <n v="-332.23"/>
    <x v="2"/>
    <x v="0"/>
  </r>
  <r>
    <s v="11.2372.TPS3."/>
    <s v="Fan Coil Units w/Grilles - Piping"/>
    <s v="TPS3"/>
    <s v="Equipment"/>
    <s v="LAX People Mover-HVAC"/>
    <x v="0"/>
    <s v="PIPE"/>
    <m/>
    <n v="0"/>
    <n v="0"/>
    <n v="0"/>
    <n v="0"/>
    <m/>
    <n v="0"/>
    <n v="0"/>
    <n v="0"/>
    <n v="0"/>
    <n v="0"/>
    <m/>
    <n v="3244"/>
    <n v="13596.58"/>
    <n v="830.56"/>
    <n v="14427.14"/>
    <n v="830.56"/>
    <n v="11183.14"/>
    <x v="2"/>
    <x v="0"/>
  </r>
  <r>
    <s v="11.2372.WCTA."/>
    <s v="Fan Coil Units w/Grilles - Piping"/>
    <s v="WCTA"/>
    <s v="Equipment"/>
    <s v="LAX People Mover-HVAC"/>
    <x v="0"/>
    <s v="PIPE"/>
    <m/>
    <n v="0"/>
    <n v="1"/>
    <n v="0"/>
    <n v="-1"/>
    <m/>
    <n v="0"/>
    <n v="0"/>
    <n v="0"/>
    <n v="0"/>
    <n v="0"/>
    <m/>
    <n v="120912"/>
    <n v="39188.86"/>
    <n v="0"/>
    <n v="39197.300000000003"/>
    <n v="8.44"/>
    <n v="-81714.7"/>
    <x v="2"/>
    <x v="0"/>
  </r>
  <r>
    <s v="11.2372.WITF."/>
    <s v="Fan Coil Units w/Grilles - Piping"/>
    <s v="WITF"/>
    <s v="Equipment"/>
    <s v="LAX People Mover-HVAC"/>
    <x v="0"/>
    <s v="PIPE"/>
    <m/>
    <n v="0"/>
    <n v="1"/>
    <n v="0"/>
    <n v="-1"/>
    <m/>
    <n v="0"/>
    <n v="0"/>
    <n v="0"/>
    <n v="0"/>
    <n v="0"/>
    <m/>
    <n v="44708"/>
    <n v="31436.95"/>
    <n v="0"/>
    <n v="31436.95"/>
    <n v="0"/>
    <n v="-13271.05"/>
    <x v="2"/>
    <x v="0"/>
  </r>
  <r>
    <s v="11.2374. MSF."/>
    <s v="Air Handler Units - Piping"/>
    <s v="MSF"/>
    <s v="Equipment"/>
    <s v="LAX People Mover-HVAC"/>
    <x v="0"/>
    <s v="PIPE"/>
    <m/>
    <n v="0"/>
    <n v="15"/>
    <n v="0"/>
    <n v="-15"/>
    <m/>
    <n v="0"/>
    <n v="0"/>
    <n v="0"/>
    <n v="0"/>
    <n v="0"/>
    <m/>
    <n v="700472"/>
    <n v="926945.76"/>
    <n v="1683.86"/>
    <n v="928629.62"/>
    <n v="1683.86"/>
    <n v="228157.62"/>
    <x v="2"/>
    <x v="0"/>
  </r>
  <r>
    <s v="11.2374.WCTA."/>
    <s v="Air Handler Units - Piping"/>
    <s v="WCTA"/>
    <s v="Equipment"/>
    <s v="LAX People Mover-HVAC"/>
    <x v="0"/>
    <s v="PIPE"/>
    <m/>
    <n v="0"/>
    <n v="0"/>
    <n v="0"/>
    <n v="0"/>
    <m/>
    <n v="0"/>
    <n v="0"/>
    <n v="0"/>
    <n v="0"/>
    <n v="0"/>
    <m/>
    <n v="1366451"/>
    <n v="1160280.02"/>
    <n v="0"/>
    <n v="1164565.3500000001"/>
    <n v="4285.33"/>
    <n v="-201885.65"/>
    <x v="2"/>
    <x v="0"/>
  </r>
  <r>
    <s v="11.2376. MSF."/>
    <s v="Boilers - Piping"/>
    <s v="MSF"/>
    <s v="Equipment"/>
    <s v="LAX People Mover-HVAC"/>
    <x v="0"/>
    <s v="PIPE"/>
    <m/>
    <n v="0"/>
    <n v="0"/>
    <n v="0"/>
    <n v="0"/>
    <m/>
    <n v="0"/>
    <n v="0"/>
    <n v="0"/>
    <n v="0"/>
    <n v="0"/>
    <m/>
    <n v="0"/>
    <n v="0"/>
    <n v="0"/>
    <n v="0"/>
    <n v="0"/>
    <n v="0"/>
    <x v="2"/>
    <x v="0"/>
  </r>
  <r>
    <s v="11.2376.WCTA."/>
    <s v="Boilers - Piping"/>
    <s v="WCTA"/>
    <s v="Equipment"/>
    <s v="LAX People Mover-HVAC"/>
    <x v="0"/>
    <s v="PIPE"/>
    <m/>
    <n v="0"/>
    <n v="3"/>
    <n v="0"/>
    <n v="-3"/>
    <m/>
    <n v="0"/>
    <n v="0"/>
    <n v="0"/>
    <n v="0"/>
    <n v="0"/>
    <m/>
    <n v="102123"/>
    <n v="62392.67"/>
    <n v="0"/>
    <n v="62392.67"/>
    <n v="0"/>
    <n v="-39730.33"/>
    <x v="2"/>
    <x v="0"/>
  </r>
  <r>
    <s v="11.2380. MSF."/>
    <s v="Chillers - Piping"/>
    <s v="MSF"/>
    <s v="Equipment"/>
    <s v="LAX People Mover-HVAC"/>
    <x v="0"/>
    <s v="PIPE"/>
    <m/>
    <n v="0"/>
    <n v="0"/>
    <n v="0"/>
    <n v="0"/>
    <m/>
    <n v="0"/>
    <n v="0"/>
    <n v="0"/>
    <n v="0"/>
    <n v="0"/>
    <m/>
    <n v="2452800"/>
    <n v="2221201.02"/>
    <n v="111015"/>
    <n v="2342762.44"/>
    <n v="121561.42"/>
    <n v="-110037.56"/>
    <x v="2"/>
    <x v="0"/>
  </r>
  <r>
    <s v="11.2385. MSF."/>
    <s v="Cooling Tower - Piping"/>
    <s v="MSF"/>
    <s v="Equipment"/>
    <s v="LAX People Mover-HVAC"/>
    <x v="0"/>
    <s v="PIPE"/>
    <m/>
    <n v="0"/>
    <n v="0"/>
    <n v="0"/>
    <n v="0"/>
    <m/>
    <n v="0"/>
    <n v="0"/>
    <n v="0"/>
    <n v="0"/>
    <n v="0"/>
    <m/>
    <n v="165674"/>
    <n v="0"/>
    <n v="9447.66"/>
    <n v="0"/>
    <n v="0"/>
    <n v="-165674"/>
    <x v="2"/>
    <x v="0"/>
  </r>
  <r>
    <s v="11.2387. MSF."/>
    <s v="VAV Boxes/Terminal Units - Piping"/>
    <s v="MSF"/>
    <s v="Equipment"/>
    <s v="LAX People Mover-HVAC"/>
    <x v="0"/>
    <s v="PIPE"/>
    <m/>
    <n v="0"/>
    <n v="0"/>
    <n v="0"/>
    <n v="0"/>
    <m/>
    <n v="0"/>
    <n v="0"/>
    <n v="0"/>
    <n v="0"/>
    <n v="0"/>
    <m/>
    <n v="19665"/>
    <n v="16801.88"/>
    <n v="0"/>
    <n v="16801.88"/>
    <n v="0"/>
    <n v="-2863.12"/>
    <x v="2"/>
    <x v="0"/>
  </r>
  <r>
    <s v="20.0001.    ."/>
    <s v="Supervision - Fuel Oil"/>
    <s v="All Other Areas"/>
    <s v="Fuel Oil"/>
    <s v="LAX People Mover-HVAC"/>
    <x v="1"/>
    <s v="FUEL"/>
    <m/>
    <n v="0"/>
    <n v="0"/>
    <n v="0"/>
    <n v="0"/>
    <m/>
    <n v="0"/>
    <n v="0"/>
    <n v="0"/>
    <n v="0"/>
    <n v="0"/>
    <m/>
    <n v="0"/>
    <n v="0"/>
    <n v="0"/>
    <n v="0"/>
    <n v="0"/>
    <n v="0"/>
    <x v="4"/>
    <x v="0"/>
  </r>
  <r>
    <s v="20.1400.    ."/>
    <s v="Piping (A/G) - Fuel Oil"/>
    <s v="All Other Areas"/>
    <s v="Fuel Oil"/>
    <s v="LAX People Mover-HVAC"/>
    <x v="1"/>
    <s v="FUEL"/>
    <m/>
    <n v="0"/>
    <n v="0"/>
    <n v="0"/>
    <n v="0"/>
    <m/>
    <n v="0"/>
    <n v="0"/>
    <n v="0"/>
    <n v="0"/>
    <n v="0"/>
    <m/>
    <n v="0"/>
    <n v="0"/>
    <n v="0"/>
    <n v="0"/>
    <n v="0"/>
    <n v="0"/>
    <x v="4"/>
    <x v="0"/>
  </r>
  <r>
    <s v="20.2750.    ."/>
    <s v="Commissioning - Fuel Oil"/>
    <s v="All Other Areas"/>
    <s v="Fuel Oil"/>
    <s v="LAX People Mover-HVAC"/>
    <x v="1"/>
    <s v="FUEL"/>
    <m/>
    <n v="0"/>
    <n v="0"/>
    <n v="0"/>
    <n v="0"/>
    <m/>
    <n v="0"/>
    <n v="0"/>
    <n v="0"/>
    <n v="0"/>
    <n v="0"/>
    <m/>
    <n v="0"/>
    <n v="0"/>
    <n v="0"/>
    <n v="0"/>
    <n v="0"/>
    <n v="0"/>
    <x v="4"/>
    <x v="0"/>
  </r>
  <r>
    <s v="22.0001.    ."/>
    <s v="General Foreman"/>
    <s v="All Other Areas"/>
    <s v="Field Supervision"/>
    <s v="LAX People Mover-HVAC"/>
    <x v="1"/>
    <s v="PLUM"/>
    <m/>
    <n v="0"/>
    <n v="0"/>
    <n v="0"/>
    <n v="0"/>
    <m/>
    <n v="5575"/>
    <n v="6712"/>
    <n v="6764"/>
    <n v="52"/>
    <n v="1189"/>
    <m/>
    <n v="514819.92"/>
    <n v="732160.3"/>
    <n v="0"/>
    <n v="737818.13"/>
    <n v="5657.83"/>
    <n v="222998.21"/>
    <x v="0"/>
    <x v="0"/>
  </r>
  <r>
    <s v="22.0002.    ."/>
    <s v="Superintendent (Plumbing)"/>
    <s v="All Other Areas"/>
    <s v="Field Supervision"/>
    <s v="LAX People Mover-Plumbing"/>
    <x v="1"/>
    <s v="PLUM"/>
    <m/>
    <n v="0"/>
    <n v="0"/>
    <n v="0"/>
    <n v="0"/>
    <m/>
    <n v="0"/>
    <n v="2"/>
    <n v="2"/>
    <n v="0"/>
    <n v="2"/>
    <m/>
    <n v="0"/>
    <n v="205.98"/>
    <n v="0"/>
    <n v="205.98"/>
    <n v="0"/>
    <n v="205.98"/>
    <x v="0"/>
    <x v="0"/>
  </r>
  <r>
    <s v="22.0050.    ."/>
    <s v="Detailing Plumbing"/>
    <s v="DETAILING"/>
    <s v="Detailing"/>
    <s v="LAX People Mover-Plumbing"/>
    <x v="1"/>
    <s v="PLUM"/>
    <m/>
    <n v="0"/>
    <n v="0"/>
    <n v="0"/>
    <n v="0"/>
    <m/>
    <n v="203"/>
    <n v="2037.5"/>
    <n v="2053.5"/>
    <n v="16"/>
    <n v="1850.5"/>
    <m/>
    <n v="20105"/>
    <n v="184269.32"/>
    <n v="0"/>
    <n v="185716.34"/>
    <n v="1447.02"/>
    <n v="165611.34"/>
    <x v="0"/>
    <x v="0"/>
  </r>
  <r>
    <s v="22.0050. MSF."/>
    <s v="Detailing 3D/BIM - Plumbing"/>
    <s v="MSF"/>
    <s v="Detailing"/>
    <s v="LAX People Mover-HVAC"/>
    <x v="1"/>
    <s v="PLUM"/>
    <m/>
    <n v="0"/>
    <n v="0"/>
    <n v="0"/>
    <n v="0"/>
    <m/>
    <n v="420"/>
    <n v="126"/>
    <n v="126"/>
    <n v="0"/>
    <n v="-294"/>
    <m/>
    <n v="37800"/>
    <n v="12925.84"/>
    <n v="0"/>
    <n v="12925.84"/>
    <n v="0"/>
    <n v="-24874.16"/>
    <x v="0"/>
    <x v="0"/>
  </r>
  <r>
    <s v="22.0050. P2A."/>
    <s v="Detailing 3D/BIM - Plumbing"/>
    <s v="P2A"/>
    <s v="Detailing"/>
    <s v="LAX People Mover-HVAC"/>
    <x v="1"/>
    <s v="PLUM"/>
    <m/>
    <n v="0"/>
    <n v="0"/>
    <n v="0"/>
    <n v="0"/>
    <m/>
    <n v="5"/>
    <n v="0"/>
    <n v="0"/>
    <n v="0"/>
    <n v="-5"/>
    <m/>
    <n v="450"/>
    <n v="0"/>
    <n v="0"/>
    <n v="0"/>
    <n v="0"/>
    <n v="-450"/>
    <x v="0"/>
    <x v="0"/>
  </r>
  <r>
    <s v="22.0050.CCTA."/>
    <s v="Detailing 3D/BIM - Plumbing"/>
    <s v="CCTA"/>
    <s v="Detailing"/>
    <s v="LAX People Mover-HVAC"/>
    <x v="1"/>
    <s v="PLUM"/>
    <m/>
    <n v="0"/>
    <n v="0"/>
    <n v="0"/>
    <n v="0"/>
    <m/>
    <n v="289"/>
    <n v="64"/>
    <n v="64"/>
    <n v="0"/>
    <n v="-225"/>
    <m/>
    <n v="26010"/>
    <n v="6534.48"/>
    <n v="0"/>
    <n v="6534.48"/>
    <n v="0"/>
    <n v="-19475.52"/>
    <x v="0"/>
    <x v="0"/>
  </r>
  <r>
    <s v="22.0050.ECTA."/>
    <s v="Detailing 3D/BIM - Plumbing"/>
    <s v="ECTA"/>
    <s v="Detailing"/>
    <s v="LAX People Mover-HVAC"/>
    <x v="1"/>
    <s v="PLUM"/>
    <m/>
    <n v="0"/>
    <n v="0"/>
    <n v="0"/>
    <n v="0"/>
    <m/>
    <n v="183"/>
    <n v="152"/>
    <n v="152"/>
    <n v="0"/>
    <n v="-31"/>
    <m/>
    <n v="16470"/>
    <n v="15610.73"/>
    <n v="0"/>
    <n v="15610.73"/>
    <n v="0"/>
    <n v="-859.27"/>
    <x v="0"/>
    <x v="0"/>
  </r>
  <r>
    <s v="22.0050.EITF."/>
    <s v="Detailing 3D/BIM - Plumbing"/>
    <s v="EITF"/>
    <s v="Detailing"/>
    <s v="LAX People Mover-HVAC"/>
    <x v="1"/>
    <s v="PLUM"/>
    <m/>
    <n v="0"/>
    <n v="0"/>
    <n v="0"/>
    <n v="0"/>
    <m/>
    <n v="180"/>
    <n v="21"/>
    <n v="21"/>
    <n v="0"/>
    <n v="-159"/>
    <m/>
    <n v="16200"/>
    <n v="2152.61"/>
    <n v="0"/>
    <n v="2152.61"/>
    <n v="0"/>
    <n v="-14047.39"/>
    <x v="0"/>
    <x v="0"/>
  </r>
  <r>
    <s v="22.0050.TPS1."/>
    <s v="Detailing 3D/BIM - Plumbing"/>
    <s v="TPS1"/>
    <s v="Detailing"/>
    <s v="LAX People Mover-HVAC"/>
    <x v="1"/>
    <s v="PLUM"/>
    <m/>
    <n v="0"/>
    <n v="0"/>
    <n v="0"/>
    <n v="0"/>
    <m/>
    <n v="15"/>
    <n v="28"/>
    <n v="28"/>
    <n v="0"/>
    <n v="13"/>
    <m/>
    <n v="1350"/>
    <n v="2845.54"/>
    <n v="0"/>
    <n v="2845.54"/>
    <n v="0"/>
    <n v="1495.54"/>
    <x v="0"/>
    <x v="0"/>
  </r>
  <r>
    <s v="22.0050.TPS3."/>
    <s v="Detailing 3D/BIM - Plumbing"/>
    <s v="TPS3"/>
    <s v="Detailing"/>
    <s v="LAX People Mover-HVAC"/>
    <x v="1"/>
    <s v="PLUM"/>
    <m/>
    <n v="0"/>
    <n v="0"/>
    <n v="0"/>
    <n v="0"/>
    <m/>
    <n v="14"/>
    <n v="10"/>
    <n v="10"/>
    <n v="0"/>
    <n v="-4"/>
    <m/>
    <n v="1260"/>
    <n v="980.22"/>
    <n v="0"/>
    <n v="980.22"/>
    <n v="0"/>
    <n v="-279.77999999999997"/>
    <x v="0"/>
    <x v="0"/>
  </r>
  <r>
    <s v="22.0050.WCTA."/>
    <s v="Detailing 3D/BIM - Plumbing"/>
    <s v="WCTA"/>
    <s v="Detailing"/>
    <s v="LAX People Mover-HVAC"/>
    <x v="1"/>
    <s v="PLUM"/>
    <m/>
    <n v="0"/>
    <n v="0"/>
    <n v="0"/>
    <n v="0"/>
    <m/>
    <n v="576"/>
    <n v="334"/>
    <n v="334"/>
    <n v="0"/>
    <n v="-242"/>
    <m/>
    <n v="51840"/>
    <n v="34264.54"/>
    <n v="0"/>
    <n v="34264.54"/>
    <n v="0"/>
    <n v="-17575.46"/>
    <x v="0"/>
    <x v="0"/>
  </r>
  <r>
    <s v="22.0050.WITF."/>
    <s v="Detailing 3D/BIM - Plumbing"/>
    <s v="WITF"/>
    <s v="Detailing"/>
    <s v="LAX People Mover-HVAC"/>
    <x v="1"/>
    <s v="PLUM"/>
    <m/>
    <n v="0"/>
    <n v="0"/>
    <n v="0"/>
    <n v="0"/>
    <m/>
    <n v="255"/>
    <n v="183"/>
    <n v="183"/>
    <n v="0"/>
    <n v="-72"/>
    <m/>
    <n v="22950"/>
    <n v="18771.04"/>
    <n v="0"/>
    <n v="18771.04"/>
    <n v="0"/>
    <n v="-4178.96"/>
    <x v="0"/>
    <x v="0"/>
  </r>
  <r>
    <s v="22.0051.    ."/>
    <s v="Detailing Plumbing Spooling"/>
    <s v="DETAILING"/>
    <s v="Detailing"/>
    <s v="LAX People Mover-Plumbing"/>
    <x v="1"/>
    <s v="PLUM"/>
    <m/>
    <n v="0"/>
    <n v="0"/>
    <n v="0"/>
    <n v="0"/>
    <m/>
    <n v="0"/>
    <n v="687.5"/>
    <n v="687.5"/>
    <n v="0"/>
    <n v="687.5"/>
    <m/>
    <n v="0"/>
    <n v="20569.55"/>
    <n v="0"/>
    <n v="20569.55"/>
    <n v="0"/>
    <n v="20569.55"/>
    <x v="0"/>
    <x v="0"/>
  </r>
  <r>
    <s v="22.0051. MSF."/>
    <s v="Detailing Spooling - Plumbing"/>
    <s v="MSF"/>
    <s v="Detailing"/>
    <s v="LAX People Mover-HVAC"/>
    <x v="1"/>
    <s v="PLUM"/>
    <m/>
    <n v="0"/>
    <n v="0"/>
    <n v="0"/>
    <n v="0"/>
    <m/>
    <n v="126"/>
    <n v="147"/>
    <n v="147"/>
    <n v="0"/>
    <n v="21"/>
    <m/>
    <n v="11340"/>
    <n v="4562.45"/>
    <n v="0"/>
    <n v="4562.45"/>
    <n v="0"/>
    <n v="-6777.55"/>
    <x v="0"/>
    <x v="0"/>
  </r>
  <r>
    <s v="22.0051. P2A."/>
    <s v="Detailing Spooling - Plumbing"/>
    <s v="P2A"/>
    <s v="Detailing"/>
    <s v="LAX People Mover-HVAC"/>
    <x v="1"/>
    <s v="PLUM"/>
    <m/>
    <n v="0"/>
    <n v="0"/>
    <n v="0"/>
    <n v="0"/>
    <m/>
    <n v="2"/>
    <n v="0"/>
    <n v="0"/>
    <n v="0"/>
    <n v="-2"/>
    <m/>
    <n v="180"/>
    <n v="0"/>
    <n v="0"/>
    <n v="0"/>
    <n v="0"/>
    <n v="-180"/>
    <x v="0"/>
    <x v="0"/>
  </r>
  <r>
    <s v="22.0051.CCTA."/>
    <s v="Detailing Spooling - Plumbing"/>
    <s v="CCTA"/>
    <s v="Detailing"/>
    <s v="LAX People Mover-HVAC"/>
    <x v="1"/>
    <s v="PLUM"/>
    <m/>
    <n v="0"/>
    <n v="0"/>
    <n v="0"/>
    <n v="0"/>
    <m/>
    <n v="87"/>
    <n v="0"/>
    <n v="0"/>
    <n v="0"/>
    <n v="-87"/>
    <m/>
    <n v="7830"/>
    <n v="0"/>
    <n v="0"/>
    <n v="0"/>
    <n v="0"/>
    <n v="-7830"/>
    <x v="0"/>
    <x v="0"/>
  </r>
  <r>
    <s v="22.0051.ECTA."/>
    <s v="Detailing Spooling - Plumbing"/>
    <s v="ECTA"/>
    <s v="Detailing"/>
    <s v="LAX People Mover-HVAC"/>
    <x v="1"/>
    <s v="PLUM"/>
    <m/>
    <n v="0"/>
    <n v="0"/>
    <n v="0"/>
    <n v="0"/>
    <m/>
    <n v="55"/>
    <n v="0"/>
    <n v="0"/>
    <n v="0"/>
    <n v="-55"/>
    <m/>
    <n v="4950"/>
    <n v="0"/>
    <n v="0"/>
    <n v="0"/>
    <n v="0"/>
    <n v="-4950"/>
    <x v="0"/>
    <x v="0"/>
  </r>
  <r>
    <s v="22.0051.EITF."/>
    <s v="Detailing Spooling - Plumbing"/>
    <s v="EITF"/>
    <s v="Detailing"/>
    <s v="LAX People Mover-HVAC"/>
    <x v="1"/>
    <s v="PLUM"/>
    <m/>
    <n v="0"/>
    <n v="0"/>
    <n v="0"/>
    <n v="0"/>
    <m/>
    <n v="54"/>
    <n v="0"/>
    <n v="0"/>
    <n v="0"/>
    <n v="-54"/>
    <m/>
    <n v="4860"/>
    <n v="0"/>
    <n v="0"/>
    <n v="0"/>
    <n v="0"/>
    <n v="-4860"/>
    <x v="0"/>
    <x v="0"/>
  </r>
  <r>
    <s v="22.0051.TPS1."/>
    <s v="Detailing Spooling - Plumbing"/>
    <s v="TPS1"/>
    <s v="Detailing"/>
    <s v="LAX People Mover-HVAC"/>
    <x v="1"/>
    <s v="PLUM"/>
    <m/>
    <n v="0"/>
    <n v="0"/>
    <n v="0"/>
    <n v="0"/>
    <m/>
    <n v="5"/>
    <n v="5"/>
    <n v="5"/>
    <n v="0"/>
    <n v="0"/>
    <m/>
    <n v="450"/>
    <n v="128.62"/>
    <n v="0"/>
    <n v="128.62"/>
    <n v="0"/>
    <n v="-321.38"/>
    <x v="0"/>
    <x v="0"/>
  </r>
  <r>
    <s v="22.0051.TPS3."/>
    <s v="Detailing Spooling - Plumbing"/>
    <s v="TPS3"/>
    <s v="Detailing"/>
    <s v="LAX People Mover-HVAC"/>
    <x v="1"/>
    <s v="PLUM"/>
    <m/>
    <n v="0"/>
    <n v="0"/>
    <n v="0"/>
    <n v="0"/>
    <m/>
    <n v="4"/>
    <n v="0"/>
    <n v="0"/>
    <n v="0"/>
    <n v="-4"/>
    <m/>
    <n v="360"/>
    <n v="0"/>
    <n v="0"/>
    <n v="0"/>
    <n v="0"/>
    <n v="-360"/>
    <x v="0"/>
    <x v="0"/>
  </r>
  <r>
    <s v="22.0051.WCTA."/>
    <s v="Detailing Spooling - Plumbing"/>
    <s v="WCTA"/>
    <s v="Detailing"/>
    <s v="LAX People Mover-HVAC"/>
    <x v="1"/>
    <s v="PLUM"/>
    <m/>
    <n v="0"/>
    <n v="0"/>
    <n v="0"/>
    <n v="0"/>
    <m/>
    <n v="173"/>
    <n v="0"/>
    <n v="0"/>
    <n v="0"/>
    <n v="-173"/>
    <m/>
    <n v="15570"/>
    <n v="0"/>
    <n v="0"/>
    <n v="0"/>
    <n v="0"/>
    <n v="-15570"/>
    <x v="0"/>
    <x v="0"/>
  </r>
  <r>
    <s v="22.0051.WITF."/>
    <s v="Detailing Spooling - Plumbing"/>
    <s v="WITF"/>
    <s v="Detailing"/>
    <s v="LAX People Mover-HVAC"/>
    <x v="1"/>
    <s v="PLUM"/>
    <m/>
    <n v="0"/>
    <n v="0"/>
    <n v="0"/>
    <n v="0"/>
    <m/>
    <n v="77"/>
    <n v="10"/>
    <n v="10"/>
    <n v="0"/>
    <n v="-67"/>
    <m/>
    <n v="6930"/>
    <n v="257.23"/>
    <n v="0"/>
    <n v="257.23"/>
    <n v="0"/>
    <n v="-6672.77"/>
    <x v="0"/>
    <x v="0"/>
  </r>
  <r>
    <s v="22.0056. MSF."/>
    <s v="Detailing Coordination"/>
    <s v="All Other Areas"/>
    <s v="Detailing"/>
    <s v="LAX People Mover-HVAC"/>
    <x v="1"/>
    <s v="PLUM"/>
    <m/>
    <n v="0"/>
    <n v="0"/>
    <n v="0"/>
    <n v="0"/>
    <m/>
    <n v="824"/>
    <n v="2448"/>
    <n v="2446"/>
    <n v="-2"/>
    <n v="1622"/>
    <m/>
    <n v="84293.6"/>
    <n v="259020.66"/>
    <n v="0"/>
    <n v="258790.12"/>
    <n v="-230.54"/>
    <n v="174496.52"/>
    <x v="0"/>
    <x v="0"/>
  </r>
  <r>
    <s v="22.0056. P2A."/>
    <s v="Detailing Coordination"/>
    <s v="P2A"/>
    <s v="Detailing"/>
    <s v="LAX People Mover-HVAC"/>
    <x v="1"/>
    <s v="PLUM"/>
    <m/>
    <n v="0"/>
    <n v="0"/>
    <n v="0"/>
    <n v="0"/>
    <m/>
    <n v="4"/>
    <n v="0"/>
    <n v="0"/>
    <n v="0"/>
    <n v="-4"/>
    <m/>
    <n v="360"/>
    <n v="0"/>
    <n v="0"/>
    <n v="0"/>
    <n v="0"/>
    <n v="-360"/>
    <x v="0"/>
    <x v="0"/>
  </r>
  <r>
    <s v="22.0056.CCTA."/>
    <s v="Detailing Coordination"/>
    <s v="CCTA"/>
    <s v="Detailing"/>
    <s v="LAX People Mover-HVAC"/>
    <x v="1"/>
    <s v="PLUM"/>
    <m/>
    <n v="0"/>
    <n v="0"/>
    <n v="0"/>
    <n v="0"/>
    <m/>
    <n v="202"/>
    <n v="51"/>
    <n v="51"/>
    <n v="0"/>
    <n v="-151"/>
    <m/>
    <n v="18180"/>
    <n v="5354.35"/>
    <n v="0"/>
    <n v="5354.35"/>
    <n v="0"/>
    <n v="-12825.65"/>
    <x v="0"/>
    <x v="0"/>
  </r>
  <r>
    <s v="22.0056.ECTA."/>
    <s v="Detailing Coordination"/>
    <s v="ECTA"/>
    <s v="Detailing"/>
    <s v="LAX People Mover-HVAC"/>
    <x v="1"/>
    <s v="PLUM"/>
    <m/>
    <n v="0"/>
    <n v="0"/>
    <n v="0"/>
    <n v="0"/>
    <m/>
    <n v="128"/>
    <n v="92"/>
    <n v="92"/>
    <n v="0"/>
    <n v="-36"/>
    <m/>
    <n v="11520"/>
    <n v="9658.85"/>
    <n v="0"/>
    <n v="9658.85"/>
    <n v="0"/>
    <n v="-1861.15"/>
    <x v="0"/>
    <x v="0"/>
  </r>
  <r>
    <s v="22.0056.EITF."/>
    <s v="Detailing Coordination"/>
    <s v="EITF"/>
    <s v="Detailing"/>
    <s v="LAX People Mover-HVAC"/>
    <x v="1"/>
    <s v="PLUM"/>
    <m/>
    <n v="0"/>
    <n v="0"/>
    <n v="0"/>
    <n v="0"/>
    <m/>
    <n v="126"/>
    <n v="0"/>
    <n v="0"/>
    <n v="0"/>
    <n v="-126"/>
    <m/>
    <n v="11340"/>
    <n v="0"/>
    <n v="0"/>
    <n v="0"/>
    <n v="0"/>
    <n v="-11340"/>
    <x v="0"/>
    <x v="0"/>
  </r>
  <r>
    <s v="22.0056.TPS1."/>
    <s v="Detailing Coordination"/>
    <s v="TPS1"/>
    <s v="Detailing"/>
    <s v="LAX People Mover-HVAC"/>
    <x v="1"/>
    <s v="PLUM"/>
    <m/>
    <n v="0"/>
    <n v="0"/>
    <n v="0"/>
    <n v="0"/>
    <m/>
    <n v="11"/>
    <n v="2"/>
    <n v="2"/>
    <n v="0"/>
    <n v="-9"/>
    <m/>
    <n v="990"/>
    <n v="209.99"/>
    <n v="0"/>
    <n v="209.99"/>
    <n v="0"/>
    <n v="-780.01"/>
    <x v="0"/>
    <x v="0"/>
  </r>
  <r>
    <s v="22.0056.TPS3."/>
    <s v="Detailing Coordination"/>
    <s v="TPS3"/>
    <s v="Detailing"/>
    <s v="LAX People Mover-HVAC"/>
    <x v="1"/>
    <s v="PLUM"/>
    <m/>
    <n v="0"/>
    <n v="0"/>
    <n v="0"/>
    <n v="0"/>
    <m/>
    <n v="10"/>
    <n v="20"/>
    <n v="20"/>
    <n v="0"/>
    <n v="10"/>
    <m/>
    <n v="900"/>
    <n v="2099.8000000000002"/>
    <n v="0"/>
    <n v="2099.8000000000002"/>
    <n v="0"/>
    <n v="1199.8"/>
    <x v="0"/>
    <x v="0"/>
  </r>
  <r>
    <s v="22.0056.WCTA."/>
    <s v="Detailing Coordination"/>
    <s v="WCTA"/>
    <s v="Detailing"/>
    <s v="LAX People Mover-HVAC"/>
    <x v="1"/>
    <s v="PLUM"/>
    <m/>
    <n v="0"/>
    <n v="0"/>
    <n v="0"/>
    <n v="0"/>
    <m/>
    <n v="403"/>
    <n v="201"/>
    <n v="201"/>
    <n v="0"/>
    <n v="-202"/>
    <m/>
    <n v="36270"/>
    <n v="21106.87"/>
    <n v="0"/>
    <n v="21106.87"/>
    <n v="0"/>
    <n v="-15163.13"/>
    <x v="0"/>
    <x v="0"/>
  </r>
  <r>
    <s v="22.0056.WITF."/>
    <s v="Detailing Coordination"/>
    <s v="WITF"/>
    <s v="Detailing"/>
    <s v="LAX People Mover-HVAC"/>
    <x v="1"/>
    <s v="PLUM"/>
    <m/>
    <n v="0"/>
    <n v="0"/>
    <n v="0"/>
    <n v="0"/>
    <m/>
    <n v="179"/>
    <n v="105"/>
    <n v="105"/>
    <n v="0"/>
    <n v="-74"/>
    <m/>
    <n v="16110"/>
    <n v="11098.99"/>
    <n v="0"/>
    <n v="11098.99"/>
    <n v="0"/>
    <n v="-5011.01"/>
    <x v="0"/>
    <x v="0"/>
  </r>
  <r>
    <s v="22.0060.  10."/>
    <s v="Finish"/>
    <s v="All Other Areas"/>
    <s v="Finish"/>
    <s v="LAX People Mover-Plumbing"/>
    <x v="1"/>
    <s v="PLUM"/>
    <m/>
    <n v="0"/>
    <n v="0"/>
    <n v="0"/>
    <n v="0"/>
    <m/>
    <n v="0"/>
    <n v="96"/>
    <n v="96"/>
    <n v="0"/>
    <n v="96"/>
    <m/>
    <n v="0"/>
    <n v="9120.99"/>
    <n v="0"/>
    <n v="9120.99"/>
    <n v="0"/>
    <n v="9120.99"/>
    <x v="0"/>
    <x v="0"/>
  </r>
  <r>
    <s v="22.0060. MSF."/>
    <s v="Finish - Plumbing"/>
    <s v="MSF"/>
    <s v="Finish"/>
    <s v="LAX People Mover-HVAC"/>
    <x v="1"/>
    <s v="PLUM"/>
    <m/>
    <n v="0"/>
    <n v="0"/>
    <n v="0"/>
    <n v="0"/>
    <m/>
    <n v="436"/>
    <n v="576"/>
    <n v="576"/>
    <n v="0"/>
    <n v="140"/>
    <m/>
    <n v="39481"/>
    <n v="53633.75"/>
    <n v="0"/>
    <n v="53633.75"/>
    <n v="0"/>
    <n v="14152.75"/>
    <x v="0"/>
    <x v="0"/>
  </r>
  <r>
    <s v="22.0060. P2A."/>
    <s v="Finish - Plumbing"/>
    <s v="P2A"/>
    <s v="Finish"/>
    <s v="LAX People Mover-HVAC"/>
    <x v="1"/>
    <s v="PLUM"/>
    <m/>
    <n v="0"/>
    <n v="0"/>
    <n v="0"/>
    <n v="0"/>
    <m/>
    <n v="7"/>
    <n v="0"/>
    <n v="0"/>
    <n v="0"/>
    <n v="-7"/>
    <m/>
    <n v="630"/>
    <n v="0"/>
    <n v="0"/>
    <n v="0"/>
    <n v="0"/>
    <n v="-630"/>
    <x v="0"/>
    <x v="0"/>
  </r>
  <r>
    <s v="22.0060.CCTA."/>
    <s v="Finish - Plumbing"/>
    <s v="CCTA"/>
    <s v="Finish"/>
    <s v="LAX People Mover-HVAC"/>
    <x v="1"/>
    <s v="PLUM"/>
    <m/>
    <n v="0"/>
    <n v="0"/>
    <n v="0"/>
    <n v="0"/>
    <m/>
    <n v="74"/>
    <n v="28"/>
    <n v="28"/>
    <n v="0"/>
    <n v="-46"/>
    <m/>
    <n v="6660"/>
    <n v="2693.13"/>
    <n v="0"/>
    <n v="2693.13"/>
    <n v="0"/>
    <n v="-3966.87"/>
    <x v="0"/>
    <x v="0"/>
  </r>
  <r>
    <s v="22.0060.ECTA."/>
    <s v="Finish - Plumbing"/>
    <s v="ECTA"/>
    <s v="Finish"/>
    <s v="LAX People Mover-HVAC"/>
    <x v="1"/>
    <s v="PLUM"/>
    <m/>
    <n v="0"/>
    <n v="0"/>
    <n v="0"/>
    <n v="0"/>
    <m/>
    <n v="79"/>
    <n v="16"/>
    <n v="16"/>
    <n v="0"/>
    <n v="-63"/>
    <m/>
    <n v="7110"/>
    <n v="1569.67"/>
    <n v="0"/>
    <n v="1569.67"/>
    <n v="0"/>
    <n v="-5540.33"/>
    <x v="0"/>
    <x v="0"/>
  </r>
  <r>
    <s v="22.0060.EITF."/>
    <s v="Finish - Plumbing"/>
    <s v="EITF"/>
    <s v="Finish"/>
    <s v="LAX People Mover-HVAC"/>
    <x v="1"/>
    <s v="PLUM"/>
    <m/>
    <n v="0"/>
    <n v="0"/>
    <n v="0"/>
    <n v="0"/>
    <m/>
    <n v="50"/>
    <n v="64"/>
    <n v="64"/>
    <n v="0"/>
    <n v="14"/>
    <m/>
    <n v="4500"/>
    <n v="6476.49"/>
    <n v="0"/>
    <n v="6476.49"/>
    <n v="0"/>
    <n v="1976.49"/>
    <x v="0"/>
    <x v="0"/>
  </r>
  <r>
    <s v="22.0060.TPS1."/>
    <s v="Finish - Plumbing"/>
    <s v="TPS1"/>
    <s v="Finish"/>
    <s v="LAX People Mover-HVAC"/>
    <x v="1"/>
    <s v="PLUM"/>
    <m/>
    <n v="0"/>
    <n v="0"/>
    <n v="0"/>
    <n v="0"/>
    <m/>
    <n v="10"/>
    <n v="16"/>
    <n v="16"/>
    <n v="0"/>
    <n v="6"/>
    <m/>
    <n v="900"/>
    <n v="1599.05"/>
    <n v="0"/>
    <n v="1599.05"/>
    <n v="0"/>
    <n v="699.05"/>
    <x v="0"/>
    <x v="0"/>
  </r>
  <r>
    <s v="22.0060.TPS3."/>
    <s v="Finish - Plumbing"/>
    <s v="TPS3"/>
    <s v="Finish"/>
    <s v="LAX People Mover-HVAC"/>
    <x v="1"/>
    <s v="PLUM"/>
    <m/>
    <n v="0"/>
    <n v="0"/>
    <n v="0"/>
    <n v="0"/>
    <m/>
    <n v="9"/>
    <n v="0"/>
    <n v="0"/>
    <n v="0"/>
    <n v="-9"/>
    <m/>
    <n v="810"/>
    <n v="0"/>
    <n v="0"/>
    <n v="0"/>
    <n v="0"/>
    <n v="-810"/>
    <x v="0"/>
    <x v="0"/>
  </r>
  <r>
    <s v="22.0060.WCTA."/>
    <s v="Finish - Plumbing"/>
    <s v="WCTA"/>
    <s v="Finish"/>
    <s v="LAX People Mover-HVAC"/>
    <x v="1"/>
    <s v="PLUM"/>
    <m/>
    <n v="0"/>
    <n v="0"/>
    <n v="0"/>
    <n v="0"/>
    <m/>
    <n v="314"/>
    <n v="292"/>
    <n v="300"/>
    <n v="8"/>
    <n v="-14"/>
    <m/>
    <n v="28260"/>
    <n v="28815.43"/>
    <n v="0"/>
    <n v="29655.43"/>
    <n v="840"/>
    <n v="1395.43"/>
    <x v="0"/>
    <x v="0"/>
  </r>
  <r>
    <s v="22.0060.WITF."/>
    <s v="Finish - Plumbing"/>
    <s v="WITF"/>
    <s v="Finish"/>
    <s v="LAX People Mover-HVAC"/>
    <x v="1"/>
    <s v="PLUM"/>
    <m/>
    <n v="0"/>
    <n v="0"/>
    <n v="0"/>
    <n v="0"/>
    <m/>
    <n v="89"/>
    <n v="32"/>
    <n v="32"/>
    <n v="0"/>
    <n v="-57"/>
    <m/>
    <n v="8010"/>
    <n v="3138.41"/>
    <n v="0"/>
    <n v="3138.41"/>
    <n v="0"/>
    <n v="-4871.59"/>
    <x v="0"/>
    <x v="0"/>
  </r>
  <r>
    <s v="22.0075.   5."/>
    <s v="Waste &amp; Vent (U/G)"/>
    <s v="UG"/>
    <s v="Underground"/>
    <s v="LAX People Mover-Plumbing"/>
    <x v="1"/>
    <s v="PLUM"/>
    <m/>
    <n v="0"/>
    <n v="0"/>
    <n v="0"/>
    <n v="0"/>
    <m/>
    <n v="0"/>
    <n v="2242"/>
    <n v="2242"/>
    <n v="0"/>
    <n v="2242"/>
    <m/>
    <n v="0"/>
    <n v="186012.01"/>
    <n v="0"/>
    <n v="186012.01"/>
    <n v="0"/>
    <n v="186012.01"/>
    <x v="0"/>
    <x v="0"/>
  </r>
  <r>
    <s v="22.0075. MSF."/>
    <s v="Waste &amp; Vent (B/G) - Plumbing"/>
    <s v="MSF"/>
    <s v="Underground"/>
    <s v="LAX People Mover-HVAC"/>
    <x v="1"/>
    <s v="PLUM"/>
    <m/>
    <n v="0"/>
    <n v="0"/>
    <n v="0"/>
    <n v="0"/>
    <m/>
    <n v="653"/>
    <n v="705"/>
    <n v="705"/>
    <n v="0"/>
    <n v="52"/>
    <m/>
    <n v="58770"/>
    <n v="61802.96"/>
    <n v="0"/>
    <n v="61802.96"/>
    <n v="0"/>
    <n v="3032.96"/>
    <x v="0"/>
    <x v="0"/>
  </r>
  <r>
    <s v="22.0075.CCTA."/>
    <s v="Waste &amp; Vent (B/G) - Plumbing"/>
    <s v="CCTA"/>
    <s v="Underground"/>
    <s v="LAX People Mover-HVAC"/>
    <x v="1"/>
    <s v="PLUM"/>
    <m/>
    <n v="0"/>
    <n v="0"/>
    <n v="0"/>
    <n v="0"/>
    <m/>
    <n v="29"/>
    <n v="85"/>
    <n v="85"/>
    <n v="0"/>
    <n v="56"/>
    <m/>
    <n v="2610"/>
    <n v="8314.35"/>
    <n v="0"/>
    <n v="8314.35"/>
    <n v="0"/>
    <n v="5704.35"/>
    <x v="0"/>
    <x v="0"/>
  </r>
  <r>
    <s v="22.0075.ECTA."/>
    <s v="Waste &amp; Vent (B/G) - Plumbing"/>
    <s v="ECTA"/>
    <s v="Underground"/>
    <s v="LAX People Mover-HVAC"/>
    <x v="1"/>
    <s v="PLUM"/>
    <m/>
    <n v="0"/>
    <n v="0"/>
    <n v="0"/>
    <n v="0"/>
    <m/>
    <n v="12"/>
    <n v="33"/>
    <n v="33"/>
    <n v="0"/>
    <n v="21"/>
    <m/>
    <n v="1080"/>
    <n v="3268.34"/>
    <n v="0"/>
    <n v="3268.34"/>
    <n v="0"/>
    <n v="2188.34"/>
    <x v="0"/>
    <x v="0"/>
  </r>
  <r>
    <s v="22.0075.EITF."/>
    <s v="Waste &amp; Vent (B/G) - Plumbing"/>
    <s v="EITF"/>
    <s v="Underground"/>
    <s v="LAX People Mover-HVAC"/>
    <x v="1"/>
    <s v="PLUM"/>
    <m/>
    <n v="0"/>
    <n v="0"/>
    <n v="0"/>
    <n v="0"/>
    <m/>
    <n v="246"/>
    <n v="269"/>
    <n v="269"/>
    <n v="0"/>
    <n v="23"/>
    <m/>
    <n v="22056"/>
    <n v="23408.36"/>
    <n v="0"/>
    <n v="23408.36"/>
    <n v="0"/>
    <n v="1352.36"/>
    <x v="0"/>
    <x v="0"/>
  </r>
  <r>
    <s v="22.0075.TPS1."/>
    <s v="Waste &amp; Vent (B/G) - Plumbing"/>
    <s v="TPS1"/>
    <s v="Underground"/>
    <s v="LAX People Mover-HVAC"/>
    <x v="1"/>
    <s v="PLUM"/>
    <m/>
    <n v="0"/>
    <n v="0"/>
    <n v="0"/>
    <n v="0"/>
    <m/>
    <n v="40"/>
    <n v="152"/>
    <n v="152"/>
    <n v="0"/>
    <n v="112"/>
    <m/>
    <n v="3600"/>
    <n v="12047.79"/>
    <n v="0"/>
    <n v="12047.79"/>
    <n v="0"/>
    <n v="8447.7900000000009"/>
    <x v="0"/>
    <x v="0"/>
  </r>
  <r>
    <s v="22.0075.TPS3."/>
    <s v="Waste &amp; Vent (B/G) - Plumbing"/>
    <s v="TPS3"/>
    <s v="Underground"/>
    <s v="LAX People Mover-HVAC"/>
    <x v="1"/>
    <s v="PLUM"/>
    <m/>
    <n v="0"/>
    <n v="0"/>
    <n v="0"/>
    <n v="0"/>
    <m/>
    <n v="155"/>
    <n v="61"/>
    <n v="61"/>
    <n v="0"/>
    <n v="-94"/>
    <m/>
    <n v="14132"/>
    <n v="5591.11"/>
    <n v="0"/>
    <n v="5591.11"/>
    <n v="0"/>
    <n v="-8540.89"/>
    <x v="0"/>
    <x v="0"/>
  </r>
  <r>
    <s v="22.0075.WCTA."/>
    <s v="Waste and Vent (B/G) - Plumbing"/>
    <s v="WCTA"/>
    <s v="Underground"/>
    <s v="LAX People Mover-HVAC"/>
    <x v="1"/>
    <s v="PLUM"/>
    <m/>
    <n v="0"/>
    <n v="0"/>
    <n v="0"/>
    <n v="0"/>
    <m/>
    <n v="382"/>
    <n v="1195"/>
    <n v="1195"/>
    <n v="0"/>
    <n v="813"/>
    <m/>
    <n v="34380"/>
    <n v="106124.37"/>
    <n v="0"/>
    <n v="106124.37"/>
    <n v="0"/>
    <n v="71744.37"/>
    <x v="0"/>
    <x v="0"/>
  </r>
  <r>
    <s v="22.0075.WITF."/>
    <s v="Waste and Vent (B/G) - Plumbing"/>
    <s v="WITF"/>
    <s v="Underground"/>
    <s v="LAX People Mover-HVAC"/>
    <x v="1"/>
    <s v="PLUM"/>
    <m/>
    <n v="0"/>
    <n v="0"/>
    <n v="0"/>
    <n v="0"/>
    <m/>
    <n v="339"/>
    <n v="550"/>
    <n v="550"/>
    <n v="0"/>
    <n v="211"/>
    <m/>
    <n v="31064.880000000001"/>
    <n v="43495.47"/>
    <n v="0"/>
    <n v="43495.47"/>
    <n v="0"/>
    <n v="12430.59"/>
    <x v="0"/>
    <x v="0"/>
  </r>
  <r>
    <s v="22.0080.  10."/>
    <s v="Waste &amp; Vent (A/G)"/>
    <s v="All Other Areas"/>
    <s v="Gravity"/>
    <s v="LAX People Mover-Plumbing"/>
    <x v="1"/>
    <s v="PLUM"/>
    <m/>
    <n v="0"/>
    <n v="0"/>
    <n v="0"/>
    <n v="0"/>
    <m/>
    <n v="0"/>
    <n v="16"/>
    <n v="16"/>
    <n v="0"/>
    <n v="16"/>
    <m/>
    <n v="0"/>
    <n v="1504.2"/>
    <n v="0"/>
    <n v="1504.2"/>
    <n v="0"/>
    <n v="1504.2"/>
    <x v="0"/>
    <x v="0"/>
  </r>
  <r>
    <s v="22.0080. MSF."/>
    <s v="Waste &amp; Vent (A/G) - Plumbing"/>
    <s v="MSF"/>
    <s v="Gravity"/>
    <s v="LAX People Mover-HVAC"/>
    <x v="1"/>
    <s v="PLUM"/>
    <m/>
    <n v="0"/>
    <n v="0"/>
    <n v="0"/>
    <n v="0"/>
    <m/>
    <n v="314"/>
    <n v="1599"/>
    <n v="1599"/>
    <n v="0"/>
    <n v="1285"/>
    <m/>
    <n v="28227.24"/>
    <n v="116766.61"/>
    <n v="0"/>
    <n v="116766.61"/>
    <n v="0"/>
    <n v="88539.37"/>
    <x v="0"/>
    <x v="0"/>
  </r>
  <r>
    <s v="22.0080.CCTA."/>
    <s v="Waste &amp; Vent (A/G) - Plumbing"/>
    <s v="CCTA"/>
    <s v="Gravity"/>
    <s v="LAX People Mover-HVAC"/>
    <x v="1"/>
    <s v="PLUM"/>
    <m/>
    <n v="0"/>
    <n v="0"/>
    <n v="0"/>
    <n v="0"/>
    <m/>
    <n v="293"/>
    <n v="731"/>
    <n v="731"/>
    <n v="0"/>
    <n v="438"/>
    <m/>
    <n v="26370"/>
    <n v="60953.1"/>
    <n v="0"/>
    <n v="60953.1"/>
    <n v="0"/>
    <n v="34583.1"/>
    <x v="0"/>
    <x v="0"/>
  </r>
  <r>
    <s v="22.0080.ECTA."/>
    <s v="Waste &amp; Vent (A/G) - Plumbing"/>
    <s v="ECTA"/>
    <s v="Gravity"/>
    <s v="LAX People Mover-HVAC"/>
    <x v="1"/>
    <s v="PLUM"/>
    <m/>
    <n v="0"/>
    <n v="0"/>
    <n v="0"/>
    <n v="0"/>
    <m/>
    <n v="207"/>
    <n v="395"/>
    <n v="395"/>
    <n v="0"/>
    <n v="188"/>
    <m/>
    <n v="18630"/>
    <n v="33236.269999999997"/>
    <n v="0"/>
    <n v="33236.269999999997"/>
    <n v="0"/>
    <n v="14606.27"/>
    <x v="0"/>
    <x v="0"/>
  </r>
  <r>
    <s v="22.0080.EITF."/>
    <s v="Waste &amp; Vent (A/G) - Plumbing"/>
    <s v="EITF"/>
    <s v="Gravity"/>
    <s v="LAX People Mover-HVAC"/>
    <x v="1"/>
    <s v="PLUM"/>
    <m/>
    <n v="0"/>
    <n v="0"/>
    <n v="0"/>
    <n v="0"/>
    <m/>
    <n v="362"/>
    <n v="442"/>
    <n v="442"/>
    <n v="0"/>
    <n v="80"/>
    <m/>
    <n v="32580"/>
    <n v="41175.019999999997"/>
    <n v="0"/>
    <n v="41175.019999999997"/>
    <n v="0"/>
    <n v="8595.02"/>
    <x v="0"/>
    <x v="0"/>
  </r>
  <r>
    <s v="22.0080.TPS1."/>
    <s v="Waste &amp; Vent (A/G) - Plumbing"/>
    <s v="TPS1"/>
    <s v="Gravity"/>
    <s v="LAX People Mover-HVAC"/>
    <x v="1"/>
    <s v="PLUM"/>
    <m/>
    <n v="0"/>
    <n v="0"/>
    <n v="0"/>
    <n v="0"/>
    <m/>
    <n v="13"/>
    <n v="9"/>
    <n v="9"/>
    <n v="0"/>
    <n v="-4"/>
    <m/>
    <n v="1170"/>
    <n v="843.43"/>
    <n v="0"/>
    <n v="843.43"/>
    <n v="0"/>
    <n v="-326.57"/>
    <x v="0"/>
    <x v="0"/>
  </r>
  <r>
    <s v="22.0080.TPS3."/>
    <s v="Waste &amp; Vent (A/G) - Plumbing"/>
    <s v="TPS3"/>
    <s v="Gravity"/>
    <s v="LAX People Mover-HVAC"/>
    <x v="1"/>
    <s v="PLUM"/>
    <m/>
    <n v="0"/>
    <n v="0"/>
    <n v="0"/>
    <n v="0"/>
    <m/>
    <n v="11"/>
    <n v="89"/>
    <n v="89"/>
    <n v="0"/>
    <n v="78"/>
    <m/>
    <n v="990"/>
    <n v="8244.49"/>
    <n v="0"/>
    <n v="8244.49"/>
    <n v="0"/>
    <n v="7254.49"/>
    <x v="0"/>
    <x v="0"/>
  </r>
  <r>
    <s v="22.0080.WCTA."/>
    <s v="Waste and Vent (A/G) - Plumbing"/>
    <s v="WCTA"/>
    <s v="Gravity"/>
    <s v="LAX People Mover-HVAC"/>
    <x v="1"/>
    <s v="PLUM"/>
    <m/>
    <n v="0"/>
    <n v="0"/>
    <n v="0"/>
    <n v="0"/>
    <m/>
    <n v="1177"/>
    <n v="2134"/>
    <n v="2174"/>
    <n v="40"/>
    <n v="997"/>
    <m/>
    <n v="105930"/>
    <n v="184695.85"/>
    <n v="0"/>
    <n v="188895.85"/>
    <n v="4200"/>
    <n v="82965.850000000006"/>
    <x v="0"/>
    <x v="0"/>
  </r>
  <r>
    <s v="22.0080.WITF."/>
    <s v="Waste and Vent (A/G) - Plumbing"/>
    <s v="WITF"/>
    <s v="Gravity"/>
    <s v="LAX People Mover-HVAC"/>
    <x v="1"/>
    <s v="PLUM"/>
    <m/>
    <n v="0"/>
    <n v="0"/>
    <n v="0"/>
    <n v="0"/>
    <m/>
    <n v="207"/>
    <n v="303"/>
    <n v="303"/>
    <n v="0"/>
    <n v="96"/>
    <m/>
    <n v="18630"/>
    <n v="24320.98"/>
    <n v="0"/>
    <n v="24320.98"/>
    <n v="0"/>
    <n v="5690.98"/>
    <x v="0"/>
    <x v="0"/>
  </r>
  <r>
    <s v="22.1000. MSF."/>
    <s v="Hot and Cold Water (A/G) - Plumbing"/>
    <s v="MSF"/>
    <s v="Hot &amp; Cold Water"/>
    <s v="LAX People Mover-HVAC"/>
    <x v="1"/>
    <s v="PLUM"/>
    <m/>
    <n v="0"/>
    <n v="0"/>
    <n v="0"/>
    <n v="0"/>
    <m/>
    <n v="1169"/>
    <n v="2133"/>
    <n v="2133"/>
    <n v="0"/>
    <n v="964"/>
    <m/>
    <n v="104750.5"/>
    <n v="163019.25"/>
    <n v="0"/>
    <n v="163019.25"/>
    <n v="0"/>
    <n v="58268.75"/>
    <x v="0"/>
    <x v="0"/>
  </r>
  <r>
    <s v="22.1000. P2A."/>
    <s v="Hot and Cold Water (A/G) - Plumbing"/>
    <s v="P2A"/>
    <s v="Hot &amp; Cold Water"/>
    <s v="LAX People Mover-HVAC"/>
    <x v="1"/>
    <s v="PLUM"/>
    <m/>
    <n v="0"/>
    <n v="0"/>
    <n v="0"/>
    <n v="0"/>
    <m/>
    <n v="19"/>
    <n v="30"/>
    <n v="54"/>
    <n v="24"/>
    <n v="35"/>
    <m/>
    <n v="1710"/>
    <n v="2839.22"/>
    <n v="0"/>
    <n v="5359.22"/>
    <n v="2520"/>
    <n v="3649.22"/>
    <x v="0"/>
    <x v="0"/>
  </r>
  <r>
    <s v="22.1000.CCTA."/>
    <s v="Hot and Cold Water (A/G) - Plumbing"/>
    <s v="CCTA"/>
    <s v="Hot &amp; Cold Water"/>
    <s v="LAX People Mover-HVAC"/>
    <x v="1"/>
    <s v="PLUM"/>
    <m/>
    <n v="0"/>
    <n v="0"/>
    <n v="0"/>
    <n v="0"/>
    <m/>
    <n v="280"/>
    <n v="706"/>
    <n v="706"/>
    <n v="0"/>
    <n v="426"/>
    <m/>
    <n v="25200"/>
    <n v="60830.91"/>
    <n v="0"/>
    <n v="60830.91"/>
    <n v="0"/>
    <n v="35630.910000000003"/>
    <x v="0"/>
    <x v="0"/>
  </r>
  <r>
    <s v="22.1000.ECTA."/>
    <s v="Hot and Cold Water (A/G) - Plumbing"/>
    <s v="ECTA"/>
    <s v="Hot &amp; Cold Water"/>
    <s v="LAX People Mover-HVAC"/>
    <x v="1"/>
    <s v="PLUM"/>
    <m/>
    <n v="0"/>
    <n v="0"/>
    <n v="0"/>
    <n v="0"/>
    <m/>
    <n v="246"/>
    <n v="471"/>
    <n v="471"/>
    <n v="0"/>
    <n v="225"/>
    <m/>
    <n v="22180"/>
    <n v="38031.910000000003"/>
    <n v="0"/>
    <n v="38031.910000000003"/>
    <n v="0"/>
    <n v="15851.91"/>
    <x v="0"/>
    <x v="0"/>
  </r>
  <r>
    <s v="22.1000.EITF."/>
    <s v="Hot and Cold Water (A/G) - Plumbing"/>
    <s v="EITF"/>
    <s v="Hot &amp; Cold Water"/>
    <s v="LAX People Mover-HVAC"/>
    <x v="1"/>
    <s v="PLUM"/>
    <m/>
    <n v="0"/>
    <n v="0"/>
    <n v="0"/>
    <n v="0"/>
    <m/>
    <n v="152"/>
    <n v="513"/>
    <n v="513"/>
    <n v="0"/>
    <n v="361"/>
    <m/>
    <n v="13680"/>
    <n v="47842.58"/>
    <n v="0"/>
    <n v="47842.58"/>
    <n v="0"/>
    <n v="34162.58"/>
    <x v="0"/>
    <x v="0"/>
  </r>
  <r>
    <s v="22.1000.TPS1."/>
    <s v="Hot and Cold Water (A/G) - Plumbing"/>
    <s v="TPS1"/>
    <s v="Hot &amp; Cold Water"/>
    <s v="LAX People Mover-HVAC"/>
    <x v="1"/>
    <s v="PLUM"/>
    <m/>
    <n v="0"/>
    <n v="0"/>
    <n v="0"/>
    <n v="0"/>
    <m/>
    <n v="78"/>
    <n v="64"/>
    <n v="64"/>
    <n v="0"/>
    <n v="-14"/>
    <m/>
    <n v="6890"/>
    <n v="5176.09"/>
    <n v="0"/>
    <n v="5176.09"/>
    <n v="0"/>
    <n v="-1713.91"/>
    <x v="0"/>
    <x v="0"/>
  </r>
  <r>
    <s v="22.1000.TPS3."/>
    <s v="Hot and Cold Water (A/G) - Plumbing"/>
    <s v="TPS3"/>
    <s v="Hot &amp; Cold Water"/>
    <s v="LAX People Mover-HVAC"/>
    <x v="1"/>
    <s v="PLUM"/>
    <m/>
    <n v="0"/>
    <n v="0"/>
    <n v="0"/>
    <n v="0"/>
    <m/>
    <n v="62"/>
    <n v="27"/>
    <n v="27"/>
    <n v="0"/>
    <n v="-35"/>
    <m/>
    <n v="5650.72"/>
    <n v="2587.5100000000002"/>
    <n v="0"/>
    <n v="2587.5100000000002"/>
    <n v="0"/>
    <n v="-3063.21"/>
    <x v="0"/>
    <x v="0"/>
  </r>
  <r>
    <s v="22.1000.WCTA."/>
    <s v="Hot and Cold Water (A/G) - Plumbing"/>
    <s v="WCTA"/>
    <s v="Hot &amp; Cold Water"/>
    <s v="LAX People Mover-HVAC"/>
    <x v="1"/>
    <s v="PLUM"/>
    <m/>
    <n v="0"/>
    <n v="0"/>
    <n v="0"/>
    <n v="0"/>
    <m/>
    <n v="1021"/>
    <n v="1496"/>
    <n v="1504"/>
    <n v="8"/>
    <n v="483"/>
    <m/>
    <n v="92510.64"/>
    <n v="133578.23000000001"/>
    <n v="0"/>
    <n v="134418.23000000001"/>
    <n v="840"/>
    <n v="41907.589999999997"/>
    <x v="0"/>
    <x v="0"/>
  </r>
  <r>
    <s v="22.1000.WITF."/>
    <s v="Hot and Cold Water (A/G) - Plumbing"/>
    <s v="WITF"/>
    <s v="Hot &amp; Cold Water"/>
    <s v="LAX People Mover-HVAC"/>
    <x v="1"/>
    <s v="PLUM"/>
    <m/>
    <n v="0"/>
    <n v="0"/>
    <n v="0"/>
    <n v="0"/>
    <m/>
    <n v="251"/>
    <n v="422"/>
    <n v="422"/>
    <n v="0"/>
    <n v="171"/>
    <m/>
    <n v="22651.5"/>
    <n v="39140.57"/>
    <n v="0"/>
    <n v="39140.57"/>
    <n v="0"/>
    <n v="16489.07"/>
    <x v="0"/>
    <x v="0"/>
  </r>
  <r>
    <s v="22.1020.  10."/>
    <s v="Hot &amp; Cold Water"/>
    <s v="All Other Areas"/>
    <s v="Hot &amp; Cold Water"/>
    <s v="LAX People Mover-Plumbing"/>
    <x v="1"/>
    <s v="PLUM"/>
    <m/>
    <n v="0"/>
    <n v="0"/>
    <n v="0"/>
    <n v="0"/>
    <m/>
    <n v="0"/>
    <n v="113"/>
    <n v="113"/>
    <n v="0"/>
    <n v="113"/>
    <m/>
    <n v="0"/>
    <n v="7958.86"/>
    <n v="0"/>
    <n v="7958.86"/>
    <n v="0"/>
    <n v="7958.86"/>
    <x v="0"/>
    <x v="0"/>
  </r>
  <r>
    <s v="22.1020. MSF."/>
    <s v="Hot and Cold Water (B/G) - Plumbing"/>
    <s v="MSF"/>
    <s v="Hot &amp; Cold Water"/>
    <s v="LAX People Mover-HVAC"/>
    <x v="1"/>
    <s v="PLUM"/>
    <m/>
    <n v="0"/>
    <n v="0"/>
    <n v="0"/>
    <n v="0"/>
    <m/>
    <n v="304"/>
    <n v="359"/>
    <n v="359"/>
    <n v="0"/>
    <n v="55"/>
    <m/>
    <n v="27253.75"/>
    <n v="27982.98"/>
    <n v="0"/>
    <n v="27982.98"/>
    <n v="0"/>
    <n v="729.23"/>
    <x v="0"/>
    <x v="0"/>
  </r>
  <r>
    <s v="22.1020.WCTA."/>
    <s v="Hot and Cold Water (B/G) - Plumbing"/>
    <s v="WCTA"/>
    <s v="Hot &amp; Cold Water"/>
    <s v="LAX People Mover-Plumbing"/>
    <x v="1"/>
    <s v="PLUM"/>
    <m/>
    <n v="0"/>
    <n v="0"/>
    <n v="0"/>
    <n v="0"/>
    <m/>
    <n v="0"/>
    <n v="131"/>
    <n v="131"/>
    <n v="0"/>
    <n v="131"/>
    <m/>
    <n v="0"/>
    <n v="10569.08"/>
    <n v="0"/>
    <n v="10569.08"/>
    <n v="0"/>
    <n v="10569.08"/>
    <x v="0"/>
    <x v="0"/>
  </r>
  <r>
    <s v="22.1020.WITF."/>
    <s v="Hot and Cold Water (B/G) - Plumbing"/>
    <s v="WITF"/>
    <s v="Hot &amp; Cold Water"/>
    <s v="LAX People Mover-Plumbing"/>
    <x v="1"/>
    <s v="PLUM"/>
    <m/>
    <n v="0"/>
    <n v="0"/>
    <n v="0"/>
    <n v="0"/>
    <m/>
    <n v="140"/>
    <n v="260"/>
    <n v="260"/>
    <n v="0"/>
    <n v="120"/>
    <m/>
    <n v="12600"/>
    <n v="20310.400000000001"/>
    <n v="0"/>
    <n v="20310.400000000001"/>
    <n v="0"/>
    <n v="7710.4"/>
    <x v="0"/>
    <x v="0"/>
  </r>
  <r>
    <s v="22.1050.   5."/>
    <s v="RD &amp; SD (U/G)"/>
    <s v="UG"/>
    <s v="Underground"/>
    <s v="LAX People Mover-Plumbing"/>
    <x v="1"/>
    <s v="PLUM"/>
    <m/>
    <n v="0"/>
    <n v="0"/>
    <n v="0"/>
    <n v="0"/>
    <m/>
    <n v="0"/>
    <n v="228"/>
    <n v="228"/>
    <n v="0"/>
    <n v="228"/>
    <m/>
    <n v="0"/>
    <n v="19492.02"/>
    <n v="0"/>
    <n v="19492.02"/>
    <n v="0"/>
    <n v="19492.02"/>
    <x v="0"/>
    <x v="0"/>
  </r>
  <r>
    <s v="22.1050. MSF."/>
    <s v="RD and SD (B/G) - Plumbing"/>
    <s v="MSF"/>
    <s v="Underground"/>
    <s v="LAX People Mover-HVAC"/>
    <x v="1"/>
    <s v="PLUM"/>
    <m/>
    <n v="0"/>
    <n v="0"/>
    <n v="0"/>
    <n v="0"/>
    <m/>
    <n v="74"/>
    <n v="189"/>
    <n v="189"/>
    <n v="0"/>
    <n v="115"/>
    <m/>
    <n v="6660"/>
    <n v="14295.82"/>
    <n v="0"/>
    <n v="14295.82"/>
    <n v="0"/>
    <n v="7635.82"/>
    <x v="0"/>
    <x v="0"/>
  </r>
  <r>
    <s v="22.1050. P2A."/>
    <s v="RD and SD (B/G) - Plumbing"/>
    <s v="P2A"/>
    <s v="Underground"/>
    <s v="LAX People Mover-HVAC"/>
    <x v="1"/>
    <s v="PLUM"/>
    <m/>
    <n v="0"/>
    <n v="0"/>
    <n v="0"/>
    <n v="0"/>
    <m/>
    <n v="3"/>
    <n v="0"/>
    <n v="0"/>
    <n v="0"/>
    <n v="-3"/>
    <m/>
    <n v="270"/>
    <n v="0"/>
    <n v="0"/>
    <n v="0"/>
    <n v="0"/>
    <n v="-270"/>
    <x v="0"/>
    <x v="0"/>
  </r>
  <r>
    <s v="22.1050.CCTA."/>
    <s v="RD and SD (B/G) - Plumbing"/>
    <s v="CCTA"/>
    <s v="Underground"/>
    <s v="LAX People Mover-HVAC"/>
    <x v="1"/>
    <s v="PLUM"/>
    <m/>
    <n v="0"/>
    <n v="0"/>
    <n v="0"/>
    <n v="0"/>
    <m/>
    <n v="156"/>
    <n v="403"/>
    <n v="291"/>
    <n v="-112"/>
    <n v="135"/>
    <m/>
    <n v="14148.8"/>
    <n v="39326.31"/>
    <n v="0"/>
    <n v="27564.400000000001"/>
    <n v="-11761.91"/>
    <n v="13415.6"/>
    <x v="0"/>
    <x v="0"/>
  </r>
  <r>
    <s v="22.1050.ECTA."/>
    <s v="RD and SD (B/G) - Plumbing"/>
    <s v="ECTA"/>
    <s v="Underground"/>
    <s v="LAX People Mover-HVAC"/>
    <x v="1"/>
    <s v="PLUM"/>
    <m/>
    <n v="0"/>
    <n v="0"/>
    <n v="0"/>
    <n v="0"/>
    <m/>
    <n v="126"/>
    <n v="173"/>
    <n v="173"/>
    <n v="0"/>
    <n v="47"/>
    <m/>
    <n v="11340"/>
    <n v="13186.77"/>
    <n v="0"/>
    <n v="13186.77"/>
    <n v="0"/>
    <n v="1846.77"/>
    <x v="0"/>
    <x v="0"/>
  </r>
  <r>
    <s v="22.1050.EITF."/>
    <s v="RD and SD (B/G) - Plumbing"/>
    <s v="EITF"/>
    <s v="Underground"/>
    <s v="LAX People Mover-HVAC"/>
    <x v="1"/>
    <s v="PLUM"/>
    <m/>
    <n v="0"/>
    <n v="0"/>
    <n v="0"/>
    <n v="0"/>
    <m/>
    <n v="105"/>
    <n v="260"/>
    <n v="260"/>
    <n v="0"/>
    <n v="155"/>
    <m/>
    <n v="9450"/>
    <n v="22745.58"/>
    <n v="0"/>
    <n v="22745.58"/>
    <n v="0"/>
    <n v="13295.58"/>
    <x v="0"/>
    <x v="0"/>
  </r>
  <r>
    <s v="22.1050.TPS1."/>
    <s v="RD and SD (B/G) - Plumbing"/>
    <s v="TPS1"/>
    <s v="Underground"/>
    <s v="LAX People Mover-HVAC"/>
    <x v="1"/>
    <s v="PLUM"/>
    <m/>
    <n v="0"/>
    <n v="0"/>
    <n v="0"/>
    <n v="0"/>
    <m/>
    <n v="126"/>
    <n v="88"/>
    <n v="88"/>
    <n v="0"/>
    <n v="-38"/>
    <m/>
    <n v="11041"/>
    <n v="7420.51"/>
    <n v="0"/>
    <n v="7420.51"/>
    <n v="0"/>
    <n v="-3620.49"/>
    <x v="0"/>
    <x v="0"/>
  </r>
  <r>
    <s v="22.1050.TPS3."/>
    <s v="RD and SD (B/G) - Plumbing"/>
    <s v="TPS3"/>
    <s v="Underground"/>
    <s v="LAX People Mover-HVAC"/>
    <x v="1"/>
    <s v="PLUM"/>
    <m/>
    <n v="0"/>
    <n v="0"/>
    <n v="0"/>
    <n v="0"/>
    <m/>
    <n v="71"/>
    <n v="109"/>
    <n v="109"/>
    <n v="0"/>
    <n v="38"/>
    <m/>
    <n v="6498.8"/>
    <n v="8405.2199999999993"/>
    <n v="0"/>
    <n v="8405.2199999999993"/>
    <n v="0"/>
    <n v="1906.42"/>
    <x v="0"/>
    <x v="0"/>
  </r>
  <r>
    <s v="22.1050.WCTA."/>
    <s v="RD and SD (B/G) - Plumbing"/>
    <s v="WCTA"/>
    <s v="Underground"/>
    <s v="LAX People Mover-HVAC"/>
    <x v="1"/>
    <s v="PLUM"/>
    <m/>
    <n v="0"/>
    <n v="0"/>
    <n v="0"/>
    <n v="0"/>
    <m/>
    <n v="626"/>
    <n v="1169"/>
    <n v="1199"/>
    <n v="30"/>
    <n v="573"/>
    <m/>
    <n v="56340"/>
    <n v="103113.47"/>
    <n v="0"/>
    <n v="106385.82"/>
    <n v="3272.35"/>
    <n v="50045.82"/>
    <x v="0"/>
    <x v="0"/>
  </r>
  <r>
    <s v="22.1050.WITF."/>
    <s v="RD and SD (B/G) - Plumbing"/>
    <s v="WITF"/>
    <s v="Underground"/>
    <s v="LAX People Mover-HVAC"/>
    <x v="1"/>
    <s v="PLUM"/>
    <m/>
    <n v="0"/>
    <n v="0"/>
    <n v="0"/>
    <n v="0"/>
    <m/>
    <n v="411"/>
    <n v="570"/>
    <n v="570"/>
    <n v="0"/>
    <n v="159"/>
    <m/>
    <n v="36045"/>
    <n v="45667.18"/>
    <n v="0"/>
    <n v="45667.18"/>
    <n v="0"/>
    <n v="9622.18"/>
    <x v="0"/>
    <x v="0"/>
  </r>
  <r>
    <s v="22.1100.  10."/>
    <s v="RD &amp; SD (A/G)"/>
    <s v="All Other Areas"/>
    <s v="Gravity"/>
    <s v="LAX People Mover-Plumbing"/>
    <x v="1"/>
    <s v="PLUM"/>
    <m/>
    <n v="0"/>
    <n v="0"/>
    <n v="0"/>
    <n v="0"/>
    <m/>
    <n v="0"/>
    <n v="16"/>
    <n v="16"/>
    <n v="0"/>
    <n v="16"/>
    <m/>
    <n v="0"/>
    <n v="974.12"/>
    <n v="0"/>
    <n v="974.12"/>
    <n v="0"/>
    <n v="974.12"/>
    <x v="0"/>
    <x v="0"/>
  </r>
  <r>
    <s v="22.1100. MSF."/>
    <s v="RD and SD (A/G) - Plumbing"/>
    <s v="MSF"/>
    <s v="Gravity"/>
    <s v="LAX People Mover-HVAC"/>
    <x v="1"/>
    <s v="PLUM"/>
    <m/>
    <n v="0"/>
    <n v="0"/>
    <n v="0"/>
    <n v="0"/>
    <m/>
    <n v="1169"/>
    <n v="2052"/>
    <n v="2052"/>
    <n v="0"/>
    <n v="883"/>
    <m/>
    <n v="105142.59"/>
    <n v="153812.95000000001"/>
    <n v="0"/>
    <n v="153812.95000000001"/>
    <n v="0"/>
    <n v="48670.36"/>
    <x v="0"/>
    <x v="0"/>
  </r>
  <r>
    <s v="22.1100. P2A."/>
    <s v="RD and SD (A/G) - Plumbing"/>
    <s v="P2A"/>
    <s v="Gravity"/>
    <s v="LAX People Mover-HVAC"/>
    <x v="1"/>
    <s v="PLUM"/>
    <m/>
    <n v="0"/>
    <n v="0"/>
    <n v="0"/>
    <n v="0"/>
    <m/>
    <n v="31"/>
    <n v="98"/>
    <n v="98"/>
    <n v="0"/>
    <n v="67"/>
    <m/>
    <n v="2790"/>
    <n v="10215.56"/>
    <n v="0"/>
    <n v="10215.56"/>
    <n v="0"/>
    <n v="7425.56"/>
    <x v="0"/>
    <x v="0"/>
  </r>
  <r>
    <s v="22.1100.CCTA."/>
    <s v="RD and SD (A/G) - Plumbing"/>
    <s v="CCTA"/>
    <s v="Gravity"/>
    <s v="LAX People Mover-HVAC"/>
    <x v="1"/>
    <s v="PLUM"/>
    <m/>
    <n v="0"/>
    <n v="0"/>
    <n v="0"/>
    <n v="0"/>
    <m/>
    <n v="1659"/>
    <n v="2507"/>
    <n v="2507"/>
    <n v="0"/>
    <n v="848"/>
    <m/>
    <n v="150076.28"/>
    <n v="214219.29"/>
    <n v="0"/>
    <n v="214219.29"/>
    <n v="0"/>
    <n v="64143.01"/>
    <x v="0"/>
    <x v="0"/>
  </r>
  <r>
    <s v="22.1100.ECTA."/>
    <s v="RD and SD (A/G) - Plumbing"/>
    <s v="ECTA"/>
    <s v="Gravity"/>
    <s v="LAX People Mover-HVAC"/>
    <x v="1"/>
    <s v="PLUM"/>
    <m/>
    <n v="0"/>
    <n v="0"/>
    <n v="0"/>
    <n v="0"/>
    <m/>
    <n v="1118"/>
    <n v="2167"/>
    <n v="2175"/>
    <n v="8"/>
    <n v="1057"/>
    <m/>
    <n v="101272.56"/>
    <n v="183802.4"/>
    <n v="0"/>
    <n v="184642.4"/>
    <n v="840"/>
    <n v="83369.84"/>
    <x v="0"/>
    <x v="0"/>
  </r>
  <r>
    <s v="22.1100.EITF."/>
    <s v="RD and SD (A/G) - Plumbing"/>
    <s v="EITF"/>
    <s v="Gravity"/>
    <s v="LAX People Mover-HVAC"/>
    <x v="1"/>
    <s v="PLUM"/>
    <m/>
    <n v="0"/>
    <n v="0"/>
    <n v="0"/>
    <n v="0"/>
    <m/>
    <n v="871"/>
    <n v="1284"/>
    <n v="1284"/>
    <n v="0"/>
    <n v="413"/>
    <m/>
    <n v="79049.759999999995"/>
    <n v="119336.08"/>
    <n v="0"/>
    <n v="119336.08"/>
    <n v="0"/>
    <n v="40286.32"/>
    <x v="0"/>
    <x v="0"/>
  </r>
  <r>
    <s v="22.1100.TPS1."/>
    <s v="RD and SD (A/G) - Plumbing"/>
    <s v="TPS1"/>
    <s v="Gravity"/>
    <s v="LAX People Mover-HVAC"/>
    <x v="1"/>
    <s v="PLUM"/>
    <m/>
    <n v="0"/>
    <n v="0"/>
    <n v="0"/>
    <n v="0"/>
    <m/>
    <n v="25"/>
    <n v="76"/>
    <n v="76"/>
    <n v="0"/>
    <n v="51"/>
    <m/>
    <n v="2250"/>
    <n v="7184.37"/>
    <n v="0"/>
    <n v="7184.37"/>
    <n v="0"/>
    <n v="4934.37"/>
    <x v="0"/>
    <x v="0"/>
  </r>
  <r>
    <s v="22.1100.TPS3."/>
    <s v="RD and SD (A/G) - Plumbing"/>
    <s v="TPS3"/>
    <s v="Gravity"/>
    <s v="LAX People Mover-HVAC"/>
    <x v="1"/>
    <s v="PLUM"/>
    <m/>
    <n v="0"/>
    <n v="0"/>
    <n v="0"/>
    <n v="0"/>
    <m/>
    <n v="15"/>
    <n v="18"/>
    <n v="18"/>
    <n v="0"/>
    <n v="3"/>
    <m/>
    <n v="1350"/>
    <n v="1484.65"/>
    <n v="0"/>
    <n v="1484.65"/>
    <n v="0"/>
    <n v="134.65"/>
    <x v="0"/>
    <x v="0"/>
  </r>
  <r>
    <s v="22.1100.WCTA."/>
    <s v="RD and SD (A/G) - Plumbing"/>
    <s v="WCTA"/>
    <s v="Gravity"/>
    <s v="LAX People Mover-HVAC"/>
    <x v="1"/>
    <s v="PLUM"/>
    <m/>
    <n v="0"/>
    <n v="0"/>
    <n v="0"/>
    <n v="0"/>
    <m/>
    <n v="2746"/>
    <n v="4926.5"/>
    <n v="5046.5"/>
    <n v="120"/>
    <n v="2300.5"/>
    <m/>
    <n v="246980.88"/>
    <n v="441271.11"/>
    <n v="0"/>
    <n v="453871.11"/>
    <n v="12600"/>
    <n v="206890.23"/>
    <x v="0"/>
    <x v="0"/>
  </r>
  <r>
    <s v="22.1100.WITF."/>
    <s v="RD and SD (A/G) - Plumbing"/>
    <s v="WITF"/>
    <s v="Gravity"/>
    <s v="LAX People Mover-HVAC"/>
    <x v="1"/>
    <s v="PLUM"/>
    <m/>
    <n v="0"/>
    <n v="0"/>
    <n v="0"/>
    <n v="0"/>
    <m/>
    <n v="864"/>
    <n v="1210"/>
    <n v="1210"/>
    <n v="0"/>
    <n v="346"/>
    <m/>
    <n v="77760"/>
    <n v="94773.61"/>
    <n v="0"/>
    <n v="94773.61"/>
    <n v="0"/>
    <n v="17013.61"/>
    <x v="0"/>
    <x v="0"/>
  </r>
  <r>
    <s v="22.1250. MSF."/>
    <s v="Natural Gas (B/G) - Plumbing"/>
    <s v="MSF"/>
    <s v="Gas"/>
    <s v="LAX People Mover-HVAC"/>
    <x v="1"/>
    <s v="PLUM"/>
    <m/>
    <n v="0"/>
    <n v="0"/>
    <n v="0"/>
    <n v="0"/>
    <m/>
    <n v="30"/>
    <n v="44"/>
    <n v="44"/>
    <n v="0"/>
    <n v="14"/>
    <m/>
    <n v="2700"/>
    <n v="4283.99"/>
    <n v="0"/>
    <n v="4283.99"/>
    <n v="0"/>
    <n v="1583.99"/>
    <x v="0"/>
    <x v="0"/>
  </r>
  <r>
    <s v="22.1300.  10."/>
    <s v="Gas"/>
    <s v="All Other Areas"/>
    <s v="Gas"/>
    <s v="LAX People Mover-Plumbing"/>
    <x v="1"/>
    <s v="PLUM"/>
    <m/>
    <n v="0"/>
    <n v="0"/>
    <n v="0"/>
    <n v="0"/>
    <m/>
    <n v="0"/>
    <n v="40"/>
    <n v="40"/>
    <n v="0"/>
    <n v="40"/>
    <m/>
    <n v="0"/>
    <n v="3997.31"/>
    <n v="0"/>
    <n v="3997.31"/>
    <n v="0"/>
    <n v="3997.31"/>
    <x v="0"/>
    <x v="0"/>
  </r>
  <r>
    <s v="22.1300. MSF."/>
    <s v="Natural Gas (A/G) - Plumbing"/>
    <s v="MSF"/>
    <s v="Gas"/>
    <s v="LAX People Mover-HVAC"/>
    <x v="1"/>
    <s v="PLUM"/>
    <m/>
    <n v="0"/>
    <n v="0"/>
    <n v="0"/>
    <n v="0"/>
    <m/>
    <n v="324"/>
    <n v="743"/>
    <n v="743"/>
    <n v="0"/>
    <n v="419"/>
    <m/>
    <n v="29160"/>
    <n v="56418.720000000001"/>
    <n v="0"/>
    <n v="56418.720000000001"/>
    <n v="0"/>
    <n v="27258.720000000001"/>
    <x v="0"/>
    <x v="0"/>
  </r>
  <r>
    <s v="22.1300.WCTA."/>
    <s v="Natural Gas - Plumbing"/>
    <s v="WCTA"/>
    <s v="Gas"/>
    <s v="LAX People Mover-HVAC"/>
    <x v="1"/>
    <s v="PLUM"/>
    <m/>
    <n v="0"/>
    <n v="0"/>
    <n v="0"/>
    <n v="0"/>
    <m/>
    <n v="110"/>
    <n v="114"/>
    <n v="154"/>
    <n v="40"/>
    <n v="44"/>
    <m/>
    <n v="9990"/>
    <n v="10509.19"/>
    <n v="0"/>
    <n v="14509.19"/>
    <n v="4000"/>
    <n v="4519.1899999999996"/>
    <x v="0"/>
    <x v="0"/>
  </r>
  <r>
    <s v="22.1700. MSF."/>
    <s v="Industrial Water - Plumbing"/>
    <s v="MSF"/>
    <s v="Hot &amp; Cold Water"/>
    <s v="LAX People Mover-HVAC"/>
    <x v="1"/>
    <s v="PLUM"/>
    <m/>
    <n v="0"/>
    <n v="0"/>
    <n v="0"/>
    <n v="0"/>
    <m/>
    <n v="22"/>
    <n v="32"/>
    <n v="32"/>
    <n v="0"/>
    <n v="10"/>
    <m/>
    <n v="1980"/>
    <n v="2792"/>
    <n v="0"/>
    <n v="2792"/>
    <n v="0"/>
    <n v="812"/>
    <x v="0"/>
    <x v="0"/>
  </r>
  <r>
    <s v="22.1800.  10."/>
    <s v="Condensate Drains"/>
    <s v="All Other Areas"/>
    <s v="Condensate"/>
    <s v="LAX People Mover-Plumbing"/>
    <x v="1"/>
    <s v="PLUM"/>
    <m/>
    <n v="0"/>
    <n v="0"/>
    <n v="0"/>
    <n v="0"/>
    <m/>
    <n v="0"/>
    <n v="15"/>
    <n v="15"/>
    <n v="0"/>
    <n v="15"/>
    <m/>
    <n v="0"/>
    <n v="1550.94"/>
    <n v="0"/>
    <n v="1550.94"/>
    <n v="0"/>
    <n v="1550.94"/>
    <x v="0"/>
    <x v="0"/>
  </r>
  <r>
    <s v="22.1800. MSF."/>
    <s v="Condensate - Plumbing"/>
    <s v="MSF"/>
    <s v="Condensate"/>
    <s v="LAX People Mover-HVAC"/>
    <x v="1"/>
    <s v="PLUM"/>
    <m/>
    <n v="0"/>
    <n v="0"/>
    <n v="0"/>
    <n v="0"/>
    <m/>
    <n v="290"/>
    <n v="536"/>
    <n v="536"/>
    <n v="0"/>
    <n v="246"/>
    <m/>
    <n v="26106.9"/>
    <n v="41932.19"/>
    <n v="0"/>
    <n v="41932.19"/>
    <n v="0"/>
    <n v="15825.29"/>
    <x v="0"/>
    <x v="0"/>
  </r>
  <r>
    <s v="22.1800.CCTA."/>
    <s v="Condensate - Plumbing"/>
    <s v="CCTA"/>
    <s v="Condensate"/>
    <s v="LAX People Mover-HVAC"/>
    <x v="1"/>
    <s v="PLUM"/>
    <m/>
    <n v="0"/>
    <n v="0"/>
    <n v="0"/>
    <n v="0"/>
    <m/>
    <n v="172"/>
    <n v="230"/>
    <n v="302"/>
    <n v="72"/>
    <n v="130"/>
    <m/>
    <n v="15480"/>
    <n v="21097.31"/>
    <n v="0"/>
    <n v="28657.31"/>
    <n v="7560"/>
    <n v="13177.31"/>
    <x v="0"/>
    <x v="0"/>
  </r>
  <r>
    <s v="22.1800.CRAC."/>
    <s v="Condensate/Indirect Waste - Plumbing"/>
    <s v="CRAC"/>
    <s v="Condensate"/>
    <s v="LAX People Mover-Plumbing"/>
    <x v="1"/>
    <s v="PLUM"/>
    <m/>
    <n v="0"/>
    <n v="0"/>
    <n v="0"/>
    <n v="0"/>
    <m/>
    <n v="0"/>
    <n v="76"/>
    <n v="76"/>
    <n v="0"/>
    <n v="76"/>
    <m/>
    <n v="0"/>
    <n v="7151.78"/>
    <n v="0"/>
    <n v="7151.78"/>
    <n v="0"/>
    <n v="7151.78"/>
    <x v="0"/>
    <x v="0"/>
  </r>
  <r>
    <s v="22.1800.ECTA."/>
    <s v="Condensate - Plumbing"/>
    <s v="ECTA"/>
    <s v="Condensate"/>
    <s v="LAX People Mover-HVAC"/>
    <x v="1"/>
    <s v="PLUM"/>
    <m/>
    <n v="0"/>
    <n v="0"/>
    <n v="0"/>
    <n v="0"/>
    <m/>
    <n v="132"/>
    <n v="366"/>
    <n v="414"/>
    <n v="48"/>
    <n v="282"/>
    <m/>
    <n v="11880"/>
    <n v="28122.29"/>
    <n v="0"/>
    <n v="33162.29"/>
    <n v="5040"/>
    <n v="21282.29"/>
    <x v="0"/>
    <x v="0"/>
  </r>
  <r>
    <s v="22.1800.EITF."/>
    <s v="Condensate - Plumbing"/>
    <s v="EITF"/>
    <s v="Condensate"/>
    <s v="LAX People Mover-HVAC"/>
    <x v="1"/>
    <s v="PLUM"/>
    <m/>
    <n v="0"/>
    <n v="0"/>
    <n v="0"/>
    <n v="0"/>
    <m/>
    <n v="129"/>
    <n v="357"/>
    <n v="357"/>
    <n v="0"/>
    <n v="228"/>
    <m/>
    <n v="11610"/>
    <n v="32703.58"/>
    <n v="0"/>
    <n v="32703.58"/>
    <n v="0"/>
    <n v="21093.58"/>
    <x v="0"/>
    <x v="0"/>
  </r>
  <r>
    <s v="22.1800.TPS1."/>
    <s v="Condensate - Plumbing"/>
    <s v="TPS1"/>
    <s v="Condensate"/>
    <s v="LAX People Mover-HVAC"/>
    <x v="1"/>
    <s v="PLUM"/>
    <m/>
    <n v="0"/>
    <n v="0"/>
    <n v="0"/>
    <n v="0"/>
    <m/>
    <n v="14"/>
    <n v="8"/>
    <n v="8"/>
    <n v="0"/>
    <n v="-6"/>
    <m/>
    <n v="1260"/>
    <n v="749.09"/>
    <n v="0"/>
    <n v="749.09"/>
    <n v="0"/>
    <n v="-510.91"/>
    <x v="0"/>
    <x v="0"/>
  </r>
  <r>
    <s v="22.1800.WCTA."/>
    <s v="Condensate/Indirect Waste - Plumbing"/>
    <s v="WCTA"/>
    <s v="Condensate"/>
    <s v="LAX People Mover-HVAC"/>
    <x v="1"/>
    <s v="PLUM"/>
    <m/>
    <n v="0"/>
    <n v="0"/>
    <n v="0"/>
    <n v="0"/>
    <m/>
    <n v="563"/>
    <n v="777"/>
    <n v="777"/>
    <n v="0"/>
    <n v="214"/>
    <m/>
    <n v="50670"/>
    <n v="69800.509999999995"/>
    <n v="0"/>
    <n v="69800.509999999995"/>
    <n v="0"/>
    <n v="19130.509999999998"/>
    <x v="0"/>
    <x v="0"/>
  </r>
  <r>
    <s v="22.1800.WITF."/>
    <s v="Condensate/Indirect Waste - Plumbing"/>
    <s v="WITF"/>
    <s v="Condensate"/>
    <s v="LAX People Mover-HVAC"/>
    <x v="1"/>
    <s v="PLUM"/>
    <m/>
    <n v="0"/>
    <n v="0"/>
    <n v="0"/>
    <n v="0"/>
    <m/>
    <n v="142"/>
    <n v="287"/>
    <n v="287"/>
    <n v="0"/>
    <n v="145"/>
    <m/>
    <n v="12780"/>
    <n v="24502.67"/>
    <n v="0"/>
    <n v="24502.67"/>
    <n v="0"/>
    <n v="11722.67"/>
    <x v="0"/>
    <x v="0"/>
  </r>
  <r>
    <s v="22.1950. MSF."/>
    <s v="Compressed Air (B/G) - Plumbing"/>
    <s v="MSF"/>
    <s v="Plumbing Pressure"/>
    <s v="LAX People Mover-HVAC"/>
    <x v="1"/>
    <s v="PLUM"/>
    <m/>
    <n v="0"/>
    <n v="0"/>
    <n v="0"/>
    <n v="0"/>
    <m/>
    <n v="37"/>
    <n v="58"/>
    <n v="58"/>
    <n v="0"/>
    <n v="21"/>
    <m/>
    <n v="3330"/>
    <n v="4961.47"/>
    <n v="0"/>
    <n v="4961.47"/>
    <n v="0"/>
    <n v="1631.47"/>
    <x v="0"/>
    <x v="0"/>
  </r>
  <r>
    <s v="22.2000.   5."/>
    <s v="Compressed Air (UG)"/>
    <s v="UG"/>
    <s v="Plumbing Pressure"/>
    <s v="LAX People Mover-Plumbing"/>
    <x v="1"/>
    <s v="PLUM"/>
    <m/>
    <n v="0"/>
    <n v="0"/>
    <n v="0"/>
    <n v="0"/>
    <m/>
    <n v="0"/>
    <n v="190"/>
    <n v="190"/>
    <n v="0"/>
    <n v="190"/>
    <m/>
    <n v="0"/>
    <n v="15455.08"/>
    <n v="0"/>
    <n v="15455.08"/>
    <n v="0"/>
    <n v="15455.08"/>
    <x v="0"/>
    <x v="0"/>
  </r>
  <r>
    <s v="22.2000.  10."/>
    <s v="Compressed Air"/>
    <s v="All Other Areas"/>
    <s v="Plumbing Pressure"/>
    <s v="LAX People Mover-Plumbing"/>
    <x v="1"/>
    <s v="PLUM"/>
    <m/>
    <n v="0"/>
    <n v="0"/>
    <n v="0"/>
    <n v="0"/>
    <m/>
    <n v="0"/>
    <n v="0"/>
    <n v="0"/>
    <n v="0"/>
    <n v="0"/>
    <m/>
    <n v="0"/>
    <n v="0"/>
    <n v="0"/>
    <n v="0"/>
    <n v="0"/>
    <n v="0"/>
    <x v="0"/>
    <x v="0"/>
  </r>
  <r>
    <s v="22.2000. MSF."/>
    <s v="Compressed Air (A/G) - Plumbing"/>
    <s v="MSF"/>
    <s v="Plumbing Pressure"/>
    <s v="LAX People Mover-HVAC"/>
    <x v="1"/>
    <s v="PLUM"/>
    <m/>
    <n v="0"/>
    <n v="0"/>
    <n v="0"/>
    <n v="0"/>
    <m/>
    <n v="619"/>
    <n v="867"/>
    <n v="867"/>
    <n v="0"/>
    <n v="248"/>
    <m/>
    <n v="55710"/>
    <n v="63463.46"/>
    <n v="0"/>
    <n v="63463.46"/>
    <n v="0"/>
    <n v="7753.46"/>
    <x v="0"/>
    <x v="0"/>
  </r>
  <r>
    <s v="22.2200.  10."/>
    <s v="Hangers"/>
    <s v="All Other Areas"/>
    <s v="Hangers"/>
    <s v="LAX People Mover-Plumbing"/>
    <x v="1"/>
    <s v="PLUM"/>
    <m/>
    <n v="0"/>
    <n v="0"/>
    <n v="0"/>
    <n v="0"/>
    <m/>
    <n v="0"/>
    <n v="0"/>
    <n v="0"/>
    <n v="0"/>
    <n v="0"/>
    <m/>
    <n v="0"/>
    <n v="0"/>
    <n v="0"/>
    <n v="0"/>
    <n v="0"/>
    <n v="0"/>
    <x v="0"/>
    <x v="0"/>
  </r>
  <r>
    <s v="22.2200. MSF."/>
    <s v="Hangers and Supports - Plumbing"/>
    <s v="MSF"/>
    <s v="Hangers"/>
    <s v="LAX People Mover-HVAC"/>
    <x v="1"/>
    <s v="PLUM"/>
    <m/>
    <n v="0"/>
    <n v="0"/>
    <n v="0"/>
    <n v="0"/>
    <m/>
    <n v="600"/>
    <n v="1828"/>
    <n v="1828"/>
    <n v="0"/>
    <n v="1228"/>
    <m/>
    <n v="54000"/>
    <n v="129933.16"/>
    <n v="0"/>
    <n v="129933.16"/>
    <n v="0"/>
    <n v="75933.16"/>
    <x v="0"/>
    <x v="0"/>
  </r>
  <r>
    <s v="22.2200. P2A."/>
    <s v="Hangers and Supports - Plumbing"/>
    <s v="P2A"/>
    <s v="Hangers"/>
    <s v="LAX People Mover-HVAC"/>
    <x v="1"/>
    <s v="PLUM"/>
    <m/>
    <n v="0"/>
    <n v="0"/>
    <n v="0"/>
    <n v="0"/>
    <m/>
    <n v="6"/>
    <n v="0"/>
    <n v="0"/>
    <n v="0"/>
    <n v="-6"/>
    <m/>
    <n v="540"/>
    <n v="0"/>
    <n v="0"/>
    <n v="0"/>
    <n v="0"/>
    <n v="-540"/>
    <x v="0"/>
    <x v="0"/>
  </r>
  <r>
    <s v="22.2200.CCTA."/>
    <s v="Hangers and Supports - Plumbing"/>
    <s v="CCTA"/>
    <s v="Hangers"/>
    <s v="LAX People Mover-HVAC"/>
    <x v="1"/>
    <s v="PLUM"/>
    <m/>
    <n v="0"/>
    <n v="0"/>
    <n v="0"/>
    <n v="0"/>
    <m/>
    <n v="793"/>
    <n v="1577"/>
    <n v="1577"/>
    <n v="0"/>
    <n v="784"/>
    <m/>
    <n v="71370"/>
    <n v="116397.61"/>
    <n v="0"/>
    <n v="116397.61"/>
    <n v="0"/>
    <n v="45027.61"/>
    <x v="0"/>
    <x v="0"/>
  </r>
  <r>
    <s v="22.2200.CCTA."/>
    <s v="Hangers and Supports - Plumbing"/>
    <s v="CCTA"/>
    <s v="Hangers"/>
    <s v="LAX People Mover-HVAC"/>
    <x v="0"/>
    <s v="PLUM"/>
    <m/>
    <n v="0"/>
    <n v="0"/>
    <n v="0"/>
    <n v="0"/>
    <m/>
    <n v="10"/>
    <n v="0"/>
    <n v="0"/>
    <n v="0"/>
    <n v="-10"/>
    <m/>
    <n v="900"/>
    <n v="0"/>
    <n v="0"/>
    <n v="0"/>
    <n v="0"/>
    <n v="-900"/>
    <x v="0"/>
    <x v="0"/>
  </r>
  <r>
    <s v="22.2200.CRAC."/>
    <s v="Hangers and Supports - Plumbing"/>
    <s v="CRAC"/>
    <s v="Hangers"/>
    <s v="LAX People Mover-Plumbing"/>
    <x v="1"/>
    <s v="PLUM"/>
    <m/>
    <n v="0"/>
    <n v="0"/>
    <n v="0"/>
    <n v="0"/>
    <m/>
    <n v="0"/>
    <n v="20"/>
    <n v="20"/>
    <n v="0"/>
    <n v="20"/>
    <m/>
    <n v="0"/>
    <n v="2011.78"/>
    <n v="0"/>
    <n v="2011.78"/>
    <n v="0"/>
    <n v="2011.78"/>
    <x v="0"/>
    <x v="0"/>
  </r>
  <r>
    <s v="22.2200.ECTA."/>
    <s v="Hangers and Supports - Plumbing"/>
    <s v="ECTA"/>
    <s v="Hangers"/>
    <s v="LAX People Mover-HVAC"/>
    <x v="1"/>
    <s v="PLUM"/>
    <m/>
    <n v="0"/>
    <n v="0"/>
    <n v="0"/>
    <n v="0"/>
    <m/>
    <n v="236"/>
    <n v="1865"/>
    <n v="1865"/>
    <n v="0"/>
    <n v="1629"/>
    <m/>
    <n v="21240"/>
    <n v="131115.75"/>
    <n v="0"/>
    <n v="131115.75"/>
    <n v="0"/>
    <n v="109875.75"/>
    <x v="0"/>
    <x v="0"/>
  </r>
  <r>
    <s v="22.2200.EITF."/>
    <s v="Hangers and Supports - Plumbing"/>
    <s v="EITF"/>
    <s v="Hangers"/>
    <s v="LAX People Mover-HVAC"/>
    <x v="1"/>
    <s v="PLUM"/>
    <m/>
    <n v="0"/>
    <n v="0"/>
    <n v="0"/>
    <n v="0"/>
    <m/>
    <n v="630"/>
    <n v="1557"/>
    <n v="1557"/>
    <n v="0"/>
    <n v="927"/>
    <m/>
    <n v="56700"/>
    <n v="125466.95"/>
    <n v="0"/>
    <n v="125466.95"/>
    <n v="0"/>
    <n v="68766.95"/>
    <x v="0"/>
    <x v="0"/>
  </r>
  <r>
    <s v="22.2200.TPS1."/>
    <s v="Hangers and Supports - Plumbing"/>
    <s v="TPS1"/>
    <s v="Hangers"/>
    <s v="LAX People Mover-HVAC"/>
    <x v="1"/>
    <s v="PLUM"/>
    <m/>
    <n v="0"/>
    <n v="0"/>
    <n v="0"/>
    <n v="0"/>
    <m/>
    <n v="9"/>
    <n v="16"/>
    <n v="16"/>
    <n v="0"/>
    <n v="7"/>
    <m/>
    <n v="810"/>
    <n v="1504.2"/>
    <n v="0"/>
    <n v="1504.2"/>
    <n v="0"/>
    <n v="694.2"/>
    <x v="0"/>
    <x v="0"/>
  </r>
  <r>
    <s v="22.2200.TPS3."/>
    <s v="Hangers and Supports - Plumbing"/>
    <s v="TPS3"/>
    <s v="Hangers"/>
    <s v="LAX People Mover-HVAC"/>
    <x v="1"/>
    <s v="PLUM"/>
    <m/>
    <n v="0"/>
    <n v="0"/>
    <n v="0"/>
    <n v="0"/>
    <m/>
    <n v="8"/>
    <n v="10"/>
    <n v="10"/>
    <n v="0"/>
    <n v="2"/>
    <m/>
    <n v="720"/>
    <n v="940.15"/>
    <n v="0"/>
    <n v="940.15"/>
    <n v="0"/>
    <n v="220.15"/>
    <x v="0"/>
    <x v="0"/>
  </r>
  <r>
    <s v="22.2200.WCTA."/>
    <s v="Hangers and Supports - Plumbing"/>
    <s v="WCTA"/>
    <s v="Hangers"/>
    <s v="LAX People Mover-HVAC"/>
    <x v="1"/>
    <s v="PLUM"/>
    <m/>
    <n v="0"/>
    <n v="0"/>
    <n v="0"/>
    <n v="0"/>
    <m/>
    <n v="142"/>
    <n v="2568"/>
    <n v="2568"/>
    <n v="0"/>
    <n v="2426"/>
    <m/>
    <n v="12780"/>
    <n v="215178.6"/>
    <n v="0"/>
    <n v="215178.6"/>
    <n v="0"/>
    <n v="202398.6"/>
    <x v="0"/>
    <x v="0"/>
  </r>
  <r>
    <s v="22.2200.WITF."/>
    <s v="Hangers and Supports - Plumbing"/>
    <s v="WITF"/>
    <s v="Hangers"/>
    <s v="LAX People Mover-HVAC"/>
    <x v="1"/>
    <s v="PLUM"/>
    <m/>
    <n v="0"/>
    <n v="0"/>
    <n v="0"/>
    <n v="0"/>
    <m/>
    <n v="1228"/>
    <n v="1466"/>
    <n v="1466"/>
    <n v="0"/>
    <n v="238"/>
    <m/>
    <n v="110520"/>
    <n v="105060.2"/>
    <n v="0"/>
    <n v="105060.2"/>
    <n v="0"/>
    <n v="-5459.8"/>
    <x v="0"/>
    <x v="0"/>
  </r>
  <r>
    <s v="22.2300.   5."/>
    <s v="Sleeve, Insert, Layout (UG)"/>
    <s v="UG"/>
    <s v="Sleeve, Insert, Layout"/>
    <s v="LAX People Mover-Plumbing"/>
    <x v="1"/>
    <s v="PLUM"/>
    <m/>
    <n v="0"/>
    <n v="0"/>
    <n v="0"/>
    <n v="0"/>
    <m/>
    <n v="0"/>
    <n v="0"/>
    <n v="0"/>
    <n v="0"/>
    <n v="0"/>
    <m/>
    <n v="0"/>
    <n v="0"/>
    <n v="0"/>
    <n v="0"/>
    <n v="0"/>
    <n v="0"/>
    <x v="0"/>
    <x v="0"/>
  </r>
  <r>
    <s v="22.2300.  10."/>
    <s v="Sleeve, Insert, Layout"/>
    <s v="All Other Areas"/>
    <s v="Sleeve, Insert, Layout"/>
    <s v="LAX People Mover-Plumbing"/>
    <x v="1"/>
    <s v="PLUM"/>
    <m/>
    <n v="0"/>
    <n v="0"/>
    <n v="0"/>
    <n v="0"/>
    <m/>
    <n v="0"/>
    <n v="0"/>
    <n v="0"/>
    <n v="0"/>
    <n v="0"/>
    <m/>
    <n v="0"/>
    <n v="0"/>
    <n v="0"/>
    <n v="0"/>
    <n v="0"/>
    <n v="0"/>
    <x v="0"/>
    <x v="0"/>
  </r>
  <r>
    <s v="22.2300. MSF."/>
    <s v="Sleeve, Inserts, and Layout - Plumbing"/>
    <s v="MSF"/>
    <s v="Sleeve, Insert, Layout"/>
    <s v="LAX People Mover-HVAC"/>
    <x v="1"/>
    <s v="PLUM"/>
    <m/>
    <n v="0"/>
    <n v="0"/>
    <n v="0"/>
    <n v="0"/>
    <m/>
    <n v="223"/>
    <n v="442.5"/>
    <n v="442.5"/>
    <n v="0"/>
    <n v="219.5"/>
    <m/>
    <n v="20070"/>
    <n v="35398.81"/>
    <n v="0"/>
    <n v="35398.81"/>
    <n v="0"/>
    <n v="15328.81"/>
    <x v="0"/>
    <x v="0"/>
  </r>
  <r>
    <s v="22.2300.CCTA."/>
    <s v="Sleeve, Inserts, and Layout - Plumbing"/>
    <s v="CCTA"/>
    <s v="Sleeve, Insert, Layout"/>
    <s v="LAX People Mover-HVAC"/>
    <x v="1"/>
    <s v="PLUM"/>
    <m/>
    <n v="0"/>
    <n v="0"/>
    <n v="0"/>
    <n v="0"/>
    <m/>
    <n v="243"/>
    <n v="774"/>
    <n v="774"/>
    <n v="0"/>
    <n v="531"/>
    <m/>
    <n v="21720"/>
    <n v="66633.38"/>
    <n v="0"/>
    <n v="66633.38"/>
    <n v="0"/>
    <n v="44913.38"/>
    <x v="0"/>
    <x v="0"/>
  </r>
  <r>
    <s v="22.2300.ECTA."/>
    <s v="Sleeve, Inserts, and Layout - Plumbing"/>
    <s v="ECTA"/>
    <s v="Sleeve, Insert, Layout"/>
    <s v="LAX People Mover-HVAC"/>
    <x v="1"/>
    <s v="PLUM"/>
    <m/>
    <n v="0"/>
    <n v="0"/>
    <n v="0"/>
    <n v="0"/>
    <m/>
    <n v="149"/>
    <n v="379"/>
    <n v="379"/>
    <n v="0"/>
    <n v="230"/>
    <m/>
    <n v="13377.5"/>
    <n v="34418.26"/>
    <n v="0"/>
    <n v="34418.26"/>
    <n v="0"/>
    <n v="21040.76"/>
    <x v="0"/>
    <x v="0"/>
  </r>
  <r>
    <s v="22.2300.EITF."/>
    <s v="Sleeve, Inserts, and Layout - Plumbing"/>
    <s v="EITF"/>
    <s v="Sleeve, Insert, Layout"/>
    <s v="LAX People Mover-HVAC"/>
    <x v="1"/>
    <s v="PLUM"/>
    <m/>
    <n v="0"/>
    <n v="0"/>
    <n v="0"/>
    <n v="0"/>
    <m/>
    <n v="109"/>
    <n v="637"/>
    <n v="637"/>
    <n v="0"/>
    <n v="528"/>
    <m/>
    <n v="9751.5"/>
    <n v="57975.01"/>
    <n v="0"/>
    <n v="57975.01"/>
    <n v="0"/>
    <n v="48223.51"/>
    <x v="0"/>
    <x v="0"/>
  </r>
  <r>
    <s v="22.2300.TPS1."/>
    <s v="Sleeve, Inserts, and Layout - Plumbing"/>
    <s v="TPS1"/>
    <s v="Sleeve, Insert, Layout"/>
    <s v="LAX People Mover-HVAC"/>
    <x v="1"/>
    <s v="PLUM"/>
    <m/>
    <n v="0"/>
    <n v="0"/>
    <n v="0"/>
    <n v="0"/>
    <m/>
    <n v="11"/>
    <n v="40"/>
    <n v="40"/>
    <n v="0"/>
    <n v="29"/>
    <m/>
    <n v="990"/>
    <n v="3401.11"/>
    <n v="0"/>
    <n v="3401.11"/>
    <n v="0"/>
    <n v="2411.11"/>
    <x v="0"/>
    <x v="0"/>
  </r>
  <r>
    <s v="22.2300.TPS3."/>
    <s v="Sleeve, Inserts, and Layout - Plumbing"/>
    <s v="TPS3"/>
    <s v="Sleeve, Insert, Layout"/>
    <s v="LAX People Mover-HVAC"/>
    <x v="1"/>
    <s v="PLUM"/>
    <m/>
    <n v="0"/>
    <n v="0"/>
    <n v="0"/>
    <n v="0"/>
    <m/>
    <n v="16"/>
    <n v="99"/>
    <n v="99"/>
    <n v="0"/>
    <n v="83"/>
    <m/>
    <n v="1440"/>
    <n v="7847.84"/>
    <n v="0"/>
    <n v="7847.84"/>
    <n v="0"/>
    <n v="6407.84"/>
    <x v="0"/>
    <x v="0"/>
  </r>
  <r>
    <s v="22.2300.WCTA."/>
    <s v="Sleeves, Inserts, and Layout - Plumbing"/>
    <s v="WCTA"/>
    <s v="Sleeve, Insert, Layout"/>
    <s v="LAX People Mover-HVAC"/>
    <x v="1"/>
    <s v="PLUM"/>
    <m/>
    <n v="0"/>
    <n v="0"/>
    <n v="0"/>
    <n v="0"/>
    <m/>
    <n v="307"/>
    <n v="2371"/>
    <n v="2371"/>
    <n v="0"/>
    <n v="2064"/>
    <m/>
    <n v="27630"/>
    <n v="206123.11"/>
    <n v="0"/>
    <n v="206123.11"/>
    <n v="0"/>
    <n v="178493.11"/>
    <x v="0"/>
    <x v="0"/>
  </r>
  <r>
    <s v="22.2300.WITF."/>
    <s v="Sleeves, Inserts, and Layout - Plumbing"/>
    <s v="WITF"/>
    <s v="Sleeve, Insert, Layout"/>
    <s v="LAX People Mover-HVAC"/>
    <x v="1"/>
    <s v="PLUM"/>
    <m/>
    <n v="0"/>
    <n v="0"/>
    <n v="0"/>
    <n v="0"/>
    <m/>
    <n v="139"/>
    <n v="477"/>
    <n v="477"/>
    <n v="0"/>
    <n v="338"/>
    <m/>
    <n v="12510"/>
    <n v="42345.97"/>
    <n v="0"/>
    <n v="42345.97"/>
    <n v="0"/>
    <n v="29835.97"/>
    <x v="0"/>
    <x v="0"/>
  </r>
  <r>
    <s v="22.2400. MSF."/>
    <s v="Seismic Bracing"/>
    <s v="MSF"/>
    <s v="Seismic"/>
    <s v="LAX People Mover-HVAC"/>
    <x v="1"/>
    <s v="PLUM"/>
    <m/>
    <n v="0"/>
    <n v="0"/>
    <n v="0"/>
    <n v="0"/>
    <m/>
    <n v="407"/>
    <n v="452"/>
    <n v="452"/>
    <n v="0"/>
    <n v="45"/>
    <m/>
    <n v="36630"/>
    <n v="28915.18"/>
    <n v="0"/>
    <n v="28915.18"/>
    <n v="0"/>
    <n v="-7714.82"/>
    <x v="0"/>
    <x v="0"/>
  </r>
  <r>
    <s v="22.2400. P2A."/>
    <s v="Seismic Bracing"/>
    <s v="P2A"/>
    <s v="Seismic"/>
    <s v="LAX People Mover-HVAC"/>
    <x v="1"/>
    <s v="PLUM"/>
    <m/>
    <n v="0"/>
    <n v="0"/>
    <n v="0"/>
    <n v="0"/>
    <m/>
    <n v="5"/>
    <n v="0"/>
    <n v="0"/>
    <n v="0"/>
    <n v="-5"/>
    <m/>
    <n v="450"/>
    <n v="0"/>
    <n v="0"/>
    <n v="0"/>
    <n v="0"/>
    <n v="-450"/>
    <x v="0"/>
    <x v="0"/>
  </r>
  <r>
    <s v="22.2400.CCTA."/>
    <s v="Seismic Bracing"/>
    <s v="CCTA"/>
    <s v="Seismic"/>
    <s v="LAX People Mover-HVAC"/>
    <x v="1"/>
    <s v="PLUM"/>
    <m/>
    <n v="0"/>
    <n v="0"/>
    <n v="0"/>
    <n v="0"/>
    <m/>
    <n v="280"/>
    <n v="576"/>
    <n v="576"/>
    <n v="0"/>
    <n v="296"/>
    <m/>
    <n v="25200"/>
    <n v="41520.18"/>
    <n v="0"/>
    <n v="41520.18"/>
    <n v="0"/>
    <n v="16320.18"/>
    <x v="0"/>
    <x v="0"/>
  </r>
  <r>
    <s v="22.2400.ECTA."/>
    <s v="Seismic Bracing"/>
    <s v="ECTA"/>
    <s v="Seismic"/>
    <s v="LAX People Mover-HVAC"/>
    <x v="1"/>
    <s v="PLUM"/>
    <m/>
    <n v="0"/>
    <n v="0"/>
    <n v="0"/>
    <n v="0"/>
    <m/>
    <n v="177"/>
    <n v="800"/>
    <n v="800"/>
    <n v="0"/>
    <n v="623"/>
    <m/>
    <n v="15930"/>
    <n v="54408.76"/>
    <n v="0"/>
    <n v="54408.76"/>
    <n v="0"/>
    <n v="38478.76"/>
    <x v="0"/>
    <x v="0"/>
  </r>
  <r>
    <s v="22.2400.EITF."/>
    <s v="Seismic Bracing"/>
    <s v="EITF"/>
    <s v="Seismic"/>
    <s v="LAX People Mover-HVAC"/>
    <x v="1"/>
    <s v="PLUM"/>
    <m/>
    <n v="0"/>
    <n v="0"/>
    <n v="0"/>
    <n v="0"/>
    <m/>
    <n v="174"/>
    <n v="320"/>
    <n v="320"/>
    <n v="0"/>
    <n v="146"/>
    <m/>
    <n v="15660"/>
    <n v="25036.2"/>
    <n v="0"/>
    <n v="25036.2"/>
    <n v="0"/>
    <n v="9376.2000000000007"/>
    <x v="0"/>
    <x v="0"/>
  </r>
  <r>
    <s v="22.2400.TPS1."/>
    <s v="Seismic Bracing"/>
    <s v="TPS1"/>
    <s v="Seismic"/>
    <s v="LAX People Mover-HVAC"/>
    <x v="1"/>
    <s v="PLUM"/>
    <m/>
    <n v="0"/>
    <n v="0"/>
    <n v="0"/>
    <n v="0"/>
    <m/>
    <n v="24"/>
    <n v="14"/>
    <n v="14"/>
    <n v="0"/>
    <n v="-10"/>
    <m/>
    <n v="2160"/>
    <n v="1374.51"/>
    <n v="0"/>
    <n v="1374.51"/>
    <n v="0"/>
    <n v="-785.49"/>
    <x v="0"/>
    <x v="0"/>
  </r>
  <r>
    <s v="22.2400.TPS3."/>
    <s v="Seismic Bracing"/>
    <s v="TPS3"/>
    <s v="Seismic"/>
    <s v="LAX People Mover-HVAC"/>
    <x v="1"/>
    <s v="PLUM"/>
    <m/>
    <n v="0"/>
    <n v="0"/>
    <n v="0"/>
    <n v="0"/>
    <m/>
    <n v="14"/>
    <n v="10"/>
    <n v="10"/>
    <n v="0"/>
    <n v="-4"/>
    <m/>
    <n v="1260"/>
    <n v="940.16"/>
    <n v="0"/>
    <n v="940.16"/>
    <n v="0"/>
    <n v="-319.83999999999997"/>
    <x v="0"/>
    <x v="0"/>
  </r>
  <r>
    <s v="22.2400.WCTA."/>
    <s v="Seismic Bracing"/>
    <s v="WCTA"/>
    <s v="Seismic"/>
    <s v="LAX People Mover-HVAC"/>
    <x v="1"/>
    <s v="PLUM"/>
    <m/>
    <n v="0"/>
    <n v="0"/>
    <n v="0"/>
    <n v="0"/>
    <m/>
    <n v="558"/>
    <n v="861"/>
    <n v="890"/>
    <n v="29"/>
    <n v="332"/>
    <m/>
    <n v="50220"/>
    <n v="67983.850000000006"/>
    <n v="0"/>
    <n v="71149.75"/>
    <n v="3165.9"/>
    <n v="20929.75"/>
    <x v="0"/>
    <x v="0"/>
  </r>
  <r>
    <s v="22.2400.WITF."/>
    <s v="Seismic Bracing"/>
    <s v="WITF"/>
    <s v="Seismic"/>
    <s v="LAX People Mover-HVAC"/>
    <x v="1"/>
    <s v="PLUM"/>
    <m/>
    <n v="0"/>
    <n v="0"/>
    <n v="0"/>
    <n v="0"/>
    <m/>
    <n v="247"/>
    <n v="190"/>
    <n v="190"/>
    <n v="0"/>
    <n v="-57"/>
    <m/>
    <n v="22230"/>
    <n v="12289.58"/>
    <n v="0"/>
    <n v="12289.58"/>
    <n v="0"/>
    <n v="-9940.42"/>
    <x v="0"/>
    <x v="0"/>
  </r>
  <r>
    <s v="22.2600.    ."/>
    <s v="Material Handling"/>
    <s v="All Other Areas"/>
    <s v="General Conditions"/>
    <s v="LAX People Mover-Plumbing"/>
    <x v="1"/>
    <s v="PLUM"/>
    <m/>
    <n v="0"/>
    <n v="0"/>
    <n v="0"/>
    <n v="0"/>
    <m/>
    <n v="73"/>
    <n v="838"/>
    <n v="878"/>
    <n v="40"/>
    <n v="805"/>
    <m/>
    <n v="6863.5"/>
    <n v="65884.289999999994"/>
    <n v="0"/>
    <n v="69684.289999999994"/>
    <n v="3800"/>
    <n v="62820.79"/>
    <x v="0"/>
    <x v="0"/>
  </r>
  <r>
    <s v="22.2700.    ."/>
    <s v="Pipe ID &amp; Valve tags"/>
    <s v="All Other Areas"/>
    <s v="Specialties / Misc"/>
    <s v="LAX People Mover-Plumbing"/>
    <x v="1"/>
    <s v="PLUM"/>
    <m/>
    <n v="0"/>
    <n v="0"/>
    <n v="0"/>
    <n v="0"/>
    <m/>
    <n v="847"/>
    <n v="815"/>
    <n v="847"/>
    <n v="32"/>
    <n v="0"/>
    <m/>
    <n v="76230"/>
    <n v="64089.67"/>
    <n v="0"/>
    <n v="67091.59"/>
    <n v="3001.92"/>
    <n v="-9138.41"/>
    <x v="0"/>
    <x v="0"/>
  </r>
  <r>
    <s v="22.2750.    ."/>
    <s v="Commissioning"/>
    <s v="All Other Areas"/>
    <s v="General Conditions"/>
    <s v="LAX People Mover-Plumbing"/>
    <x v="1"/>
    <s v="PLUM"/>
    <m/>
    <n v="0"/>
    <n v="0"/>
    <n v="0"/>
    <n v="0"/>
    <m/>
    <n v="408"/>
    <n v="113"/>
    <n v="368"/>
    <n v="255"/>
    <n v="-40"/>
    <m/>
    <n v="36720"/>
    <n v="10857.67"/>
    <n v="0"/>
    <n v="34553.79"/>
    <n v="23696.12"/>
    <n v="-2166.21"/>
    <x v="0"/>
    <x v="0"/>
  </r>
  <r>
    <s v="22.2800.    .  "/>
    <s v="Punch List - Plumbing"/>
    <s v="All Other Areas"/>
    <s v="General Conditions"/>
    <s v="LAX People Mover-Plumbing"/>
    <x v="1"/>
    <s v="PLUM"/>
    <m/>
    <n v="0"/>
    <n v="0"/>
    <n v="0"/>
    <n v="0"/>
    <m/>
    <n v="0"/>
    <n v="543"/>
    <n v="543"/>
    <n v="0"/>
    <n v="543"/>
    <m/>
    <n v="0"/>
    <n v="50911.57"/>
    <n v="0"/>
    <n v="50911.57"/>
    <n v="0"/>
    <n v="50911.57"/>
    <x v="0"/>
    <x v="0"/>
  </r>
  <r>
    <s v="22.2810. MSF."/>
    <s v="Oil Waste UG - Plumbing"/>
    <s v="MSF"/>
    <s v="Project Specific"/>
    <s v="LAX People Mover-HVAC"/>
    <x v="1"/>
    <s v="PLUM"/>
    <m/>
    <n v="0"/>
    <n v="0"/>
    <n v="0"/>
    <n v="0"/>
    <m/>
    <n v="149"/>
    <n v="84"/>
    <n v="84"/>
    <n v="0"/>
    <n v="-65"/>
    <m/>
    <n v="13410"/>
    <n v="8236.65"/>
    <n v="0"/>
    <n v="8236.65"/>
    <n v="0"/>
    <n v="-5173.3500000000004"/>
    <x v="0"/>
    <x v="0"/>
  </r>
  <r>
    <s v="22.2900.    ."/>
    <s v="Misc. Labor"/>
    <s v="All Other Areas"/>
    <s v="Specialties / Misc"/>
    <s v="LAX People Mover-Plumbing"/>
    <x v="1"/>
    <s v="PLUM"/>
    <m/>
    <n v="0"/>
    <n v="0"/>
    <n v="0"/>
    <n v="0"/>
    <m/>
    <n v="0"/>
    <n v="188"/>
    <n v="188"/>
    <n v="0"/>
    <n v="188"/>
    <m/>
    <n v="0"/>
    <n v="17455.3"/>
    <n v="0"/>
    <n v="17455.3"/>
    <n v="0"/>
    <n v="17455.3"/>
    <x v="0"/>
    <x v="0"/>
  </r>
  <r>
    <s v="22.2950.    ."/>
    <s v="Cleanup"/>
    <s v="All Other Areas"/>
    <s v="General Conditions"/>
    <s v="LAX People Mover-Plumbing"/>
    <x v="1"/>
    <s v="PLUM"/>
    <m/>
    <n v="0"/>
    <n v="0"/>
    <n v="0"/>
    <n v="0"/>
    <m/>
    <n v="480"/>
    <n v="846"/>
    <n v="846"/>
    <n v="0"/>
    <n v="366"/>
    <m/>
    <n v="43200"/>
    <n v="72377.33"/>
    <n v="0"/>
    <n v="72907.11"/>
    <n v="529.78"/>
    <n v="29707.11"/>
    <x v="0"/>
    <x v="0"/>
  </r>
  <r>
    <s v="23.0052.    ."/>
    <s v="Detailing Piping"/>
    <s v="DETAILING"/>
    <s v="Detailing"/>
    <s v="LAX People Mover-HVAC"/>
    <x v="1"/>
    <s v="PIPE"/>
    <m/>
    <n v="0"/>
    <n v="0"/>
    <n v="0"/>
    <n v="0"/>
    <m/>
    <n v="18"/>
    <n v="1703"/>
    <n v="1762"/>
    <n v="59"/>
    <n v="1744"/>
    <m/>
    <n v="1840"/>
    <n v="157813.5"/>
    <n v="0"/>
    <n v="163955.34"/>
    <n v="6141.84"/>
    <n v="162115.34"/>
    <x v="2"/>
    <x v="0"/>
  </r>
  <r>
    <s v="23.0052. MSF."/>
    <s v="Detailing 3D/BIM - Piping"/>
    <s v="MSF"/>
    <s v="Detailing"/>
    <s v="LAX People Mover-HVAC"/>
    <x v="1"/>
    <s v="PIPE"/>
    <m/>
    <n v="0"/>
    <n v="0"/>
    <n v="0"/>
    <n v="0"/>
    <m/>
    <n v="290"/>
    <n v="184.5"/>
    <n v="184.5"/>
    <n v="0"/>
    <n v="-105.5"/>
    <m/>
    <n v="26100"/>
    <n v="17834.55"/>
    <n v="0"/>
    <n v="17834.55"/>
    <n v="0"/>
    <n v="-8265.4500000000007"/>
    <x v="2"/>
    <x v="0"/>
  </r>
  <r>
    <s v="23.0052. P2A."/>
    <s v="Detailing 3D/BIM - Piping"/>
    <s v="P2A"/>
    <s v="Detailing"/>
    <s v="LAX People Mover-HVAC"/>
    <x v="1"/>
    <s v="PIPE"/>
    <m/>
    <n v="0"/>
    <n v="0"/>
    <n v="0"/>
    <n v="0"/>
    <m/>
    <n v="12"/>
    <n v="0"/>
    <n v="0"/>
    <n v="0"/>
    <n v="-12"/>
    <m/>
    <n v="1080"/>
    <n v="0"/>
    <n v="0"/>
    <n v="0"/>
    <n v="0"/>
    <n v="-1080"/>
    <x v="2"/>
    <x v="0"/>
  </r>
  <r>
    <s v="23.0052.CCTA."/>
    <s v="Detailing 3D/BIM - Piping"/>
    <s v="CCTA"/>
    <s v="Detailing"/>
    <s v="LAX People Mover-HVAC"/>
    <x v="1"/>
    <s v="PIPE"/>
    <m/>
    <n v="0"/>
    <n v="0"/>
    <n v="0"/>
    <n v="0"/>
    <m/>
    <n v="58"/>
    <n v="0"/>
    <n v="0"/>
    <n v="0"/>
    <n v="-58"/>
    <m/>
    <n v="5220"/>
    <n v="0"/>
    <n v="0"/>
    <n v="0"/>
    <n v="0"/>
    <n v="-5220"/>
    <x v="2"/>
    <x v="0"/>
  </r>
  <r>
    <s v="23.0052.CRAC."/>
    <s v="Detailing 3D/BIM - Piping"/>
    <s v="CRAC"/>
    <s v="Detailing"/>
    <s v="LAX People Mover-HVAC"/>
    <x v="1"/>
    <s v="PIPE"/>
    <m/>
    <n v="0"/>
    <n v="0"/>
    <n v="0"/>
    <n v="0"/>
    <m/>
    <n v="20"/>
    <n v="0"/>
    <n v="0"/>
    <n v="0"/>
    <n v="-20"/>
    <m/>
    <n v="1800"/>
    <n v="0"/>
    <n v="0"/>
    <n v="0"/>
    <n v="0"/>
    <n v="-1800"/>
    <x v="2"/>
    <x v="0"/>
  </r>
  <r>
    <s v="23.0052.ECTA."/>
    <s v="Detailing 3D/BIM - Piping"/>
    <s v="ECTA"/>
    <s v="Detailing"/>
    <s v="LAX People Mover-HVAC"/>
    <x v="1"/>
    <s v="PIPE"/>
    <m/>
    <n v="0"/>
    <n v="0"/>
    <n v="0"/>
    <n v="0"/>
    <m/>
    <n v="45"/>
    <n v="124.5"/>
    <n v="124.5"/>
    <n v="0"/>
    <n v="79.5"/>
    <m/>
    <n v="4050"/>
    <n v="11940.92"/>
    <n v="0"/>
    <n v="11940.92"/>
    <n v="0"/>
    <n v="7890.92"/>
    <x v="2"/>
    <x v="0"/>
  </r>
  <r>
    <s v="23.0052.EITF."/>
    <s v="Detailing 3D/BIM - Piping"/>
    <s v="EITF"/>
    <s v="Detailing"/>
    <s v="LAX People Mover-HVAC"/>
    <x v="1"/>
    <s v="PIPE"/>
    <m/>
    <n v="0"/>
    <n v="0"/>
    <n v="0"/>
    <n v="0"/>
    <m/>
    <n v="56"/>
    <n v="7"/>
    <n v="7"/>
    <n v="0"/>
    <n v="-49"/>
    <m/>
    <n v="5040"/>
    <n v="691.49"/>
    <n v="0"/>
    <n v="691.49"/>
    <n v="0"/>
    <n v="-4348.51"/>
    <x v="2"/>
    <x v="0"/>
  </r>
  <r>
    <s v="23.0052.TPS1."/>
    <s v="Detailing 3D/BIM - Piping"/>
    <s v="TPS1"/>
    <s v="Detailing"/>
    <s v="LAX People Mover-HVAC"/>
    <x v="1"/>
    <s v="PIPE"/>
    <m/>
    <n v="0"/>
    <n v="0"/>
    <n v="0"/>
    <n v="0"/>
    <m/>
    <n v="30"/>
    <n v="0"/>
    <n v="0"/>
    <n v="0"/>
    <n v="-30"/>
    <m/>
    <n v="2700"/>
    <n v="0"/>
    <n v="0"/>
    <n v="0"/>
    <n v="0"/>
    <n v="-2700"/>
    <x v="2"/>
    <x v="0"/>
  </r>
  <r>
    <s v="23.0052.TPS3."/>
    <s v="Detailing 3D/BIM - Piping"/>
    <s v="TPS3"/>
    <s v="Detailing"/>
    <s v="LAX People Mover-HVAC"/>
    <x v="1"/>
    <s v="PIPE"/>
    <m/>
    <n v="0"/>
    <n v="0"/>
    <n v="0"/>
    <n v="0"/>
    <m/>
    <n v="30"/>
    <n v="0"/>
    <n v="0"/>
    <n v="0"/>
    <n v="-30"/>
    <m/>
    <n v="2700"/>
    <n v="0"/>
    <n v="0"/>
    <n v="0"/>
    <n v="0"/>
    <n v="-2700"/>
    <x v="2"/>
    <x v="0"/>
  </r>
  <r>
    <s v="23.0052.WCTA."/>
    <s v="Detailing 3D/BIM - Piping"/>
    <s v="WCTA"/>
    <s v="Detailing"/>
    <s v="LAX People Mover-HVAC"/>
    <x v="1"/>
    <s v="PIPE"/>
    <m/>
    <n v="0"/>
    <n v="0"/>
    <n v="0"/>
    <n v="0"/>
    <m/>
    <n v="326"/>
    <n v="168"/>
    <n v="168"/>
    <n v="0"/>
    <n v="-158"/>
    <m/>
    <n v="29340"/>
    <n v="16023.9"/>
    <n v="0"/>
    <n v="16023.9"/>
    <n v="0"/>
    <n v="-13316.1"/>
    <x v="2"/>
    <x v="0"/>
  </r>
  <r>
    <s v="23.0052.WITF."/>
    <s v="Detailing 3D/BIM - Piping"/>
    <s v="WITF"/>
    <s v="Detailing"/>
    <s v="LAX People Mover-HVAC"/>
    <x v="1"/>
    <s v="PIPE"/>
    <m/>
    <n v="0"/>
    <n v="0"/>
    <n v="0"/>
    <n v="0"/>
    <m/>
    <n v="50"/>
    <n v="143"/>
    <n v="143"/>
    <n v="0"/>
    <n v="93"/>
    <m/>
    <n v="4500"/>
    <n v="13779.98"/>
    <n v="0"/>
    <n v="13779.98"/>
    <n v="0"/>
    <n v="9279.98"/>
    <x v="2"/>
    <x v="0"/>
  </r>
  <r>
    <s v="23.0053.    ."/>
    <s v="Detailing Piping Spooling"/>
    <s v="DETAILING"/>
    <s v="Detailing"/>
    <s v="LAX People Mover-HVAC"/>
    <x v="1"/>
    <s v="PIPE"/>
    <m/>
    <n v="0"/>
    <n v="0"/>
    <n v="0"/>
    <n v="0"/>
    <m/>
    <n v="0"/>
    <n v="53.5"/>
    <n v="53.5"/>
    <n v="0"/>
    <n v="53.5"/>
    <m/>
    <n v="0"/>
    <n v="3976.35"/>
    <n v="0"/>
    <n v="3976.35"/>
    <n v="0"/>
    <n v="3976.35"/>
    <x v="2"/>
    <x v="0"/>
  </r>
  <r>
    <s v="23.0053. MSF."/>
    <s v="Detailing Spooling - Piping"/>
    <s v="MSF"/>
    <s v="Detailing"/>
    <s v="LAX People Mover-HVAC"/>
    <x v="1"/>
    <s v="PIPE"/>
    <m/>
    <n v="0"/>
    <n v="0"/>
    <n v="0"/>
    <n v="0"/>
    <m/>
    <n v="87"/>
    <n v="0"/>
    <n v="0"/>
    <n v="0"/>
    <n v="-87"/>
    <m/>
    <n v="7830"/>
    <n v="0"/>
    <n v="0"/>
    <n v="0"/>
    <n v="0"/>
    <n v="-7830"/>
    <x v="2"/>
    <x v="0"/>
  </r>
  <r>
    <s v="23.0053.CCTA."/>
    <s v="Detailing Spooling - Piping"/>
    <s v="CCTA"/>
    <s v="Detailing"/>
    <s v="LAX People Mover-HVAC"/>
    <x v="1"/>
    <s v="PIPE"/>
    <m/>
    <n v="0"/>
    <n v="0"/>
    <n v="0"/>
    <n v="0"/>
    <m/>
    <n v="17"/>
    <n v="0"/>
    <n v="0"/>
    <n v="0"/>
    <n v="-17"/>
    <m/>
    <n v="1530"/>
    <n v="0"/>
    <n v="0"/>
    <n v="0"/>
    <n v="0"/>
    <n v="-1530"/>
    <x v="2"/>
    <x v="0"/>
  </r>
  <r>
    <s v="23.0053.CRAC."/>
    <s v="Detailing Spooling - Piping"/>
    <s v="CRAC"/>
    <s v="Detailing"/>
    <s v="LAX People Mover-HVAC"/>
    <x v="1"/>
    <s v="PIPE"/>
    <m/>
    <n v="0"/>
    <n v="0"/>
    <n v="0"/>
    <n v="0"/>
    <m/>
    <n v="6"/>
    <n v="0"/>
    <n v="0"/>
    <n v="0"/>
    <n v="-6"/>
    <m/>
    <n v="540"/>
    <n v="0"/>
    <n v="0"/>
    <n v="0"/>
    <n v="0"/>
    <n v="-540"/>
    <x v="2"/>
    <x v="0"/>
  </r>
  <r>
    <s v="23.0053.ECTA."/>
    <s v="Detailing Spooling - Piping"/>
    <s v="ECTA"/>
    <s v="Detailing"/>
    <s v="LAX People Mover-HVAC"/>
    <x v="1"/>
    <s v="PIPE"/>
    <m/>
    <n v="0"/>
    <n v="0"/>
    <n v="0"/>
    <n v="0"/>
    <m/>
    <n v="14"/>
    <n v="0"/>
    <n v="0"/>
    <n v="0"/>
    <n v="-14"/>
    <m/>
    <n v="1260"/>
    <n v="0"/>
    <n v="0"/>
    <n v="0"/>
    <n v="0"/>
    <n v="-1260"/>
    <x v="2"/>
    <x v="0"/>
  </r>
  <r>
    <s v="23.0053.EITF."/>
    <s v="Detailing Spooling - Piping"/>
    <s v="EITF"/>
    <s v="Detailing"/>
    <s v="LAX People Mover-HVAC"/>
    <x v="1"/>
    <s v="PIPE"/>
    <m/>
    <n v="0"/>
    <n v="0"/>
    <n v="0"/>
    <n v="0"/>
    <m/>
    <n v="17"/>
    <n v="0"/>
    <n v="0"/>
    <n v="0"/>
    <n v="-17"/>
    <m/>
    <n v="1530"/>
    <n v="0"/>
    <n v="0"/>
    <n v="0"/>
    <n v="0"/>
    <n v="-1530"/>
    <x v="2"/>
    <x v="0"/>
  </r>
  <r>
    <s v="23.0053.WCTA."/>
    <s v="Detailing Spooling - Piping"/>
    <s v="WCTA"/>
    <s v="Detailing"/>
    <s v="LAX People Mover-HVAC"/>
    <x v="1"/>
    <s v="PIPE"/>
    <m/>
    <n v="0"/>
    <n v="0"/>
    <n v="0"/>
    <n v="0"/>
    <m/>
    <n v="98"/>
    <n v="0"/>
    <n v="0"/>
    <n v="0"/>
    <n v="-98"/>
    <m/>
    <n v="8820"/>
    <n v="0"/>
    <n v="0"/>
    <n v="0"/>
    <n v="0"/>
    <n v="-8820"/>
    <x v="2"/>
    <x v="0"/>
  </r>
  <r>
    <s v="23.0053.WITF."/>
    <s v="Detailing Spooling - Piping"/>
    <s v="WITF"/>
    <s v="Detailing"/>
    <s v="LAX People Mover-HVAC"/>
    <x v="1"/>
    <s v="PIPE"/>
    <m/>
    <n v="0"/>
    <n v="0"/>
    <n v="0"/>
    <n v="0"/>
    <m/>
    <n v="15"/>
    <n v="0"/>
    <n v="0"/>
    <n v="0"/>
    <n v="-15"/>
    <m/>
    <n v="1350"/>
    <n v="0"/>
    <n v="0"/>
    <n v="0"/>
    <n v="0"/>
    <n v="-1350"/>
    <x v="2"/>
    <x v="0"/>
  </r>
  <r>
    <s v="23.0057. MSF."/>
    <s v="Detailing Coordination - Piping"/>
    <s v="MSF"/>
    <s v="Detailing"/>
    <s v="LAX People Mover-HVAC"/>
    <x v="1"/>
    <s v="PIPE"/>
    <m/>
    <n v="0"/>
    <n v="0"/>
    <n v="0"/>
    <n v="0"/>
    <m/>
    <n v="733"/>
    <n v="459"/>
    <n v="459"/>
    <n v="0"/>
    <n v="-274"/>
    <m/>
    <n v="76103.600000000006"/>
    <n v="45445.53"/>
    <n v="0"/>
    <n v="45445.53"/>
    <n v="0"/>
    <n v="-30658.07"/>
    <x v="2"/>
    <x v="0"/>
  </r>
  <r>
    <s v="23.0057.CCTA."/>
    <s v="Detailing Coordination - Piping"/>
    <s v="CCTA"/>
    <s v="Detailing"/>
    <s v="LAX People Mover-HVAC"/>
    <x v="1"/>
    <s v="PIPE"/>
    <m/>
    <n v="0"/>
    <n v="0"/>
    <n v="0"/>
    <n v="0"/>
    <m/>
    <n v="40"/>
    <n v="0"/>
    <n v="0"/>
    <n v="0"/>
    <n v="-40"/>
    <m/>
    <n v="3600"/>
    <n v="0"/>
    <n v="0"/>
    <n v="0"/>
    <n v="0"/>
    <n v="-3600"/>
    <x v="2"/>
    <x v="0"/>
  </r>
  <r>
    <s v="23.0057.CRAC."/>
    <s v="Detailing Coordination - Piping"/>
    <s v="CRAC"/>
    <s v="Detailing"/>
    <s v="LAX People Mover-HVAC"/>
    <x v="1"/>
    <s v="PIPE"/>
    <m/>
    <n v="0"/>
    <n v="0"/>
    <n v="0"/>
    <n v="0"/>
    <m/>
    <n v="14"/>
    <n v="0"/>
    <n v="0"/>
    <n v="0"/>
    <n v="-14"/>
    <m/>
    <n v="1260"/>
    <n v="0"/>
    <n v="0"/>
    <n v="0"/>
    <n v="0"/>
    <n v="-1260"/>
    <x v="2"/>
    <x v="0"/>
  </r>
  <r>
    <s v="23.0057.ECTA."/>
    <s v="Detailing Coordination - Piping"/>
    <s v="ECTA"/>
    <s v="Detailing"/>
    <s v="LAX People Mover-HVAC"/>
    <x v="1"/>
    <s v="PIPE"/>
    <m/>
    <n v="0"/>
    <n v="0"/>
    <n v="0"/>
    <n v="0"/>
    <m/>
    <n v="32"/>
    <n v="0"/>
    <n v="0"/>
    <n v="0"/>
    <n v="-32"/>
    <m/>
    <n v="2880"/>
    <n v="0"/>
    <n v="0"/>
    <n v="0"/>
    <n v="0"/>
    <n v="-2880"/>
    <x v="2"/>
    <x v="0"/>
  </r>
  <r>
    <s v="23.0057.EITF."/>
    <s v="Detailing Coordination - Piping"/>
    <s v="EITF"/>
    <s v="Detailing"/>
    <s v="LAX People Mover-HVAC"/>
    <x v="1"/>
    <s v="PIPE"/>
    <m/>
    <n v="0"/>
    <n v="0"/>
    <n v="0"/>
    <n v="0"/>
    <m/>
    <n v="39"/>
    <n v="0"/>
    <n v="0"/>
    <n v="0"/>
    <n v="-39"/>
    <m/>
    <n v="3510"/>
    <n v="0"/>
    <n v="0"/>
    <n v="0"/>
    <n v="0"/>
    <n v="-3510"/>
    <x v="2"/>
    <x v="0"/>
  </r>
  <r>
    <s v="23.0057.WCTA."/>
    <s v="Detailing Coordination - Piping"/>
    <s v="WCTA"/>
    <s v="Detailing"/>
    <s v="LAX People Mover-HVAC"/>
    <x v="1"/>
    <s v="PIPE"/>
    <m/>
    <n v="0"/>
    <n v="0"/>
    <n v="0"/>
    <n v="0"/>
    <m/>
    <n v="228"/>
    <n v="0"/>
    <n v="0"/>
    <n v="0"/>
    <n v="-228"/>
    <m/>
    <n v="20520"/>
    <n v="0"/>
    <n v="0"/>
    <n v="0"/>
    <n v="0"/>
    <n v="-20520"/>
    <x v="2"/>
    <x v="0"/>
  </r>
  <r>
    <s v="23.0057.WITF."/>
    <s v="Detailing Coordination - Piping"/>
    <s v="WITF"/>
    <s v="Detailing"/>
    <s v="LAX People Mover-HVAC"/>
    <x v="1"/>
    <s v="PIPE"/>
    <m/>
    <n v="0"/>
    <n v="0"/>
    <n v="0"/>
    <n v="0"/>
    <m/>
    <n v="35"/>
    <n v="0"/>
    <n v="0"/>
    <n v="0"/>
    <n v="-35"/>
    <m/>
    <n v="3150"/>
    <n v="0"/>
    <n v="0"/>
    <n v="0"/>
    <n v="0"/>
    <n v="-3150"/>
    <x v="2"/>
    <x v="0"/>
  </r>
  <r>
    <s v="23.8010.    ."/>
    <s v="General Foreman-Piping"/>
    <s v="All Other Areas"/>
    <s v="Field Supervision"/>
    <s v="LAX People Mover-HVAC"/>
    <x v="1"/>
    <s v="PIPE"/>
    <m/>
    <n v="0"/>
    <n v="0"/>
    <n v="0"/>
    <n v="0"/>
    <m/>
    <n v="2067"/>
    <n v="5512.5"/>
    <n v="5512.5"/>
    <n v="0"/>
    <n v="3445.5"/>
    <m/>
    <n v="185959.76"/>
    <n v="577464.25"/>
    <n v="0"/>
    <n v="577464.25"/>
    <n v="0"/>
    <n v="391504.49"/>
    <x v="2"/>
    <x v="0"/>
  </r>
  <r>
    <s v="23.8020.    ."/>
    <s v="Superintendent-Piping"/>
    <s v="All Other Areas"/>
    <s v="Other"/>
    <s v="LAX People Mover-HVAC"/>
    <x v="1"/>
    <m/>
    <m/>
    <n v="0"/>
    <n v="0"/>
    <n v="0"/>
    <n v="0"/>
    <m/>
    <n v="0"/>
    <n v="0"/>
    <n v="0"/>
    <n v="0"/>
    <n v="0"/>
    <m/>
    <n v="0"/>
    <n v="0"/>
    <n v="0"/>
    <n v="0"/>
    <n v="0"/>
    <n v="0"/>
    <x v="5"/>
    <x v="0"/>
  </r>
  <r>
    <s v="23.8080.    ."/>
    <s v="Sleeves, Inserts and Layout - Piping"/>
    <s v="MSF"/>
    <s v="Sleeve, Insert, Layout"/>
    <s v="LAX People Mover-HVAC"/>
    <x v="1"/>
    <s v="PIPE"/>
    <m/>
    <n v="0"/>
    <n v="0"/>
    <n v="0"/>
    <n v="0"/>
    <m/>
    <n v="0"/>
    <n v="144"/>
    <n v="144"/>
    <n v="0"/>
    <n v="144"/>
    <m/>
    <n v="0"/>
    <n v="12307.41"/>
    <n v="0"/>
    <n v="12307.41"/>
    <n v="0"/>
    <n v="12307.41"/>
    <x v="2"/>
    <x v="0"/>
  </r>
  <r>
    <s v="23.8080.   5."/>
    <s v="Sleeve, Insert, Layout-Piping (UG)"/>
    <s v="UG"/>
    <s v="Sleeve, Insert, Layout"/>
    <s v="LAX People Mover-HVAC"/>
    <x v="1"/>
    <s v="PIPE"/>
    <m/>
    <n v="0"/>
    <n v="0"/>
    <n v="0"/>
    <n v="0"/>
    <m/>
    <n v="0"/>
    <n v="176"/>
    <n v="176"/>
    <n v="0"/>
    <n v="176"/>
    <m/>
    <n v="0"/>
    <n v="14496.77"/>
    <n v="0"/>
    <n v="14496.77"/>
    <n v="0"/>
    <n v="14496.77"/>
    <x v="2"/>
    <x v="0"/>
  </r>
  <r>
    <s v="23.8120.   5."/>
    <s v="Hydronic Mains-Piping (UG)"/>
    <s v="UG"/>
    <s v="Piping"/>
    <s v="LAX People Mover-HVAC"/>
    <x v="1"/>
    <s v="PIPE"/>
    <m/>
    <n v="0"/>
    <n v="0"/>
    <n v="0"/>
    <n v="0"/>
    <m/>
    <n v="0"/>
    <n v="784"/>
    <n v="784"/>
    <n v="0"/>
    <n v="784"/>
    <m/>
    <n v="0"/>
    <n v="64475.37"/>
    <n v="0"/>
    <n v="64475.37"/>
    <n v="0"/>
    <n v="64475.37"/>
    <x v="2"/>
    <x v="0"/>
  </r>
  <r>
    <s v="23.8160. MSF."/>
    <s v="HHW Indoors - Piping"/>
    <s v="MSF"/>
    <s v="Piping"/>
    <s v="LAX People Mover-HVAC"/>
    <x v="1"/>
    <s v="PIPE"/>
    <m/>
    <n v="0"/>
    <n v="0"/>
    <n v="0"/>
    <n v="0"/>
    <m/>
    <n v="600"/>
    <n v="1722.5"/>
    <n v="1722.5"/>
    <n v="0"/>
    <n v="1122.5"/>
    <m/>
    <n v="54000"/>
    <n v="137863.91"/>
    <n v="0"/>
    <n v="137863.91"/>
    <n v="0"/>
    <n v="83863.91"/>
    <x v="2"/>
    <x v="0"/>
  </r>
  <r>
    <s v="23.8160.WCTA."/>
    <s v="HHW Indoors - Piping"/>
    <s v="WCTA"/>
    <s v="Piping"/>
    <s v="LAX People Mover-HVAC"/>
    <x v="1"/>
    <s v="PIPE"/>
    <m/>
    <n v="0"/>
    <n v="0"/>
    <n v="0"/>
    <n v="0"/>
    <m/>
    <n v="239"/>
    <n v="485"/>
    <n v="493"/>
    <n v="8"/>
    <n v="254"/>
    <m/>
    <n v="21510"/>
    <n v="43267.4"/>
    <n v="0"/>
    <n v="43987.4"/>
    <n v="720"/>
    <n v="22477.4"/>
    <x v="2"/>
    <x v="0"/>
  </r>
  <r>
    <s v="23.8170. MSF."/>
    <s v="CHW Indoors - Piping"/>
    <s v="MSF"/>
    <s v="Piping"/>
    <s v="LAX People Mover-HVAC"/>
    <x v="1"/>
    <s v="PIPE"/>
    <m/>
    <n v="0"/>
    <n v="0"/>
    <n v="0"/>
    <n v="0"/>
    <m/>
    <n v="700"/>
    <n v="2261"/>
    <n v="2261"/>
    <n v="0"/>
    <n v="1561"/>
    <m/>
    <n v="63000"/>
    <n v="177565.84"/>
    <n v="0"/>
    <n v="177565.84"/>
    <n v="0"/>
    <n v="114565.84"/>
    <x v="2"/>
    <x v="0"/>
  </r>
  <r>
    <s v="23.8170.TPS1."/>
    <s v="CHW Indoors - Piping"/>
    <s v="TPS1"/>
    <s v="Piping"/>
    <s v="LAX People Mover-HVAC"/>
    <x v="1"/>
    <s v="PIPE"/>
    <m/>
    <n v="0"/>
    <n v="0"/>
    <n v="0"/>
    <n v="0"/>
    <m/>
    <n v="75"/>
    <n v="96"/>
    <n v="96"/>
    <n v="0"/>
    <n v="21"/>
    <m/>
    <n v="6750"/>
    <n v="9282.57"/>
    <n v="0"/>
    <n v="9282.57"/>
    <n v="0"/>
    <n v="2532.5700000000002"/>
    <x v="2"/>
    <x v="0"/>
  </r>
  <r>
    <s v="23.8170.TPS3."/>
    <s v="CHW Indoors - Piping"/>
    <s v="TPS3"/>
    <s v="Piping"/>
    <s v="LAX People Mover-HVAC"/>
    <x v="1"/>
    <s v="PIPE"/>
    <m/>
    <n v="0"/>
    <n v="0"/>
    <n v="0"/>
    <n v="0"/>
    <m/>
    <n v="83"/>
    <n v="0"/>
    <n v="0"/>
    <n v="0"/>
    <n v="-83"/>
    <m/>
    <n v="6990.88"/>
    <n v="0"/>
    <n v="0"/>
    <n v="0"/>
    <n v="0"/>
    <n v="-6990.88"/>
    <x v="2"/>
    <x v="0"/>
  </r>
  <r>
    <s v="23.8400. MSF."/>
    <s v="Refrigeration (Risers, Shafts) - Piping"/>
    <s v="MSF"/>
    <s v="Piping"/>
    <s v="LAX People Mover-HVAC"/>
    <x v="1"/>
    <s v="PIPE"/>
    <m/>
    <n v="0"/>
    <n v="0"/>
    <n v="0"/>
    <n v="0"/>
    <m/>
    <n v="82"/>
    <n v="245"/>
    <n v="245"/>
    <n v="0"/>
    <n v="163"/>
    <m/>
    <n v="7380"/>
    <n v="19454.73"/>
    <n v="0"/>
    <n v="19454.73"/>
    <n v="0"/>
    <n v="12074.73"/>
    <x v="2"/>
    <x v="0"/>
  </r>
  <r>
    <s v="23.8400. P2A."/>
    <s v="Refrigeration (Risers, Shafts) - Piping"/>
    <s v="P2A"/>
    <s v="Piping"/>
    <s v="LAX People Mover-HVAC"/>
    <x v="1"/>
    <s v="PIPE"/>
    <m/>
    <n v="0"/>
    <n v="0"/>
    <n v="0"/>
    <n v="0"/>
    <m/>
    <n v="62"/>
    <n v="69"/>
    <n v="69"/>
    <n v="0"/>
    <n v="7"/>
    <m/>
    <n v="5580"/>
    <n v="6501.13"/>
    <n v="0"/>
    <n v="6501.13"/>
    <n v="0"/>
    <n v="921.13"/>
    <x v="2"/>
    <x v="0"/>
  </r>
  <r>
    <s v="23.8400.CCTA."/>
    <s v="Refrigeration (Risers, Shafts) - Piping"/>
    <s v="CCTA"/>
    <s v="Piping"/>
    <s v="LAX People Mover-HVAC"/>
    <x v="1"/>
    <s v="PIPE"/>
    <m/>
    <n v="0"/>
    <n v="0"/>
    <n v="0"/>
    <n v="0"/>
    <m/>
    <n v="371"/>
    <n v="728"/>
    <n v="728"/>
    <n v="0"/>
    <n v="357"/>
    <m/>
    <n v="33390"/>
    <n v="62998.07"/>
    <n v="0"/>
    <n v="62998.07"/>
    <n v="0"/>
    <n v="29608.07"/>
    <x v="2"/>
    <x v="0"/>
  </r>
  <r>
    <s v="23.8400.CRAC."/>
    <s v="Refrigeration (Risers, Shafts) - Piping"/>
    <s v="CRAC"/>
    <s v="Piping"/>
    <s v="LAX People Mover-HVAC"/>
    <x v="1"/>
    <s v="PIPE"/>
    <m/>
    <n v="0"/>
    <n v="0"/>
    <n v="0"/>
    <n v="0"/>
    <m/>
    <n v="200"/>
    <n v="210"/>
    <n v="210"/>
    <n v="0"/>
    <n v="10"/>
    <m/>
    <n v="18000"/>
    <n v="18404.39"/>
    <n v="0"/>
    <n v="18404.39"/>
    <n v="0"/>
    <n v="404.39"/>
    <x v="2"/>
    <x v="0"/>
  </r>
  <r>
    <s v="23.8400.ECTA."/>
    <s v="Refrigeration (Risers, Shafts) - Piping"/>
    <s v="ECTA"/>
    <s v="Piping"/>
    <s v="LAX People Mover-HVAC"/>
    <x v="1"/>
    <s v="PIPE"/>
    <m/>
    <n v="0"/>
    <n v="0"/>
    <n v="0"/>
    <n v="0"/>
    <m/>
    <n v="300"/>
    <n v="527"/>
    <n v="527"/>
    <n v="0"/>
    <n v="227"/>
    <m/>
    <n v="27000"/>
    <n v="45590.5"/>
    <n v="0"/>
    <n v="45617.08"/>
    <n v="26.58"/>
    <n v="18617.080000000002"/>
    <x v="2"/>
    <x v="0"/>
  </r>
  <r>
    <s v="23.8400.EITF."/>
    <s v="Refrigeration (Risers, Shafts) - Piping"/>
    <s v="EITF"/>
    <s v="Piping"/>
    <s v="LAX People Mover-HVAC"/>
    <x v="1"/>
    <s v="PIPE"/>
    <m/>
    <n v="0"/>
    <n v="0"/>
    <n v="0"/>
    <n v="0"/>
    <m/>
    <n v="320"/>
    <n v="351"/>
    <n v="351"/>
    <n v="0"/>
    <n v="31"/>
    <m/>
    <n v="28800"/>
    <n v="24353.11"/>
    <n v="0"/>
    <n v="24353.11"/>
    <n v="0"/>
    <n v="-4446.8900000000003"/>
    <x v="2"/>
    <x v="0"/>
  </r>
  <r>
    <s v="23.8400.TPS1."/>
    <s v="Refrigeration (Risers, Shafts) - Piping"/>
    <s v="TPS1"/>
    <s v="Piping"/>
    <s v="LAX People Mover-HVAC"/>
    <x v="1"/>
    <s v="PIPE"/>
    <m/>
    <n v="0"/>
    <n v="0"/>
    <n v="0"/>
    <n v="0"/>
    <m/>
    <n v="180"/>
    <n v="448"/>
    <n v="448"/>
    <n v="0"/>
    <n v="268"/>
    <m/>
    <n v="16200"/>
    <n v="34987.32"/>
    <n v="0"/>
    <n v="34987.32"/>
    <n v="0"/>
    <n v="18787.32"/>
    <x v="2"/>
    <x v="0"/>
  </r>
  <r>
    <s v="23.8400.TPS3."/>
    <s v="Refrigeration (Risers, Shafts) - Piping"/>
    <s v="TPS3"/>
    <s v="Piping"/>
    <s v="LAX People Mover-HVAC"/>
    <x v="1"/>
    <s v="PIPE"/>
    <m/>
    <n v="0"/>
    <n v="0"/>
    <n v="0"/>
    <n v="0"/>
    <m/>
    <n v="180"/>
    <n v="466"/>
    <n v="466"/>
    <n v="0"/>
    <n v="286"/>
    <m/>
    <n v="16200"/>
    <n v="36522.47"/>
    <n v="0"/>
    <n v="36522.47"/>
    <n v="0"/>
    <n v="20322.47"/>
    <x v="2"/>
    <x v="0"/>
  </r>
  <r>
    <s v="23.8400.WCTA."/>
    <s v="Refrigeration (Risers, Shafts) - Piping"/>
    <s v="WCTA"/>
    <s v="Piping"/>
    <s v="LAX People Mover-HVAC"/>
    <x v="1"/>
    <s v="PIPE"/>
    <m/>
    <n v="0"/>
    <n v="0"/>
    <n v="0"/>
    <n v="0"/>
    <m/>
    <n v="1710"/>
    <n v="2898.5"/>
    <n v="2946.5"/>
    <n v="48"/>
    <n v="1236.5"/>
    <m/>
    <n v="154355"/>
    <n v="243168.46"/>
    <n v="0"/>
    <n v="248811.88"/>
    <n v="5643.42"/>
    <n v="94456.88"/>
    <x v="2"/>
    <x v="0"/>
  </r>
  <r>
    <s v="23.8400.WITF."/>
    <s v="Refrigeration (Risers, Shafts) - Piping"/>
    <s v="WITF"/>
    <s v="Piping"/>
    <s v="LAX People Mover-HVAC"/>
    <x v="1"/>
    <s v="PIPE"/>
    <m/>
    <n v="0"/>
    <n v="0"/>
    <n v="0"/>
    <n v="0"/>
    <m/>
    <n v="300"/>
    <n v="646"/>
    <n v="646"/>
    <n v="0"/>
    <n v="346"/>
    <m/>
    <n v="27000"/>
    <n v="51102.1"/>
    <n v="0"/>
    <n v="51102.1"/>
    <n v="0"/>
    <n v="24102.1"/>
    <x v="2"/>
    <x v="0"/>
  </r>
  <r>
    <s v="23.8420.   5."/>
    <s v="Refrigerations Mains-Piping (UG)"/>
    <s v="UG"/>
    <s v="Piping"/>
    <s v="LAX People Mover-HVAC"/>
    <x v="1"/>
    <s v="PIPE"/>
    <m/>
    <n v="0"/>
    <n v="0"/>
    <n v="0"/>
    <n v="0"/>
    <m/>
    <n v="0"/>
    <n v="21"/>
    <n v="21"/>
    <n v="0"/>
    <n v="21"/>
    <m/>
    <n v="0"/>
    <n v="1668.22"/>
    <n v="0"/>
    <n v="1668.22"/>
    <n v="0"/>
    <n v="1668.22"/>
    <x v="2"/>
    <x v="0"/>
  </r>
  <r>
    <s v="23.8580. MSF."/>
    <s v="Hangers and Supports - Piping"/>
    <s v="MSF"/>
    <s v="Hangers"/>
    <s v="LAX People Mover-HVAC"/>
    <x v="1"/>
    <s v="PIPE"/>
    <m/>
    <n v="0"/>
    <n v="0"/>
    <n v="0"/>
    <n v="0"/>
    <m/>
    <n v="824"/>
    <n v="1738"/>
    <n v="1738"/>
    <n v="0"/>
    <n v="914"/>
    <m/>
    <n v="74160"/>
    <n v="139437.57999999999"/>
    <n v="0"/>
    <n v="139437.57999999999"/>
    <n v="0"/>
    <n v="65277.58"/>
    <x v="2"/>
    <x v="0"/>
  </r>
  <r>
    <s v="23.8580.CCTA."/>
    <s v="Hangers and Supports - Piping"/>
    <s v="CCTA"/>
    <s v="Hangers"/>
    <s v="LAX People Mover-HVAC"/>
    <x v="1"/>
    <s v="PIPE"/>
    <m/>
    <n v="0"/>
    <n v="0"/>
    <n v="0"/>
    <n v="0"/>
    <m/>
    <n v="250"/>
    <n v="274"/>
    <n v="274"/>
    <n v="0"/>
    <n v="24"/>
    <m/>
    <n v="22500"/>
    <n v="19812.63"/>
    <n v="0"/>
    <n v="19812.63"/>
    <n v="0"/>
    <n v="-2687.37"/>
    <x v="2"/>
    <x v="0"/>
  </r>
  <r>
    <s v="23.8580.CRAC."/>
    <s v="Hangers and Supports - Piping"/>
    <s v="CRAC"/>
    <s v="Hangers"/>
    <s v="LAX People Mover-HVAC"/>
    <x v="1"/>
    <s v="PIPE"/>
    <m/>
    <n v="0"/>
    <n v="0"/>
    <n v="0"/>
    <n v="0"/>
    <m/>
    <n v="84"/>
    <n v="132"/>
    <n v="132"/>
    <n v="0"/>
    <n v="48"/>
    <m/>
    <n v="7560"/>
    <n v="11944.23"/>
    <n v="0"/>
    <n v="11944.23"/>
    <n v="0"/>
    <n v="4384.2299999999996"/>
    <x v="2"/>
    <x v="0"/>
  </r>
  <r>
    <s v="23.8580.ECTA."/>
    <s v="Hangers and Supports - Piping"/>
    <s v="ECTA"/>
    <s v="Hangers"/>
    <s v="LAX People Mover-HVAC"/>
    <x v="1"/>
    <s v="PIPE"/>
    <m/>
    <n v="0"/>
    <n v="0"/>
    <n v="0"/>
    <n v="0"/>
    <m/>
    <n v="200"/>
    <n v="260"/>
    <n v="260"/>
    <n v="0"/>
    <n v="60"/>
    <m/>
    <n v="18000"/>
    <n v="18956.62"/>
    <n v="0"/>
    <n v="18956.62"/>
    <n v="0"/>
    <n v="956.62"/>
    <x v="2"/>
    <x v="0"/>
  </r>
  <r>
    <s v="23.8580.EITF."/>
    <s v="Hangers and Supports - Piping"/>
    <s v="EITF"/>
    <s v="Hangers"/>
    <s v="LAX People Mover-HVAC"/>
    <x v="1"/>
    <s v="PIPE"/>
    <m/>
    <n v="0"/>
    <n v="0"/>
    <n v="0"/>
    <n v="0"/>
    <m/>
    <n v="251"/>
    <n v="463.5"/>
    <n v="463.5"/>
    <n v="0"/>
    <n v="212.5"/>
    <m/>
    <n v="22590"/>
    <n v="37782.199999999997"/>
    <n v="0"/>
    <n v="37782.199999999997"/>
    <n v="0"/>
    <n v="15192.2"/>
    <x v="2"/>
    <x v="0"/>
  </r>
  <r>
    <s v="23.8580.WCTA."/>
    <s v="Hangers and Supports - Piping"/>
    <s v="WCTA"/>
    <s v="Hangers"/>
    <s v="LAX People Mover-HVAC"/>
    <x v="1"/>
    <s v="PIPE"/>
    <m/>
    <n v="0"/>
    <n v="0"/>
    <n v="0"/>
    <n v="0"/>
    <m/>
    <n v="1623"/>
    <n v="2603"/>
    <n v="2603"/>
    <n v="0"/>
    <n v="980"/>
    <m/>
    <n v="146070"/>
    <n v="194090.93"/>
    <n v="0"/>
    <n v="194090.93"/>
    <n v="0"/>
    <n v="48020.93"/>
    <x v="2"/>
    <x v="0"/>
  </r>
  <r>
    <s v="23.8580.WITF."/>
    <s v="Hangers and Supports - Piping"/>
    <s v="WITF"/>
    <s v="Hangers"/>
    <s v="LAX People Mover-HVAC"/>
    <x v="1"/>
    <s v="PIPE"/>
    <m/>
    <n v="0"/>
    <n v="0"/>
    <n v="0"/>
    <n v="0"/>
    <m/>
    <n v="150"/>
    <n v="563"/>
    <n v="563"/>
    <n v="0"/>
    <n v="413"/>
    <m/>
    <n v="13500"/>
    <n v="43511.16"/>
    <n v="0"/>
    <n v="43511.16"/>
    <n v="0"/>
    <n v="30011.16"/>
    <x v="2"/>
    <x v="0"/>
  </r>
  <r>
    <s v="23.8600.    ."/>
    <s v="Seismic-Piping"/>
    <s v="All Other Areas"/>
    <s v="Seismic"/>
    <s v="LAX People Mover-HVAC"/>
    <x v="1"/>
    <s v="PIPE"/>
    <m/>
    <n v="0"/>
    <n v="0"/>
    <n v="0"/>
    <n v="0"/>
    <m/>
    <n v="0"/>
    <n v="16"/>
    <n v="16"/>
    <n v="0"/>
    <n v="16"/>
    <m/>
    <n v="0"/>
    <n v="1096.6199999999999"/>
    <n v="0"/>
    <n v="1096.6199999999999"/>
    <n v="0"/>
    <n v="1096.6199999999999"/>
    <x v="2"/>
    <x v="0"/>
  </r>
  <r>
    <s v="23.8600. MSF."/>
    <s v="Seismic Bracing - Piping"/>
    <s v="MSF"/>
    <s v="Seismic"/>
    <s v="LAX People Mover-HVAC"/>
    <x v="1"/>
    <s v="PIPE"/>
    <m/>
    <n v="0"/>
    <n v="0"/>
    <n v="0"/>
    <n v="0"/>
    <m/>
    <n v="22"/>
    <n v="38"/>
    <n v="38"/>
    <n v="0"/>
    <n v="16"/>
    <m/>
    <n v="1980"/>
    <n v="2560.3000000000002"/>
    <n v="0"/>
    <n v="2560.3000000000002"/>
    <n v="0"/>
    <n v="580.29999999999995"/>
    <x v="2"/>
    <x v="0"/>
  </r>
  <r>
    <s v="23.8600.CCTA."/>
    <s v="Seismic Bracing - Piping"/>
    <s v="CCTA"/>
    <s v="Seismic"/>
    <s v="LAX People Mover-HVAC"/>
    <x v="1"/>
    <s v="PIPE"/>
    <m/>
    <n v="0"/>
    <n v="0"/>
    <n v="0"/>
    <n v="0"/>
    <m/>
    <n v="45"/>
    <n v="0"/>
    <n v="0"/>
    <n v="0"/>
    <n v="-45"/>
    <m/>
    <n v="4050"/>
    <n v="0"/>
    <n v="0"/>
    <n v="0"/>
    <n v="0"/>
    <n v="-4050"/>
    <x v="2"/>
    <x v="0"/>
  </r>
  <r>
    <s v="23.8600.CRAC."/>
    <s v="Seismic Bracing - Piping"/>
    <s v="CRAC"/>
    <s v="Seismic"/>
    <s v="LAX People Mover-HVAC"/>
    <x v="1"/>
    <s v="PIPE"/>
    <m/>
    <n v="0"/>
    <n v="0"/>
    <n v="0"/>
    <n v="0"/>
    <m/>
    <n v="16"/>
    <n v="0"/>
    <n v="0"/>
    <n v="0"/>
    <n v="-16"/>
    <m/>
    <n v="1440"/>
    <n v="0"/>
    <n v="0"/>
    <n v="0"/>
    <n v="0"/>
    <n v="-1440"/>
    <x v="2"/>
    <x v="0"/>
  </r>
  <r>
    <s v="23.8600.ECTA."/>
    <s v="Seismic Bracing - Piping"/>
    <s v="ECTA"/>
    <s v="Seismic"/>
    <s v="LAX People Mover-HVAC"/>
    <x v="1"/>
    <s v="PIPE"/>
    <m/>
    <n v="0"/>
    <n v="0"/>
    <n v="0"/>
    <n v="0"/>
    <m/>
    <n v="35"/>
    <n v="0"/>
    <n v="0"/>
    <n v="0"/>
    <n v="-35"/>
    <m/>
    <n v="3150"/>
    <n v="0"/>
    <n v="0"/>
    <n v="0"/>
    <n v="0"/>
    <n v="-3150"/>
    <x v="2"/>
    <x v="0"/>
  </r>
  <r>
    <s v="23.8600.EITF."/>
    <s v="Seismic Bracing - Piping"/>
    <s v="EITF"/>
    <s v="Seismic"/>
    <s v="LAX People Mover-HVAC"/>
    <x v="1"/>
    <s v="PIPE"/>
    <m/>
    <n v="0"/>
    <n v="0"/>
    <n v="0"/>
    <n v="0"/>
    <m/>
    <n v="32"/>
    <n v="0"/>
    <n v="0"/>
    <n v="0"/>
    <n v="-32"/>
    <m/>
    <n v="2880"/>
    <n v="0"/>
    <n v="0"/>
    <n v="0"/>
    <n v="0"/>
    <n v="-2880"/>
    <x v="2"/>
    <x v="0"/>
  </r>
  <r>
    <s v="23.8600.WCTA."/>
    <s v="Seismic Bracing - Piping"/>
    <s v="WCTA"/>
    <s v="Seismic"/>
    <s v="LAX People Mover-HVAC"/>
    <x v="1"/>
    <s v="PIPE"/>
    <m/>
    <n v="0"/>
    <n v="0"/>
    <n v="0"/>
    <n v="0"/>
    <m/>
    <n v="148"/>
    <n v="132"/>
    <n v="132"/>
    <n v="0"/>
    <n v="-16"/>
    <m/>
    <n v="13320"/>
    <n v="12230.97"/>
    <n v="0"/>
    <n v="12230.97"/>
    <n v="0"/>
    <n v="-1089.03"/>
    <x v="2"/>
    <x v="0"/>
  </r>
  <r>
    <s v="23.8600.WITF."/>
    <s v="Seismic Bracing - Piping"/>
    <s v="WITF"/>
    <s v="Seismic"/>
    <s v="LAX People Mover-HVAC"/>
    <x v="1"/>
    <s v="PIPE"/>
    <m/>
    <n v="0"/>
    <n v="0"/>
    <n v="0"/>
    <n v="0"/>
    <m/>
    <n v="40"/>
    <n v="0"/>
    <n v="0"/>
    <n v="0"/>
    <n v="-40"/>
    <m/>
    <n v="3600"/>
    <n v="0"/>
    <n v="0"/>
    <n v="0"/>
    <n v="0"/>
    <n v="-3600"/>
    <x v="2"/>
    <x v="0"/>
  </r>
  <r>
    <s v="23.8700.    ."/>
    <s v="Pipe ID &amp; Valve Tags-Piping"/>
    <s v="All Other Areas"/>
    <s v="Specialties / Misc"/>
    <s v="LAX People Mover-HVAC"/>
    <x v="1"/>
    <s v="PIPE"/>
    <m/>
    <n v="0"/>
    <n v="0"/>
    <n v="0"/>
    <n v="0"/>
    <m/>
    <n v="252"/>
    <n v="288"/>
    <n v="320"/>
    <n v="32"/>
    <n v="68"/>
    <m/>
    <n v="22680"/>
    <n v="19948.560000000001"/>
    <n v="0"/>
    <n v="22264.2"/>
    <n v="2315.64"/>
    <n v="-415.8"/>
    <x v="2"/>
    <x v="0"/>
  </r>
  <r>
    <s v="23.8800.  10."/>
    <s v="Hookups/Connections-Piping"/>
    <s v="All Other Areas"/>
    <s v="Specialties / Misc"/>
    <s v="LAX People Mover-HVAC"/>
    <x v="1"/>
    <s v="PIPE"/>
    <m/>
    <n v="0"/>
    <n v="0"/>
    <n v="0"/>
    <n v="0"/>
    <m/>
    <n v="0"/>
    <n v="386"/>
    <n v="398"/>
    <n v="12"/>
    <n v="398"/>
    <m/>
    <n v="0"/>
    <n v="31363.88"/>
    <n v="0"/>
    <n v="32503.88"/>
    <n v="1140"/>
    <n v="32503.88"/>
    <x v="2"/>
    <x v="0"/>
  </r>
  <r>
    <s v="23.8850.    ."/>
    <s v="System Flush-Piping"/>
    <s v="All Other Areas"/>
    <s v="General Conditions"/>
    <s v="LAX People Mover-HVAC"/>
    <x v="1"/>
    <s v="PIPE"/>
    <m/>
    <n v="0"/>
    <n v="0"/>
    <n v="0"/>
    <n v="0"/>
    <m/>
    <n v="0"/>
    <n v="0"/>
    <n v="0"/>
    <n v="0"/>
    <n v="0"/>
    <m/>
    <n v="0"/>
    <n v="0"/>
    <n v="0"/>
    <n v="0"/>
    <n v="0"/>
    <n v="0"/>
    <x v="2"/>
    <x v="0"/>
  </r>
  <r>
    <s v="23.8850. MSF."/>
    <s v="System Flush and Cleaning - Piping"/>
    <s v="MSF"/>
    <s v="General Conditions"/>
    <s v="LAX People Mover-HVAC"/>
    <x v="1"/>
    <s v="PIPE"/>
    <m/>
    <n v="0"/>
    <n v="0"/>
    <n v="0"/>
    <n v="0"/>
    <m/>
    <n v="99"/>
    <n v="137"/>
    <n v="137"/>
    <n v="0"/>
    <n v="38"/>
    <m/>
    <n v="8910"/>
    <n v="13518.67"/>
    <n v="0"/>
    <n v="13518.67"/>
    <n v="0"/>
    <n v="4608.67"/>
    <x v="2"/>
    <x v="0"/>
  </r>
  <r>
    <s v="23.8850.CCTA."/>
    <s v="System Flush and Cleaning - Piping"/>
    <s v="CCTA"/>
    <s v="General Conditions"/>
    <s v="LAX People Mover-HVAC"/>
    <x v="1"/>
    <s v="PIPE"/>
    <m/>
    <n v="0"/>
    <n v="0"/>
    <n v="0"/>
    <n v="0"/>
    <m/>
    <n v="17"/>
    <n v="0"/>
    <n v="0"/>
    <n v="0"/>
    <n v="-17"/>
    <m/>
    <n v="1530"/>
    <n v="0"/>
    <n v="0"/>
    <n v="0"/>
    <n v="0"/>
    <n v="-1530"/>
    <x v="2"/>
    <x v="0"/>
  </r>
  <r>
    <s v="23.8850.CRAC."/>
    <s v="System Flush and Cleaning - Piping"/>
    <s v="CRAC"/>
    <s v="General Conditions"/>
    <s v="LAX People Mover-HVAC"/>
    <x v="1"/>
    <s v="PIPE"/>
    <m/>
    <n v="0"/>
    <n v="0"/>
    <n v="0"/>
    <n v="0"/>
    <m/>
    <n v="8"/>
    <n v="0"/>
    <n v="0"/>
    <n v="0"/>
    <n v="-8"/>
    <m/>
    <n v="720"/>
    <n v="0"/>
    <n v="0"/>
    <n v="0"/>
    <n v="0"/>
    <n v="-720"/>
    <x v="2"/>
    <x v="0"/>
  </r>
  <r>
    <s v="23.8850.ECTA."/>
    <s v="System Flush and Cleaning - Piping"/>
    <s v="ECTA"/>
    <s v="General Conditions"/>
    <s v="LAX People Mover-HVAC"/>
    <x v="1"/>
    <s v="PIPE"/>
    <m/>
    <n v="0"/>
    <n v="0"/>
    <n v="0"/>
    <n v="0"/>
    <m/>
    <n v="14"/>
    <n v="0"/>
    <n v="0"/>
    <n v="0"/>
    <n v="-14"/>
    <m/>
    <n v="1260"/>
    <n v="0"/>
    <n v="0"/>
    <n v="0"/>
    <n v="0"/>
    <n v="-1260"/>
    <x v="2"/>
    <x v="0"/>
  </r>
  <r>
    <s v="23.8850.EITF."/>
    <s v="System Flush and Cleaning - Piping"/>
    <s v="EITF"/>
    <s v="General Conditions"/>
    <s v="LAX People Mover-HVAC"/>
    <x v="1"/>
    <s v="PIPE"/>
    <m/>
    <n v="0"/>
    <n v="0"/>
    <n v="0"/>
    <n v="0"/>
    <m/>
    <n v="18"/>
    <n v="0"/>
    <n v="0"/>
    <n v="0"/>
    <n v="-18"/>
    <m/>
    <n v="1620"/>
    <n v="0"/>
    <n v="0"/>
    <n v="0"/>
    <n v="0"/>
    <n v="-1620"/>
    <x v="2"/>
    <x v="0"/>
  </r>
  <r>
    <s v="23.8850.WCTA."/>
    <s v="System Flush and Cleaning - Piping"/>
    <s v="WCTA"/>
    <s v="General Conditions"/>
    <s v="LAX People Mover-HVAC"/>
    <x v="1"/>
    <s v="PIPE"/>
    <m/>
    <n v="0"/>
    <n v="0"/>
    <n v="0"/>
    <n v="0"/>
    <m/>
    <n v="110"/>
    <n v="92"/>
    <n v="110"/>
    <n v="18"/>
    <n v="0"/>
    <m/>
    <n v="9900"/>
    <n v="7380.97"/>
    <n v="0"/>
    <n v="9090.9699999999993"/>
    <n v="1710"/>
    <n v="-809.03"/>
    <x v="2"/>
    <x v="0"/>
  </r>
  <r>
    <s v="23.8850.WITF."/>
    <s v="System Flush and Cleaning - Piping"/>
    <s v="WITF"/>
    <s v="General Conditions"/>
    <s v="LAX People Mover-HVAC"/>
    <x v="1"/>
    <s v="PIPE"/>
    <m/>
    <n v="0"/>
    <n v="0"/>
    <n v="0"/>
    <n v="0"/>
    <m/>
    <n v="16"/>
    <n v="0"/>
    <n v="0"/>
    <n v="0"/>
    <n v="-16"/>
    <m/>
    <n v="1440"/>
    <n v="0"/>
    <n v="0"/>
    <n v="0"/>
    <n v="0"/>
    <n v="-1440"/>
    <x v="2"/>
    <x v="0"/>
  </r>
  <r>
    <s v="23.8900.    ."/>
    <s v="Pressure Testing-Piping"/>
    <s v="All Other Areas"/>
    <s v="General Conditions"/>
    <s v="LAX People Mover-HVAC"/>
    <x v="1"/>
    <s v="PIPE"/>
    <m/>
    <n v="0"/>
    <n v="0"/>
    <n v="0"/>
    <n v="0"/>
    <m/>
    <n v="0"/>
    <n v="196"/>
    <n v="196"/>
    <n v="0"/>
    <n v="196"/>
    <m/>
    <n v="0"/>
    <n v="16833.78"/>
    <n v="0"/>
    <n v="16833.78"/>
    <n v="0"/>
    <n v="16833.78"/>
    <x v="2"/>
    <x v="0"/>
  </r>
  <r>
    <s v="23.8900. MSF."/>
    <s v="Pressure Testing - Piping"/>
    <s v="MSF"/>
    <s v="General Conditions"/>
    <s v="LAX People Mover-HVAC"/>
    <x v="1"/>
    <s v="PIPE"/>
    <m/>
    <n v="0"/>
    <n v="0"/>
    <n v="0"/>
    <n v="0"/>
    <m/>
    <n v="140"/>
    <n v="305"/>
    <n v="305"/>
    <n v="0"/>
    <n v="165"/>
    <m/>
    <n v="12600"/>
    <n v="24596.15"/>
    <n v="0"/>
    <n v="24596.15"/>
    <n v="0"/>
    <n v="11996.15"/>
    <x v="2"/>
    <x v="0"/>
  </r>
  <r>
    <s v="23.8900.CCTA."/>
    <s v="Pressure Testing - Piping"/>
    <s v="CCTA"/>
    <s v="General Conditions"/>
    <s v="LAX People Mover-HVAC"/>
    <x v="1"/>
    <s v="PIPE"/>
    <m/>
    <n v="0"/>
    <n v="0"/>
    <n v="0"/>
    <n v="0"/>
    <m/>
    <n v="24"/>
    <n v="18"/>
    <n v="18"/>
    <n v="0"/>
    <n v="-6"/>
    <m/>
    <n v="2160"/>
    <n v="1746.68"/>
    <n v="0"/>
    <n v="1746.68"/>
    <n v="0"/>
    <n v="-413.32"/>
    <x v="2"/>
    <x v="0"/>
  </r>
  <r>
    <s v="23.8900.CRAC."/>
    <s v="Pressure Testing - Piping"/>
    <s v="CRAC"/>
    <s v="General Conditions"/>
    <s v="LAX People Mover-HVAC"/>
    <x v="1"/>
    <s v="PIPE"/>
    <m/>
    <n v="0"/>
    <n v="0"/>
    <n v="0"/>
    <n v="0"/>
    <m/>
    <n v="10"/>
    <n v="38"/>
    <n v="38"/>
    <n v="0"/>
    <n v="28"/>
    <m/>
    <n v="900"/>
    <n v="2511.4499999999998"/>
    <n v="0"/>
    <n v="2511.4499999999998"/>
    <n v="0"/>
    <n v="1611.45"/>
    <x v="2"/>
    <x v="0"/>
  </r>
  <r>
    <s v="23.8900.ECTA."/>
    <s v="Pressure Testing - Piping"/>
    <s v="ECTA"/>
    <s v="General Conditions"/>
    <s v="LAX People Mover-HVAC"/>
    <x v="1"/>
    <s v="PIPE"/>
    <m/>
    <n v="0"/>
    <n v="0"/>
    <n v="0"/>
    <n v="0"/>
    <m/>
    <n v="18"/>
    <n v="16"/>
    <n v="24"/>
    <n v="8"/>
    <n v="6"/>
    <m/>
    <n v="1620"/>
    <n v="1373.47"/>
    <n v="0"/>
    <n v="2060.21"/>
    <n v="686.74"/>
    <n v="440.21"/>
    <x v="2"/>
    <x v="0"/>
  </r>
  <r>
    <s v="23.8900.EITF."/>
    <s v="Pressure Testing - Piping"/>
    <s v="EITF"/>
    <s v="General Conditions"/>
    <s v="LAX People Mover-HVAC"/>
    <x v="1"/>
    <s v="PIPE"/>
    <m/>
    <n v="0"/>
    <n v="0"/>
    <n v="0"/>
    <n v="0"/>
    <m/>
    <n v="25"/>
    <n v="24"/>
    <n v="24"/>
    <n v="0"/>
    <n v="-1"/>
    <m/>
    <n v="2250"/>
    <n v="2323.83"/>
    <n v="0"/>
    <n v="2323.83"/>
    <n v="0"/>
    <n v="73.83"/>
    <x v="2"/>
    <x v="0"/>
  </r>
  <r>
    <s v="23.8900.WCTA."/>
    <s v="Pressure Testing - Piping"/>
    <s v="WCTA"/>
    <s v="General Conditions"/>
    <s v="LAX People Mover-HVAC"/>
    <x v="1"/>
    <s v="PIPE"/>
    <m/>
    <n v="0"/>
    <n v="0"/>
    <n v="0"/>
    <n v="0"/>
    <m/>
    <n v="152"/>
    <n v="196"/>
    <n v="212"/>
    <n v="16"/>
    <n v="60"/>
    <m/>
    <n v="13680"/>
    <n v="14562.76"/>
    <n v="0"/>
    <n v="16082.76"/>
    <n v="1520"/>
    <n v="2402.7600000000002"/>
    <x v="2"/>
    <x v="0"/>
  </r>
  <r>
    <s v="23.8900.WITF."/>
    <s v="Pressure Testing - Piping"/>
    <s v="WITF"/>
    <s v="General Conditions"/>
    <s v="LAX People Mover-HVAC"/>
    <x v="1"/>
    <s v="PIPE"/>
    <m/>
    <n v="0"/>
    <n v="0"/>
    <n v="0"/>
    <n v="0"/>
    <m/>
    <n v="22"/>
    <n v="32"/>
    <n v="32"/>
    <n v="0"/>
    <n v="10"/>
    <m/>
    <n v="1980"/>
    <n v="3037.22"/>
    <n v="0"/>
    <n v="3037.22"/>
    <n v="0"/>
    <n v="1057.22"/>
    <x v="2"/>
    <x v="0"/>
  </r>
  <r>
    <s v="23.8950.    ."/>
    <s v="Commissioning-Piping"/>
    <s v="All Other Areas"/>
    <s v="General Conditions"/>
    <s v="LAX People Mover-HVAC"/>
    <x v="1"/>
    <s v="PIPE"/>
    <m/>
    <n v="0"/>
    <n v="0"/>
    <n v="0"/>
    <n v="0"/>
    <m/>
    <n v="0"/>
    <n v="0"/>
    <n v="0"/>
    <n v="0"/>
    <n v="0"/>
    <m/>
    <n v="0"/>
    <n v="0"/>
    <n v="0"/>
    <n v="0"/>
    <n v="0"/>
    <n v="0"/>
    <x v="2"/>
    <x v="0"/>
  </r>
  <r>
    <s v="23.8960.    ."/>
    <s v="Cleanup-Piping"/>
    <s v="All Other Areas"/>
    <s v="General Conditions"/>
    <s v="LAX People Mover-HVAC"/>
    <x v="1"/>
    <s v="PIPE"/>
    <m/>
    <n v="0"/>
    <n v="0"/>
    <n v="0"/>
    <n v="0"/>
    <m/>
    <n v="873"/>
    <n v="554"/>
    <n v="578"/>
    <n v="24"/>
    <n v="-295"/>
    <m/>
    <n v="78570"/>
    <n v="43816.06"/>
    <n v="0"/>
    <n v="46096.06"/>
    <n v="2280"/>
    <n v="-32473.94"/>
    <x v="2"/>
    <x v="0"/>
  </r>
  <r>
    <s v="23.8970.    ."/>
    <s v="Punch List - Piping"/>
    <s v="All Other Areas"/>
    <s v="General Conditions"/>
    <s v="LAX People Mover-HVAC"/>
    <x v="1"/>
    <s v="PIPE"/>
    <m/>
    <n v="0"/>
    <n v="0"/>
    <n v="0"/>
    <n v="0"/>
    <m/>
    <n v="223"/>
    <n v="296"/>
    <n v="376"/>
    <n v="80"/>
    <n v="153"/>
    <m/>
    <n v="20070"/>
    <n v="22081.34"/>
    <n v="0"/>
    <n v="30081.34"/>
    <n v="8000"/>
    <n v="10011.34"/>
    <x v="2"/>
    <x v="0"/>
  </r>
  <r>
    <s v="23.8980.    ."/>
    <s v="Material Handling-Piping"/>
    <s v="All Other Areas"/>
    <s v="General Conditions"/>
    <s v="LAX People Mover-HVAC"/>
    <x v="1"/>
    <s v="PIPE"/>
    <m/>
    <n v="0"/>
    <n v="0"/>
    <n v="0"/>
    <n v="0"/>
    <m/>
    <n v="349"/>
    <n v="1056.5"/>
    <n v="1056.5"/>
    <n v="0"/>
    <n v="707.5"/>
    <m/>
    <n v="31410"/>
    <n v="74772.94"/>
    <n v="0"/>
    <n v="74772.94"/>
    <n v="0"/>
    <n v="43362.94"/>
    <x v="2"/>
    <x v="0"/>
  </r>
  <r>
    <s v="23.8990. MSF."/>
    <s v="Project Specific Code - Piping - Crane Pick"/>
    <s v="MSF"/>
    <s v="Project Specific"/>
    <s v="LAX People Mover-HVAC"/>
    <x v="1"/>
    <s v="PIPE"/>
    <m/>
    <n v="0"/>
    <n v="0"/>
    <n v="0"/>
    <n v="0"/>
    <m/>
    <n v="240"/>
    <n v="141"/>
    <n v="141"/>
    <n v="0"/>
    <n v="-99"/>
    <m/>
    <n v="21600"/>
    <n v="12089.27"/>
    <n v="0"/>
    <n v="12089.27"/>
    <n v="0"/>
    <n v="-9510.73"/>
    <x v="2"/>
    <x v="0"/>
  </r>
  <r>
    <s v="23.8990.CCTA."/>
    <s v="Project Specific Code - Piping - Crane Pick"/>
    <s v="CCTA"/>
    <s v="Project Specific"/>
    <s v="LAX People Mover-HVAC"/>
    <x v="1"/>
    <s v="PIPE"/>
    <m/>
    <n v="0"/>
    <n v="0"/>
    <n v="0"/>
    <n v="0"/>
    <m/>
    <n v="60"/>
    <n v="36"/>
    <n v="36"/>
    <n v="0"/>
    <n v="-24"/>
    <m/>
    <n v="5400"/>
    <n v="2196.96"/>
    <n v="0"/>
    <n v="2196.96"/>
    <n v="0"/>
    <n v="-3203.04"/>
    <x v="2"/>
    <x v="0"/>
  </r>
  <r>
    <s v="23.8990.ECTA."/>
    <s v="Project Specific Code - Piping - Crane Pick"/>
    <s v="ECTA"/>
    <s v="Project Specific"/>
    <s v="LAX People Mover-HVAC"/>
    <x v="1"/>
    <s v="PIPE"/>
    <m/>
    <n v="0"/>
    <n v="0"/>
    <n v="0"/>
    <n v="0"/>
    <m/>
    <n v="40"/>
    <n v="0"/>
    <n v="0"/>
    <n v="0"/>
    <n v="-40"/>
    <m/>
    <n v="3600"/>
    <n v="0"/>
    <n v="0"/>
    <n v="0"/>
    <n v="0"/>
    <n v="-3600"/>
    <x v="2"/>
    <x v="0"/>
  </r>
  <r>
    <s v="23.8990.EITF."/>
    <s v="Project Specific Code - Piping - Crane Pick"/>
    <s v="EITF"/>
    <s v="Project Specific"/>
    <s v="LAX People Mover-HVAC"/>
    <x v="1"/>
    <s v="PIPE"/>
    <m/>
    <n v="0"/>
    <n v="0"/>
    <n v="0"/>
    <n v="0"/>
    <m/>
    <n v="40"/>
    <n v="0"/>
    <n v="0"/>
    <n v="0"/>
    <n v="-40"/>
    <m/>
    <n v="3600"/>
    <n v="0"/>
    <n v="0"/>
    <n v="0"/>
    <n v="0"/>
    <n v="-3600"/>
    <x v="2"/>
    <x v="0"/>
  </r>
  <r>
    <s v="23.8990.TPS1."/>
    <s v="Project Specific Code - Piping - Crane Pick"/>
    <s v="TPS1"/>
    <s v="Project Specific"/>
    <s v="LAX People Mover-HVAC"/>
    <x v="1"/>
    <s v="PIPE"/>
    <m/>
    <n v="0"/>
    <n v="0"/>
    <n v="0"/>
    <n v="0"/>
    <m/>
    <n v="20"/>
    <n v="0"/>
    <n v="0"/>
    <n v="0"/>
    <n v="-20"/>
    <m/>
    <n v="1800"/>
    <n v="0"/>
    <n v="0"/>
    <n v="0"/>
    <n v="0"/>
    <n v="-1800"/>
    <x v="2"/>
    <x v="0"/>
  </r>
  <r>
    <s v="23.8990.TPS3."/>
    <s v="Project Specific Code - Piping - Crane Pick"/>
    <s v="TPS3"/>
    <s v="Project Specific"/>
    <s v="LAX People Mover-HVAC"/>
    <x v="1"/>
    <s v="PIPE"/>
    <m/>
    <n v="0"/>
    <n v="0"/>
    <n v="0"/>
    <n v="0"/>
    <m/>
    <n v="20"/>
    <n v="0"/>
    <n v="0"/>
    <n v="0"/>
    <n v="-20"/>
    <m/>
    <n v="1800"/>
    <n v="0"/>
    <n v="0"/>
    <n v="0"/>
    <n v="0"/>
    <n v="-1800"/>
    <x v="2"/>
    <x v="0"/>
  </r>
  <r>
    <s v="23.8990.WCTA."/>
    <s v="Project Specific Code - Piping - Crane Pick"/>
    <s v="WCTA"/>
    <s v="Project Specific"/>
    <s v="LAX People Mover-HVAC"/>
    <x v="1"/>
    <s v="PIPE"/>
    <m/>
    <n v="0"/>
    <n v="0"/>
    <n v="0"/>
    <n v="0"/>
    <m/>
    <n v="300"/>
    <n v="141"/>
    <n v="141"/>
    <n v="0"/>
    <n v="-159"/>
    <m/>
    <n v="27000"/>
    <n v="9683.68"/>
    <n v="0"/>
    <n v="9683.68"/>
    <n v="0"/>
    <n v="-17316.32"/>
    <x v="2"/>
    <x v="0"/>
  </r>
  <r>
    <s v="24.0054.    .  "/>
    <s v="Detailing 3D/BIM - Sheetmetal"/>
    <s v="DETAILING"/>
    <s v="Detailing"/>
    <s v="LAX People Mover-HVAC"/>
    <x v="1"/>
    <s v="HVAC"/>
    <m/>
    <n v="0"/>
    <n v="0"/>
    <n v="0"/>
    <n v="0"/>
    <m/>
    <n v="530"/>
    <n v="1331"/>
    <n v="1385"/>
    <n v="54"/>
    <n v="855"/>
    <m/>
    <n v="57833.599999999999"/>
    <n v="134654.07999999999"/>
    <n v="0"/>
    <n v="140089.22"/>
    <n v="5435.14"/>
    <n v="82255.62"/>
    <x v="1"/>
    <x v="0"/>
  </r>
  <r>
    <s v="24.0054. MSF."/>
    <s v="Detailing 3D/BIM - Sheetmetal"/>
    <s v="MSF"/>
    <s v="Detailing"/>
    <s v="LAX People Mover-HVAC"/>
    <x v="1"/>
    <s v="HVAC"/>
    <m/>
    <n v="0"/>
    <n v="0"/>
    <n v="0"/>
    <n v="0"/>
    <m/>
    <n v="873"/>
    <n v="1632"/>
    <n v="1632"/>
    <n v="0"/>
    <n v="759"/>
    <m/>
    <n v="78570"/>
    <n v="164914.66"/>
    <n v="0"/>
    <n v="164914.66"/>
    <n v="0"/>
    <n v="86344.66"/>
    <x v="1"/>
    <x v="0"/>
  </r>
  <r>
    <s v="24.0054. P2A."/>
    <s v="Detailing 3D/BIM - Sheetmetal"/>
    <s v="P2A"/>
    <s v="Detailing"/>
    <s v="LAX People Mover-HVAC"/>
    <x v="1"/>
    <s v="HVAC"/>
    <m/>
    <n v="0"/>
    <n v="0"/>
    <n v="0"/>
    <n v="0"/>
    <m/>
    <n v="10"/>
    <n v="0"/>
    <n v="0"/>
    <n v="0"/>
    <n v="-10"/>
    <m/>
    <n v="900"/>
    <n v="0"/>
    <n v="0"/>
    <n v="0"/>
    <n v="0"/>
    <n v="-900"/>
    <x v="1"/>
    <x v="0"/>
  </r>
  <r>
    <s v="24.0054.CCTA."/>
    <s v="Detailing 3D/BIM - Sheetmetal"/>
    <s v="CCTA"/>
    <s v="Detailing"/>
    <s v="LAX People Mover-HVAC"/>
    <x v="1"/>
    <s v="HVAC"/>
    <m/>
    <n v="0"/>
    <n v="0"/>
    <n v="0"/>
    <n v="0"/>
    <m/>
    <n v="210"/>
    <n v="0"/>
    <n v="0"/>
    <n v="0"/>
    <n v="-210"/>
    <m/>
    <n v="18900"/>
    <n v="0"/>
    <n v="0"/>
    <n v="0"/>
    <n v="0"/>
    <n v="-18900"/>
    <x v="1"/>
    <x v="0"/>
  </r>
  <r>
    <s v="24.0054.CRAC."/>
    <s v="Detailing 3D/BIM - Sheetmetal"/>
    <s v="CRAC"/>
    <s v="Detailing"/>
    <s v="LAX People Mover-HVAC"/>
    <x v="1"/>
    <s v="HVAC"/>
    <m/>
    <n v="0"/>
    <n v="0"/>
    <n v="0"/>
    <n v="0"/>
    <m/>
    <n v="35"/>
    <n v="0"/>
    <n v="0"/>
    <n v="0"/>
    <n v="-35"/>
    <m/>
    <n v="3150"/>
    <n v="0"/>
    <n v="0"/>
    <n v="0"/>
    <n v="0"/>
    <n v="-3150"/>
    <x v="1"/>
    <x v="0"/>
  </r>
  <r>
    <s v="24.0054.ECTA."/>
    <s v="Detailing 3D/BIM - Sheetmetal"/>
    <s v="ECTA"/>
    <s v="Detailing"/>
    <s v="LAX People Mover-HVAC"/>
    <x v="1"/>
    <s v="HVAC"/>
    <m/>
    <n v="0"/>
    <n v="0"/>
    <n v="0"/>
    <n v="0"/>
    <m/>
    <n v="90"/>
    <n v="70"/>
    <n v="70"/>
    <n v="0"/>
    <n v="-20"/>
    <m/>
    <n v="8100"/>
    <n v="6918.51"/>
    <n v="0"/>
    <n v="6918.51"/>
    <n v="0"/>
    <n v="-1181.49"/>
    <x v="1"/>
    <x v="0"/>
  </r>
  <r>
    <s v="24.0054.EITF."/>
    <s v="Detailing 3D/BIM - Sheetmetal"/>
    <s v="EITF"/>
    <s v="Detailing"/>
    <s v="LAX People Mover-HVAC"/>
    <x v="1"/>
    <s v="HVAC"/>
    <m/>
    <n v="0"/>
    <n v="0"/>
    <n v="0"/>
    <n v="0"/>
    <m/>
    <n v="86"/>
    <n v="0"/>
    <n v="0"/>
    <n v="0"/>
    <n v="-86"/>
    <m/>
    <n v="7740"/>
    <n v="0"/>
    <n v="0"/>
    <n v="0"/>
    <n v="0"/>
    <n v="-7740"/>
    <x v="1"/>
    <x v="0"/>
  </r>
  <r>
    <s v="24.0054.TPS1."/>
    <s v="Detailing 3D/BIM - Sheetmetal"/>
    <s v="TPS1"/>
    <s v="Detailing"/>
    <s v="LAX People Mover-HVAC"/>
    <x v="1"/>
    <s v="HVAC"/>
    <m/>
    <n v="0"/>
    <n v="0"/>
    <n v="0"/>
    <n v="0"/>
    <m/>
    <n v="8"/>
    <n v="19.5"/>
    <n v="19.5"/>
    <n v="0"/>
    <n v="11.5"/>
    <m/>
    <n v="720"/>
    <n v="1921.53"/>
    <n v="0"/>
    <n v="1921.53"/>
    <n v="0"/>
    <n v="1201.53"/>
    <x v="1"/>
    <x v="0"/>
  </r>
  <r>
    <s v="24.0054.TPS3."/>
    <s v="Detailing 3D/BIM - Sheetmetal"/>
    <s v="TPS3"/>
    <s v="Detailing"/>
    <s v="LAX People Mover-HVAC"/>
    <x v="1"/>
    <s v="HVAC"/>
    <m/>
    <n v="0"/>
    <n v="0"/>
    <n v="0"/>
    <n v="0"/>
    <m/>
    <n v="8"/>
    <n v="10"/>
    <n v="10"/>
    <n v="0"/>
    <n v="2"/>
    <m/>
    <n v="720"/>
    <n v="934.39"/>
    <n v="0"/>
    <n v="934.39"/>
    <n v="0"/>
    <n v="214.39"/>
    <x v="1"/>
    <x v="0"/>
  </r>
  <r>
    <s v="24.0054.WCTA."/>
    <s v="Detailing 3D/BIM - Sheetmetal"/>
    <s v="WCTA"/>
    <s v="Detailing"/>
    <s v="LAX People Mover-HVAC"/>
    <x v="1"/>
    <s v="HVAC"/>
    <m/>
    <n v="0"/>
    <n v="0"/>
    <n v="0"/>
    <n v="0"/>
    <m/>
    <n v="400"/>
    <n v="185.5"/>
    <n v="185.5"/>
    <n v="0"/>
    <n v="-214.5"/>
    <m/>
    <n v="36000"/>
    <n v="17957.849999999999"/>
    <n v="0"/>
    <n v="17957.849999999999"/>
    <n v="0"/>
    <n v="-18042.150000000001"/>
    <x v="1"/>
    <x v="0"/>
  </r>
  <r>
    <s v="24.0054.WITF."/>
    <s v="Detailing 3D/BIM - Sheetmetal"/>
    <s v="WITF"/>
    <s v="Detailing"/>
    <s v="LAX People Mover-HVAC"/>
    <x v="1"/>
    <s v="HVAC"/>
    <m/>
    <n v="0"/>
    <n v="0"/>
    <n v="0"/>
    <n v="0"/>
    <m/>
    <n v="182"/>
    <n v="101.5"/>
    <n v="101.5"/>
    <n v="0"/>
    <n v="-80.5"/>
    <m/>
    <n v="16380"/>
    <n v="10037.950000000001"/>
    <n v="0"/>
    <n v="10037.950000000001"/>
    <n v="0"/>
    <n v="-6342.05"/>
    <x v="1"/>
    <x v="0"/>
  </r>
  <r>
    <s v="24.9010.    ."/>
    <s v="General Foreman - Sheetmetal"/>
    <s v="All Other Areas"/>
    <s v="Field Supervision"/>
    <s v="LAX People Mover-HVAC"/>
    <x v="1"/>
    <s v="HVAC"/>
    <m/>
    <n v="0"/>
    <n v="0"/>
    <n v="0"/>
    <n v="0"/>
    <m/>
    <n v="2380"/>
    <n v="3418.5"/>
    <n v="3418.5"/>
    <n v="0"/>
    <n v="1038.5"/>
    <m/>
    <n v="216934.48"/>
    <n v="364825.46"/>
    <n v="0"/>
    <n v="364825.46"/>
    <n v="0"/>
    <n v="147890.98000000001"/>
    <x v="1"/>
    <x v="0"/>
  </r>
  <r>
    <s v="24.9100. MSF."/>
    <s v="Hangers and Supports - Sheetmetal"/>
    <s v="MSF"/>
    <s v="Hangers"/>
    <s v="LAX People Mover-HVAC"/>
    <x v="1"/>
    <s v="HVAC"/>
    <m/>
    <n v="0"/>
    <n v="0"/>
    <n v="0"/>
    <n v="0"/>
    <m/>
    <n v="558"/>
    <n v="1433"/>
    <n v="1433"/>
    <n v="0"/>
    <n v="875"/>
    <m/>
    <n v="50220"/>
    <n v="115438.39999999999"/>
    <n v="0"/>
    <n v="115438.39999999999"/>
    <n v="0"/>
    <n v="65218.400000000001"/>
    <x v="1"/>
    <x v="0"/>
  </r>
  <r>
    <s v="24.9100.CCTA."/>
    <s v="Hangers and Supports - Sheetmetal"/>
    <s v="CCTA"/>
    <s v="Hangers"/>
    <s v="LAX People Mover-HVAC"/>
    <x v="1"/>
    <s v="HVAC"/>
    <m/>
    <n v="0"/>
    <n v="0"/>
    <n v="0"/>
    <n v="0"/>
    <m/>
    <n v="16"/>
    <n v="364"/>
    <n v="364"/>
    <n v="0"/>
    <n v="348"/>
    <m/>
    <n v="1440"/>
    <n v="30266.85"/>
    <n v="0"/>
    <n v="30266.85"/>
    <n v="0"/>
    <n v="28826.85"/>
    <x v="1"/>
    <x v="0"/>
  </r>
  <r>
    <s v="24.9100.CRAC."/>
    <s v="Hangers and Supports - Sheetmetal"/>
    <s v="CRAC"/>
    <s v="Hangers"/>
    <s v="LAX People Mover-HVAC"/>
    <x v="1"/>
    <s v="HVAC"/>
    <m/>
    <n v="0"/>
    <n v="0"/>
    <n v="0"/>
    <n v="0"/>
    <m/>
    <n v="15"/>
    <n v="73"/>
    <n v="73"/>
    <n v="0"/>
    <n v="58"/>
    <m/>
    <n v="1350"/>
    <n v="6531.97"/>
    <n v="0"/>
    <n v="6531.97"/>
    <n v="0"/>
    <n v="5181.97"/>
    <x v="1"/>
    <x v="0"/>
  </r>
  <r>
    <s v="24.9100.ECTA."/>
    <s v="Hangers and Supports - Sheetmetal"/>
    <s v="ECTA"/>
    <s v="Hangers"/>
    <s v="LAX People Mover-HVAC"/>
    <x v="1"/>
    <s v="HVAC"/>
    <m/>
    <n v="0"/>
    <n v="0"/>
    <n v="0"/>
    <n v="0"/>
    <m/>
    <n v="10"/>
    <n v="327"/>
    <n v="327"/>
    <n v="0"/>
    <n v="317"/>
    <m/>
    <n v="900"/>
    <n v="24283.54"/>
    <n v="0"/>
    <n v="24283.54"/>
    <n v="0"/>
    <n v="23383.54"/>
    <x v="1"/>
    <x v="0"/>
  </r>
  <r>
    <s v="24.9100.EITF."/>
    <s v="Hangers and Supports - Sheetmetal"/>
    <s v="EITF"/>
    <s v="Hangers"/>
    <s v="LAX People Mover-HVAC"/>
    <x v="1"/>
    <s v="HVAC"/>
    <m/>
    <n v="0"/>
    <n v="0"/>
    <n v="0"/>
    <n v="0"/>
    <m/>
    <n v="80"/>
    <n v="279"/>
    <n v="279"/>
    <n v="0"/>
    <n v="199"/>
    <m/>
    <n v="7200"/>
    <n v="26145.99"/>
    <n v="0"/>
    <n v="26145.99"/>
    <n v="0"/>
    <n v="18945.990000000002"/>
    <x v="1"/>
    <x v="0"/>
  </r>
  <r>
    <s v="24.9100.WCTA."/>
    <s v="Hangers and Supports - Sheetmetal"/>
    <s v="WCTA"/>
    <s v="Hangers"/>
    <s v="LAX People Mover-HVAC"/>
    <x v="1"/>
    <s v="HVAC"/>
    <m/>
    <n v="0"/>
    <n v="0"/>
    <n v="0"/>
    <n v="0"/>
    <m/>
    <n v="1019"/>
    <n v="1479"/>
    <n v="1479"/>
    <n v="0"/>
    <n v="460"/>
    <m/>
    <n v="91710"/>
    <n v="119746.22"/>
    <n v="0"/>
    <n v="119746.22"/>
    <n v="0"/>
    <n v="28036.22"/>
    <x v="1"/>
    <x v="0"/>
  </r>
  <r>
    <s v="24.9100.WITF."/>
    <s v="Hangers and Supports - Sheetmetal"/>
    <s v="WITF"/>
    <s v="Hangers"/>
    <s v="LAX People Mover-HVAC"/>
    <x v="1"/>
    <s v="HVAC"/>
    <m/>
    <n v="0"/>
    <n v="0"/>
    <n v="0"/>
    <n v="0"/>
    <m/>
    <n v="18"/>
    <n v="366"/>
    <n v="366"/>
    <n v="0"/>
    <n v="348"/>
    <m/>
    <n v="1620"/>
    <n v="29483.439999999999"/>
    <n v="0"/>
    <n v="29483.439999999999"/>
    <n v="0"/>
    <n v="27863.439999999999"/>
    <x v="1"/>
    <x v="0"/>
  </r>
  <r>
    <s v="24.9300. MSF."/>
    <s v="Rectangular MP Duct - Sheetmetal"/>
    <s v="MSF"/>
    <s v="Sheet Metal"/>
    <s v="LAX People Mover-HVAC"/>
    <x v="1"/>
    <s v="HVAC"/>
    <m/>
    <n v="0"/>
    <n v="0"/>
    <n v="0"/>
    <n v="0"/>
    <m/>
    <n v="4141"/>
    <n v="7050.5"/>
    <n v="7048.5"/>
    <n v="-2"/>
    <n v="2907.5"/>
    <m/>
    <n v="372372.36"/>
    <n v="584089.64"/>
    <n v="0"/>
    <n v="583885.80000000005"/>
    <n v="-203.84"/>
    <n v="211513.44"/>
    <x v="1"/>
    <x v="0"/>
  </r>
  <r>
    <s v="24.9300. P2A."/>
    <s v="Rectangular MP Duct - Sheetmetal"/>
    <s v="P2A"/>
    <s v="Sheet Metal"/>
    <s v="LAX People Mover-HVAC"/>
    <x v="1"/>
    <s v="HVAC"/>
    <m/>
    <n v="0"/>
    <n v="0"/>
    <n v="0"/>
    <n v="0"/>
    <m/>
    <n v="18"/>
    <n v="233"/>
    <n v="231"/>
    <n v="-2"/>
    <n v="213"/>
    <m/>
    <n v="1620"/>
    <n v="22765.01"/>
    <n v="0"/>
    <n v="22539.42"/>
    <n v="-225.59"/>
    <n v="20919.419999999998"/>
    <x v="1"/>
    <x v="0"/>
  </r>
  <r>
    <s v="24.9300.CCTA."/>
    <s v="Rectangular MP Duct - Sheetmetal"/>
    <s v="CCTA"/>
    <s v="Sheet Metal"/>
    <s v="LAX People Mover-HVAC"/>
    <x v="1"/>
    <s v="HVAC"/>
    <m/>
    <n v="0"/>
    <n v="0"/>
    <n v="0"/>
    <n v="0"/>
    <m/>
    <n v="940"/>
    <n v="883"/>
    <n v="883"/>
    <n v="0"/>
    <n v="-57"/>
    <m/>
    <n v="84600"/>
    <n v="67002.62"/>
    <n v="0"/>
    <n v="67002.62"/>
    <n v="0"/>
    <n v="-17597.38"/>
    <x v="1"/>
    <x v="0"/>
  </r>
  <r>
    <s v="24.9300.CRAC."/>
    <s v="Rectangular MP Duct - Sheetmetal"/>
    <s v="CRAC"/>
    <s v="Sheet Metal"/>
    <s v="LAX People Mover-HVAC"/>
    <x v="1"/>
    <s v="HVAC"/>
    <m/>
    <n v="0"/>
    <n v="0"/>
    <n v="0"/>
    <n v="0"/>
    <m/>
    <n v="176"/>
    <n v="252"/>
    <n v="252"/>
    <n v="0"/>
    <n v="76"/>
    <m/>
    <n v="15840"/>
    <n v="19791.18"/>
    <n v="0"/>
    <n v="19791.18"/>
    <n v="0"/>
    <n v="3951.18"/>
    <x v="1"/>
    <x v="0"/>
  </r>
  <r>
    <s v="24.9300.ECTA."/>
    <s v="Rectangular MP Duct - Sheetmetal"/>
    <s v="ECTA"/>
    <s v="Sheet Metal"/>
    <s v="LAX People Mover-HVAC"/>
    <x v="1"/>
    <s v="HVAC"/>
    <m/>
    <n v="0"/>
    <n v="0"/>
    <n v="0"/>
    <n v="0"/>
    <m/>
    <n v="1403"/>
    <n v="875"/>
    <n v="875"/>
    <n v="0"/>
    <n v="-528"/>
    <m/>
    <n v="126270"/>
    <n v="71636.08"/>
    <n v="0"/>
    <n v="71636.08"/>
    <n v="0"/>
    <n v="-54633.919999999998"/>
    <x v="1"/>
    <x v="0"/>
  </r>
  <r>
    <s v="24.9300.EITF."/>
    <s v="Rectangular MP Duct - Sheetmetal"/>
    <s v="EITF"/>
    <s v="Sheet Metal"/>
    <s v="LAX People Mover-HVAC"/>
    <x v="1"/>
    <s v="HVAC"/>
    <m/>
    <n v="0"/>
    <n v="0"/>
    <n v="0"/>
    <n v="0"/>
    <m/>
    <n v="1342"/>
    <n v="513.5"/>
    <n v="513.5"/>
    <n v="0"/>
    <n v="-828.5"/>
    <m/>
    <n v="120780"/>
    <n v="41278.71"/>
    <n v="0"/>
    <n v="41278.71"/>
    <n v="0"/>
    <n v="-79501.289999999994"/>
    <x v="1"/>
    <x v="0"/>
  </r>
  <r>
    <s v="24.9300.TPS1."/>
    <s v="Rectangular MP Duct - Sheetmetal"/>
    <s v="TPS1"/>
    <s v="Sheet Metal"/>
    <s v="LAX People Mover-HVAC"/>
    <x v="1"/>
    <s v="HVAC"/>
    <m/>
    <n v="0"/>
    <n v="0"/>
    <n v="0"/>
    <n v="0"/>
    <m/>
    <n v="72"/>
    <n v="54"/>
    <n v="54"/>
    <n v="0"/>
    <n v="-18"/>
    <m/>
    <n v="6480"/>
    <n v="4646.3999999999996"/>
    <n v="0"/>
    <n v="4646.3999999999996"/>
    <n v="0"/>
    <n v="-1833.6"/>
    <x v="1"/>
    <x v="0"/>
  </r>
  <r>
    <s v="24.9300.TPS3."/>
    <s v="Rectangular MP Duct - Sheetmetal"/>
    <s v="TPS3"/>
    <s v="Sheet Metal"/>
    <s v="LAX People Mover-HVAC"/>
    <x v="1"/>
    <s v="HVAC"/>
    <m/>
    <n v="0"/>
    <n v="0"/>
    <n v="0"/>
    <n v="0"/>
    <m/>
    <n v="78"/>
    <n v="72"/>
    <n v="72"/>
    <n v="0"/>
    <n v="-6"/>
    <m/>
    <n v="7020"/>
    <n v="6634.53"/>
    <n v="0"/>
    <n v="6634.53"/>
    <n v="0"/>
    <n v="-385.47"/>
    <x v="1"/>
    <x v="0"/>
  </r>
  <r>
    <s v="24.9300.WCTA."/>
    <s v="Rectangular MP Duct - Sheetmetal"/>
    <s v="WCTA"/>
    <s v="Sheet Metal"/>
    <s v="LAX People Mover-HVAC"/>
    <x v="1"/>
    <s v="HVAC"/>
    <m/>
    <n v="0"/>
    <n v="0"/>
    <n v="0"/>
    <n v="0"/>
    <m/>
    <n v="1064"/>
    <n v="3219.5"/>
    <n v="3214.5"/>
    <n v="-5"/>
    <n v="2150.5"/>
    <m/>
    <n v="95760"/>
    <n v="270168.03000000003"/>
    <n v="0"/>
    <n v="269768.88"/>
    <n v="-399.15"/>
    <n v="174008.88"/>
    <x v="1"/>
    <x v="0"/>
  </r>
  <r>
    <s v="24.9300.WITF."/>
    <s v="Rectangular MP Duct - Sheetmetal"/>
    <s v="WITF"/>
    <s v="Sheet Metal"/>
    <s v="LAX People Mover-HVAC"/>
    <x v="1"/>
    <s v="HVAC"/>
    <m/>
    <n v="0"/>
    <n v="0"/>
    <n v="0"/>
    <n v="0"/>
    <m/>
    <n v="1000"/>
    <n v="642.5"/>
    <n v="642.5"/>
    <n v="0"/>
    <n v="-357.5"/>
    <m/>
    <n v="90000"/>
    <n v="53880.35"/>
    <n v="0"/>
    <n v="53880.35"/>
    <n v="0"/>
    <n v="-36119.65"/>
    <x v="1"/>
    <x v="0"/>
  </r>
  <r>
    <s v="24.9600. MSF."/>
    <s v="Seismic Bracing - Sheetmetal"/>
    <s v="MSF"/>
    <s v="Seismic"/>
    <s v="LAX People Mover-HVAC"/>
    <x v="1"/>
    <s v="HVAC"/>
    <m/>
    <n v="0"/>
    <n v="0"/>
    <n v="0"/>
    <n v="0"/>
    <m/>
    <n v="235"/>
    <n v="406"/>
    <n v="406"/>
    <n v="0"/>
    <n v="171"/>
    <m/>
    <n v="21150"/>
    <n v="33642.04"/>
    <n v="0"/>
    <n v="33642.04"/>
    <n v="0"/>
    <n v="12492.04"/>
    <x v="1"/>
    <x v="0"/>
  </r>
  <r>
    <s v="24.9600.CCTA."/>
    <s v="Seismic Bracing - Sheetmetal"/>
    <s v="CCTA"/>
    <s v="Seismic"/>
    <s v="LAX People Mover-HVAC"/>
    <x v="1"/>
    <s v="HVAC"/>
    <m/>
    <n v="0"/>
    <n v="0"/>
    <n v="0"/>
    <n v="0"/>
    <m/>
    <n v="18"/>
    <n v="12"/>
    <n v="12"/>
    <n v="0"/>
    <n v="-6"/>
    <m/>
    <n v="1620"/>
    <n v="791.24"/>
    <n v="0"/>
    <n v="791.24"/>
    <n v="0"/>
    <n v="-828.76"/>
    <x v="1"/>
    <x v="0"/>
  </r>
  <r>
    <s v="24.9600.CRAC."/>
    <s v="Seismic Bracing - Sheetmetal"/>
    <s v="CRAC"/>
    <s v="Seismic"/>
    <s v="LAX People Mover-HVAC"/>
    <x v="1"/>
    <s v="HVAC"/>
    <m/>
    <n v="0"/>
    <n v="0"/>
    <n v="0"/>
    <n v="0"/>
    <m/>
    <n v="12"/>
    <n v="32"/>
    <n v="32"/>
    <n v="0"/>
    <n v="20"/>
    <m/>
    <n v="1080"/>
    <n v="2547.9899999999998"/>
    <n v="0"/>
    <n v="2547.9899999999998"/>
    <n v="0"/>
    <n v="1467.99"/>
    <x v="1"/>
    <x v="0"/>
  </r>
  <r>
    <s v="24.9600.ECTA."/>
    <s v="Seismic Bracing - Sheetmetal"/>
    <s v="ECTA"/>
    <s v="Seismic"/>
    <s v="LAX People Mover-HVAC"/>
    <x v="1"/>
    <s v="HVAC"/>
    <m/>
    <n v="0"/>
    <n v="0"/>
    <n v="0"/>
    <n v="0"/>
    <m/>
    <n v="22"/>
    <n v="14"/>
    <n v="14"/>
    <n v="0"/>
    <n v="-8"/>
    <m/>
    <n v="1980"/>
    <n v="1082.26"/>
    <n v="0"/>
    <n v="1082.26"/>
    <n v="0"/>
    <n v="-897.74"/>
    <x v="1"/>
    <x v="0"/>
  </r>
  <r>
    <s v="24.9600.EITF."/>
    <s v="Seismic Bracing - Sheetmetal"/>
    <s v="EITF"/>
    <s v="Seismic"/>
    <s v="LAX People Mover-HVAC"/>
    <x v="1"/>
    <s v="HVAC"/>
    <m/>
    <n v="0"/>
    <n v="0"/>
    <n v="0"/>
    <n v="0"/>
    <m/>
    <n v="28"/>
    <n v="32"/>
    <n v="32"/>
    <n v="0"/>
    <n v="4"/>
    <m/>
    <n v="2520"/>
    <n v="2416.9699999999998"/>
    <n v="0"/>
    <n v="2416.9699999999998"/>
    <n v="0"/>
    <n v="-103.03"/>
    <x v="1"/>
    <x v="0"/>
  </r>
  <r>
    <s v="24.9600.WCTA."/>
    <s v="Seismic Bracing - Sheetmetal"/>
    <s v="WCTA"/>
    <s v="Seismic"/>
    <s v="LAX People Mover-HVAC"/>
    <x v="1"/>
    <s v="HVAC"/>
    <m/>
    <n v="0"/>
    <n v="0"/>
    <n v="0"/>
    <n v="0"/>
    <m/>
    <n v="100"/>
    <n v="161.5"/>
    <n v="161.5"/>
    <n v="0"/>
    <n v="61.5"/>
    <m/>
    <n v="9000"/>
    <n v="12452.39"/>
    <n v="0"/>
    <n v="12452.39"/>
    <n v="0"/>
    <n v="3452.39"/>
    <x v="1"/>
    <x v="0"/>
  </r>
  <r>
    <s v="24.9600.WITF."/>
    <s v="Seismic Bracing - Sheetmetal"/>
    <s v="WITF"/>
    <s v="Seismic"/>
    <s v="LAX People Mover-HVAC"/>
    <x v="1"/>
    <s v="HVAC"/>
    <m/>
    <n v="0"/>
    <n v="0"/>
    <n v="0"/>
    <n v="0"/>
    <m/>
    <n v="30"/>
    <n v="24"/>
    <n v="24"/>
    <n v="0"/>
    <n v="-6"/>
    <m/>
    <n v="2700"/>
    <n v="1874.87"/>
    <n v="0"/>
    <n v="1874.87"/>
    <n v="0"/>
    <n v="-825.13"/>
    <x v="1"/>
    <x v="0"/>
  </r>
  <r>
    <s v="24.9700.    ."/>
    <s v="Duct, Damper and System ID Tags - Sheetmetal"/>
    <s v="All Other Areas"/>
    <s v="Specialties / Misc"/>
    <s v="LAX People Mover-HVAC"/>
    <x v="1"/>
    <s v="HVAC"/>
    <m/>
    <n v="0"/>
    <n v="0"/>
    <n v="0"/>
    <n v="0"/>
    <m/>
    <n v="141"/>
    <n v="161"/>
    <n v="177"/>
    <n v="16"/>
    <n v="36"/>
    <m/>
    <n v="12690"/>
    <n v="14262.86"/>
    <n v="0"/>
    <n v="16113.32"/>
    <n v="1850.46"/>
    <n v="3423.32"/>
    <x v="1"/>
    <x v="0"/>
  </r>
  <r>
    <s v="24.9750. MSF."/>
    <s v="Grilles, Registers and Diffusers - Sheetmetal"/>
    <s v="MSF"/>
    <s v="Specialties / Misc"/>
    <s v="LAX People Mover-HVAC"/>
    <x v="1"/>
    <s v="HVAC"/>
    <m/>
    <n v="0"/>
    <n v="0"/>
    <n v="0"/>
    <n v="0"/>
    <m/>
    <n v="240"/>
    <n v="588"/>
    <n v="588"/>
    <n v="0"/>
    <n v="348"/>
    <m/>
    <n v="21600"/>
    <n v="48751.519999999997"/>
    <n v="0"/>
    <n v="48751.519999999997"/>
    <n v="0"/>
    <n v="27151.52"/>
    <x v="1"/>
    <x v="0"/>
  </r>
  <r>
    <s v="24.9750.CCTA."/>
    <s v="Grilles, Registers and Diffusers - Sheetmetal"/>
    <s v="CCTA"/>
    <s v="Specialties / Misc"/>
    <s v="LAX People Mover-HVAC"/>
    <x v="1"/>
    <s v="HVAC"/>
    <m/>
    <n v="0"/>
    <n v="0"/>
    <n v="0"/>
    <n v="0"/>
    <m/>
    <n v="16"/>
    <n v="14"/>
    <n v="14"/>
    <n v="0"/>
    <n v="-2"/>
    <m/>
    <n v="1440"/>
    <n v="919.17"/>
    <n v="0"/>
    <n v="919.17"/>
    <n v="0"/>
    <n v="-520.83000000000004"/>
    <x v="1"/>
    <x v="0"/>
  </r>
  <r>
    <s v="24.9750.CRAC."/>
    <s v="Grilles, Registers and Diffusers - Sheetmetal"/>
    <s v="CRAC"/>
    <s v="Specialties / Misc"/>
    <s v="LAX People Mover-HVAC"/>
    <x v="1"/>
    <s v="HVAC"/>
    <m/>
    <n v="0"/>
    <n v="0"/>
    <n v="0"/>
    <n v="0"/>
    <m/>
    <n v="10"/>
    <n v="10"/>
    <n v="10"/>
    <n v="0"/>
    <n v="0"/>
    <m/>
    <n v="900"/>
    <n v="506.29"/>
    <n v="0"/>
    <n v="506.29"/>
    <n v="0"/>
    <n v="-393.71"/>
    <x v="1"/>
    <x v="0"/>
  </r>
  <r>
    <s v="24.9750.ECTA."/>
    <s v="Grilles, Registers and Diffusers - Sheetmetal"/>
    <s v="ECTA"/>
    <s v="Specialties / Misc"/>
    <s v="LAX People Mover-HVAC"/>
    <x v="1"/>
    <s v="HVAC"/>
    <m/>
    <n v="0"/>
    <n v="0"/>
    <n v="0"/>
    <n v="0"/>
    <m/>
    <n v="12"/>
    <n v="48"/>
    <n v="48"/>
    <n v="0"/>
    <n v="36"/>
    <m/>
    <n v="1080"/>
    <n v="3837.32"/>
    <n v="0"/>
    <n v="3837.32"/>
    <n v="0"/>
    <n v="2757.32"/>
    <x v="1"/>
    <x v="0"/>
  </r>
  <r>
    <s v="24.9750.EITF."/>
    <s v="Grilles, Registers and Diffusers - Sheetmetal"/>
    <s v="EITF"/>
    <s v="Specialties / Misc"/>
    <s v="LAX People Mover-HVAC"/>
    <x v="1"/>
    <s v="HVAC"/>
    <m/>
    <n v="0"/>
    <n v="0"/>
    <n v="0"/>
    <n v="0"/>
    <m/>
    <n v="40"/>
    <n v="64"/>
    <n v="64"/>
    <n v="0"/>
    <n v="24"/>
    <m/>
    <n v="3600"/>
    <n v="4334.96"/>
    <n v="0"/>
    <n v="4334.96"/>
    <n v="0"/>
    <n v="734.96"/>
    <x v="1"/>
    <x v="0"/>
  </r>
  <r>
    <s v="24.9750.WCTA."/>
    <s v="Grilles, Registers and Diffusers - Sheetmetal"/>
    <s v="WCTA"/>
    <s v="Specialties / Misc"/>
    <s v="LAX People Mover-HVAC"/>
    <x v="1"/>
    <s v="HVAC"/>
    <m/>
    <n v="0"/>
    <n v="0"/>
    <n v="0"/>
    <n v="0"/>
    <m/>
    <n v="32"/>
    <n v="60"/>
    <n v="60"/>
    <n v="0"/>
    <n v="28"/>
    <m/>
    <n v="2880"/>
    <n v="4488.3900000000003"/>
    <n v="0"/>
    <n v="4488.3900000000003"/>
    <n v="0"/>
    <n v="1608.39"/>
    <x v="1"/>
    <x v="0"/>
  </r>
  <r>
    <s v="24.9750.WITF."/>
    <s v="Grilles, Registers and Diffusers - Sheetmetal"/>
    <s v="WITF"/>
    <s v="Specialties / Misc"/>
    <s v="LAX People Mover-HVAC"/>
    <x v="1"/>
    <s v="HVAC"/>
    <m/>
    <n v="0"/>
    <n v="0"/>
    <n v="0"/>
    <n v="0"/>
    <m/>
    <n v="20"/>
    <n v="62"/>
    <n v="62"/>
    <n v="0"/>
    <n v="42"/>
    <m/>
    <n v="1800"/>
    <n v="3433.17"/>
    <n v="0"/>
    <n v="3433.17"/>
    <n v="0"/>
    <n v="1633.17"/>
    <x v="1"/>
    <x v="0"/>
  </r>
  <r>
    <s v="24.9900. MSF."/>
    <s v="Pressure Testing - Sheetmetal"/>
    <s v="MSF"/>
    <s v="General Conditions"/>
    <s v="LAX People Mover-HVAC"/>
    <x v="1"/>
    <s v="HVAC"/>
    <m/>
    <n v="0"/>
    <n v="0"/>
    <n v="0"/>
    <n v="0"/>
    <m/>
    <n v="127"/>
    <n v="96"/>
    <n v="96"/>
    <n v="0"/>
    <n v="-31"/>
    <m/>
    <n v="11430"/>
    <n v="8522.64"/>
    <n v="0"/>
    <n v="8522.64"/>
    <n v="0"/>
    <n v="-2907.36"/>
    <x v="1"/>
    <x v="0"/>
  </r>
  <r>
    <s v="24.9900.CCTA."/>
    <s v="Pressure Testing - Sheetmetal"/>
    <s v="CCTA"/>
    <s v="General Conditions"/>
    <s v="LAX People Mover-HVAC"/>
    <x v="1"/>
    <s v="HVAC"/>
    <m/>
    <n v="0"/>
    <n v="0"/>
    <n v="0"/>
    <n v="0"/>
    <m/>
    <n v="4"/>
    <n v="0"/>
    <n v="0"/>
    <n v="0"/>
    <n v="-4"/>
    <m/>
    <n v="360"/>
    <n v="0"/>
    <n v="0"/>
    <n v="0"/>
    <n v="0"/>
    <n v="-360"/>
    <x v="1"/>
    <x v="0"/>
  </r>
  <r>
    <s v="24.9900.CRAC."/>
    <s v="Pressure Testing - Sheetmetal"/>
    <s v="CRAC"/>
    <s v="General Conditions"/>
    <s v="LAX People Mover-HVAC"/>
    <x v="1"/>
    <s v="HVAC"/>
    <m/>
    <n v="0"/>
    <n v="0"/>
    <n v="0"/>
    <n v="0"/>
    <m/>
    <n v="2"/>
    <n v="0"/>
    <n v="0"/>
    <n v="0"/>
    <n v="-2"/>
    <m/>
    <n v="180"/>
    <n v="0"/>
    <n v="0"/>
    <n v="0"/>
    <n v="0"/>
    <n v="-180"/>
    <x v="1"/>
    <x v="0"/>
  </r>
  <r>
    <s v="24.9900.ECTA."/>
    <s v="Pressure Testing - Sheetmetal"/>
    <s v="ECTA"/>
    <s v="General Conditions"/>
    <s v="LAX People Mover-HVAC"/>
    <x v="1"/>
    <s v="HVAC"/>
    <m/>
    <n v="0"/>
    <n v="0"/>
    <n v="0"/>
    <n v="0"/>
    <m/>
    <n v="6"/>
    <n v="0"/>
    <n v="0"/>
    <n v="0"/>
    <n v="-6"/>
    <m/>
    <n v="540"/>
    <n v="0"/>
    <n v="0"/>
    <n v="0"/>
    <n v="0"/>
    <n v="-540"/>
    <x v="1"/>
    <x v="0"/>
  </r>
  <r>
    <s v="24.9900.EITF."/>
    <s v="Pressure Testing - Sheetmetal"/>
    <s v="EITF"/>
    <s v="General Conditions"/>
    <s v="LAX People Mover-HVAC"/>
    <x v="1"/>
    <s v="HVAC"/>
    <m/>
    <n v="0"/>
    <n v="0"/>
    <n v="0"/>
    <n v="0"/>
    <m/>
    <n v="6"/>
    <n v="0"/>
    <n v="0"/>
    <n v="0"/>
    <n v="-6"/>
    <m/>
    <n v="540"/>
    <n v="0"/>
    <n v="0"/>
    <n v="0"/>
    <n v="0"/>
    <n v="-540"/>
    <x v="1"/>
    <x v="0"/>
  </r>
  <r>
    <s v="24.9900.WCTA."/>
    <s v="Pressure Testing - Sheetmetal"/>
    <s v="WCTA"/>
    <s v="General Conditions"/>
    <s v="LAX People Mover-HVAC"/>
    <x v="1"/>
    <s v="HVAC"/>
    <m/>
    <n v="0"/>
    <n v="0"/>
    <n v="0"/>
    <n v="0"/>
    <m/>
    <n v="48"/>
    <n v="35"/>
    <n v="35"/>
    <n v="0"/>
    <n v="-13"/>
    <m/>
    <n v="4320"/>
    <n v="3424.18"/>
    <n v="0"/>
    <n v="3424.18"/>
    <n v="0"/>
    <n v="-895.82"/>
    <x v="1"/>
    <x v="0"/>
  </r>
  <r>
    <s v="24.9900.WITF."/>
    <s v="Pressure Testing - Sheetmetal"/>
    <s v="WITF"/>
    <s v="General Conditions"/>
    <s v="LAX People Mover-HVAC"/>
    <x v="1"/>
    <s v="HVAC"/>
    <m/>
    <n v="0"/>
    <n v="0"/>
    <n v="0"/>
    <n v="0"/>
    <m/>
    <n v="9"/>
    <n v="0"/>
    <n v="0"/>
    <n v="0"/>
    <n v="-9"/>
    <m/>
    <n v="810"/>
    <n v="0"/>
    <n v="0"/>
    <n v="0"/>
    <n v="0"/>
    <n v="-810"/>
    <x v="1"/>
    <x v="0"/>
  </r>
  <r>
    <s v="24.9950. MSF."/>
    <s v="Commissioning Assistance - Sheetmetal"/>
    <s v="MSF"/>
    <s v="General Conditions"/>
    <s v="LAX People Mover-HVAC"/>
    <x v="1"/>
    <s v="HVAC"/>
    <m/>
    <n v="0"/>
    <n v="0"/>
    <n v="0"/>
    <n v="0"/>
    <m/>
    <n v="62"/>
    <n v="42"/>
    <n v="62"/>
    <n v="20"/>
    <n v="0"/>
    <m/>
    <n v="5580"/>
    <n v="4645.3100000000004"/>
    <n v="0"/>
    <n v="7130"/>
    <n v="2484.69"/>
    <n v="1550"/>
    <x v="1"/>
    <x v="0"/>
  </r>
  <r>
    <s v="24.9950.CCTA."/>
    <s v="Commissioning Assistance - Sheetmetal"/>
    <s v="CCTA"/>
    <s v="General Conditions"/>
    <s v="LAX People Mover-HVAC"/>
    <x v="1"/>
    <s v="HVAC"/>
    <m/>
    <n v="0"/>
    <n v="0"/>
    <n v="0"/>
    <n v="0"/>
    <m/>
    <n v="33"/>
    <n v="0"/>
    <n v="33"/>
    <n v="33"/>
    <n v="0"/>
    <m/>
    <n v="2970"/>
    <n v="0"/>
    <n v="0"/>
    <n v="3795"/>
    <n v="3795"/>
    <n v="825"/>
    <x v="1"/>
    <x v="0"/>
  </r>
  <r>
    <s v="24.9950.CRAC."/>
    <s v="Commissioning Assistance - Sheetmetal"/>
    <s v="CRAC"/>
    <s v="General Conditions"/>
    <s v="LAX People Mover-HVAC"/>
    <x v="1"/>
    <s v="HVAC"/>
    <m/>
    <n v="0"/>
    <n v="0"/>
    <n v="0"/>
    <n v="0"/>
    <m/>
    <n v="8"/>
    <n v="24"/>
    <n v="28"/>
    <n v="4"/>
    <n v="20"/>
    <m/>
    <n v="720"/>
    <n v="2814.63"/>
    <n v="0"/>
    <n v="3283.74"/>
    <n v="469.11"/>
    <n v="2563.7399999999998"/>
    <x v="1"/>
    <x v="0"/>
  </r>
  <r>
    <s v="24.9950.ECTA."/>
    <s v="Commissioning Assistance - Sheetmetal"/>
    <s v="ECTA"/>
    <s v="General Conditions"/>
    <s v="LAX People Mover-HVAC"/>
    <x v="1"/>
    <s v="HVAC"/>
    <m/>
    <n v="0"/>
    <n v="0"/>
    <n v="0"/>
    <n v="0"/>
    <m/>
    <n v="26"/>
    <n v="3"/>
    <n v="26"/>
    <n v="23"/>
    <n v="0"/>
    <m/>
    <n v="2340"/>
    <n v="343.18"/>
    <n v="0"/>
    <n v="2990"/>
    <n v="2646.82"/>
    <n v="650"/>
    <x v="1"/>
    <x v="0"/>
  </r>
  <r>
    <s v="24.9950.EITF."/>
    <s v="Commissioning Assistance - Sheetmetal"/>
    <s v="EITF"/>
    <s v="General Conditions"/>
    <s v="LAX People Mover-HVAC"/>
    <x v="1"/>
    <s v="HVAC"/>
    <m/>
    <n v="0"/>
    <n v="0"/>
    <n v="0"/>
    <n v="0"/>
    <m/>
    <n v="40"/>
    <n v="16"/>
    <n v="40"/>
    <n v="24"/>
    <n v="0"/>
    <m/>
    <n v="3600"/>
    <n v="1876.42"/>
    <n v="0"/>
    <n v="4600"/>
    <n v="2723.58"/>
    <n v="1000"/>
    <x v="1"/>
    <x v="0"/>
  </r>
  <r>
    <s v="24.9950.TPS1."/>
    <s v="Commissioning Assistance - Sheetmetal"/>
    <s v="TPS1"/>
    <s v="General Conditions"/>
    <s v="LAX People Mover-HVAC"/>
    <x v="1"/>
    <s v="HVAC"/>
    <m/>
    <n v="0"/>
    <n v="0"/>
    <n v="0"/>
    <n v="0"/>
    <m/>
    <n v="8"/>
    <n v="0"/>
    <n v="8"/>
    <n v="8"/>
    <n v="0"/>
    <m/>
    <n v="720"/>
    <n v="0"/>
    <n v="0"/>
    <n v="920"/>
    <n v="920"/>
    <n v="200"/>
    <x v="1"/>
    <x v="0"/>
  </r>
  <r>
    <s v="24.9950.TPS3."/>
    <s v="Commissioning Assistance - Sheetmetal"/>
    <s v="TPS3"/>
    <s v="General Conditions"/>
    <s v="LAX People Mover-HVAC"/>
    <x v="1"/>
    <s v="HVAC"/>
    <m/>
    <n v="0"/>
    <n v="0"/>
    <n v="0"/>
    <n v="0"/>
    <m/>
    <n v="8"/>
    <n v="0"/>
    <n v="8"/>
    <n v="8"/>
    <n v="0"/>
    <m/>
    <n v="720"/>
    <n v="0"/>
    <n v="0"/>
    <n v="920"/>
    <n v="920"/>
    <n v="200"/>
    <x v="1"/>
    <x v="0"/>
  </r>
  <r>
    <s v="24.9950.WCTA."/>
    <s v="Commissioning Assistance - Sheetmetal"/>
    <s v="WCTA"/>
    <s v="General Conditions"/>
    <s v="LAX People Mover-HVAC"/>
    <x v="1"/>
    <s v="HVAC"/>
    <m/>
    <n v="0"/>
    <n v="0"/>
    <n v="0"/>
    <n v="0"/>
    <m/>
    <n v="51"/>
    <n v="0"/>
    <n v="51"/>
    <n v="51"/>
    <n v="0"/>
    <m/>
    <n v="4590"/>
    <n v="0"/>
    <n v="0"/>
    <n v="5865"/>
    <n v="5865"/>
    <n v="1275"/>
    <x v="1"/>
    <x v="0"/>
  </r>
  <r>
    <s v="24.9950.WITF."/>
    <s v="Commissioning Assistance - Sheetmetal"/>
    <s v="WITF"/>
    <s v="General Conditions"/>
    <s v="LAX People Mover-HVAC"/>
    <x v="1"/>
    <s v="HVAC"/>
    <m/>
    <n v="0"/>
    <n v="0"/>
    <n v="0"/>
    <n v="0"/>
    <m/>
    <n v="32"/>
    <n v="50"/>
    <n v="58"/>
    <n v="8"/>
    <n v="26"/>
    <m/>
    <n v="2880"/>
    <n v="5700.23"/>
    <n v="0"/>
    <n v="6612.27"/>
    <n v="912.04"/>
    <n v="3732.27"/>
    <x v="1"/>
    <x v="0"/>
  </r>
  <r>
    <s v="24.9952. MSF."/>
    <s v="Equipment Startup - Sheetmetal"/>
    <s v="MSF"/>
    <s v="General Conditions"/>
    <s v="LAX People Mover-HVAC"/>
    <x v="1"/>
    <s v="HVAC"/>
    <m/>
    <n v="0"/>
    <n v="0"/>
    <n v="0"/>
    <n v="0"/>
    <m/>
    <n v="341"/>
    <n v="736"/>
    <n v="735"/>
    <n v="-1"/>
    <n v="394"/>
    <m/>
    <n v="30690"/>
    <n v="73342.490000000005"/>
    <n v="0"/>
    <n v="73225.210000000006"/>
    <n v="-117.28"/>
    <n v="42535.21"/>
    <x v="1"/>
    <x v="0"/>
  </r>
  <r>
    <s v="24.9952. P2A."/>
    <s v="Equipment Startup - Sheetmetal"/>
    <s v="P2A"/>
    <s v="General Conditions"/>
    <s v="LAX People Mover-HVAC"/>
    <x v="1"/>
    <s v="HVAC"/>
    <m/>
    <n v="0"/>
    <n v="0"/>
    <n v="0"/>
    <n v="0"/>
    <m/>
    <n v="8"/>
    <n v="283"/>
    <n v="291"/>
    <n v="8"/>
    <n v="283"/>
    <m/>
    <n v="720"/>
    <n v="21570.75"/>
    <n v="0"/>
    <n v="22514.75"/>
    <n v="944"/>
    <n v="21794.75"/>
    <x v="1"/>
    <x v="0"/>
  </r>
  <r>
    <s v="24.9952.CCTA."/>
    <s v="Equipment Startup - Sheetmetal"/>
    <s v="CCTA"/>
    <s v="General Conditions"/>
    <s v="LAX People Mover-HVAC"/>
    <x v="1"/>
    <s v="HVAC"/>
    <m/>
    <n v="0"/>
    <n v="0"/>
    <n v="0"/>
    <n v="0"/>
    <m/>
    <n v="182"/>
    <n v="173"/>
    <n v="197"/>
    <n v="24"/>
    <n v="15"/>
    <m/>
    <n v="16380"/>
    <n v="16662.93"/>
    <n v="0"/>
    <n v="19494.93"/>
    <n v="2832"/>
    <n v="3114.93"/>
    <x v="1"/>
    <x v="0"/>
  </r>
  <r>
    <s v="24.9952.CRAC."/>
    <s v="Equipment Startup - Sheetmetal"/>
    <s v="CRAC"/>
    <s v="General Conditions"/>
    <s v="LAX People Mover-HVAC"/>
    <x v="1"/>
    <s v="HVAC"/>
    <m/>
    <n v="0"/>
    <n v="0"/>
    <n v="0"/>
    <n v="0"/>
    <m/>
    <n v="42"/>
    <n v="58"/>
    <n v="58"/>
    <n v="0"/>
    <n v="16"/>
    <m/>
    <n v="3780"/>
    <n v="6193.98"/>
    <n v="0"/>
    <n v="6193.98"/>
    <n v="0"/>
    <n v="2413.98"/>
    <x v="1"/>
    <x v="0"/>
  </r>
  <r>
    <s v="24.9952.ECTA."/>
    <s v="Equipment Startup - Sheetmetal"/>
    <s v="ECTA"/>
    <s v="General Conditions"/>
    <s v="LAX People Mover-HVAC"/>
    <x v="1"/>
    <s v="HVAC"/>
    <m/>
    <n v="0"/>
    <n v="0"/>
    <n v="0"/>
    <n v="0"/>
    <m/>
    <n v="142"/>
    <n v="274"/>
    <n v="290"/>
    <n v="16"/>
    <n v="148"/>
    <m/>
    <n v="12780"/>
    <n v="25508.63"/>
    <n v="0"/>
    <n v="27396.63"/>
    <n v="1888"/>
    <n v="14616.63"/>
    <x v="1"/>
    <x v="0"/>
  </r>
  <r>
    <s v="24.9952.EITF."/>
    <s v="Equipment Startup - Sheetmetal"/>
    <s v="EITF"/>
    <s v="General Conditions"/>
    <s v="LAX People Mover-HVAC"/>
    <x v="1"/>
    <s v="HVAC"/>
    <m/>
    <n v="0"/>
    <n v="0"/>
    <n v="0"/>
    <n v="0"/>
    <m/>
    <n v="200"/>
    <n v="210"/>
    <n v="210"/>
    <n v="0"/>
    <n v="10"/>
    <m/>
    <n v="18000"/>
    <n v="20559.8"/>
    <n v="0"/>
    <n v="20559.8"/>
    <n v="0"/>
    <n v="2559.8000000000002"/>
    <x v="1"/>
    <x v="0"/>
  </r>
  <r>
    <s v="24.9952.TPS1."/>
    <s v="Equipment Startup - Sheetmetal"/>
    <s v="TPS1"/>
    <s v="General Conditions"/>
    <s v="LAX People Mover-HVAC"/>
    <x v="1"/>
    <s v="HVAC"/>
    <m/>
    <n v="0"/>
    <n v="0"/>
    <n v="0"/>
    <n v="0"/>
    <m/>
    <n v="40"/>
    <n v="12"/>
    <n v="26"/>
    <n v="14"/>
    <n v="-14"/>
    <m/>
    <n v="3600"/>
    <n v="1284.24"/>
    <n v="0"/>
    <n v="2936.24"/>
    <n v="1652"/>
    <n v="-663.76"/>
    <x v="1"/>
    <x v="0"/>
  </r>
  <r>
    <s v="24.9952.TPS3."/>
    <s v="Equipment Startup - Sheetmetal"/>
    <s v="TPS3"/>
    <s v="General Conditions"/>
    <s v="LAX People Mover-HVAC"/>
    <x v="1"/>
    <s v="HVAC"/>
    <m/>
    <n v="0"/>
    <n v="0"/>
    <n v="0"/>
    <n v="0"/>
    <m/>
    <n v="40"/>
    <n v="95"/>
    <n v="109"/>
    <n v="14"/>
    <n v="69"/>
    <m/>
    <n v="3600"/>
    <n v="8824.2800000000007"/>
    <n v="0"/>
    <n v="10476.280000000001"/>
    <n v="1652"/>
    <n v="6876.28"/>
    <x v="1"/>
    <x v="0"/>
  </r>
  <r>
    <s v="24.9952.WCTA."/>
    <s v="Equipment Startup - Sheetmetal"/>
    <s v="WCTA"/>
    <s v="General Conditions"/>
    <s v="LAX People Mover-HVAC"/>
    <x v="1"/>
    <s v="HVAC"/>
    <m/>
    <n v="0"/>
    <n v="0"/>
    <n v="0"/>
    <n v="0"/>
    <m/>
    <n v="283"/>
    <n v="482"/>
    <n v="821"/>
    <n v="339"/>
    <n v="538"/>
    <m/>
    <n v="25470"/>
    <n v="48695.16"/>
    <n v="0"/>
    <n v="88560.69"/>
    <n v="39865.53"/>
    <n v="63090.69"/>
    <x v="1"/>
    <x v="0"/>
  </r>
  <r>
    <s v="24.9952.WITF."/>
    <s v="Equipment Startup - Sheetmetal"/>
    <s v="WITF"/>
    <s v="General Conditions"/>
    <s v="LAX People Mover-HVAC"/>
    <x v="1"/>
    <s v="HVAC"/>
    <m/>
    <n v="0"/>
    <n v="0"/>
    <n v="0"/>
    <n v="0"/>
    <m/>
    <n v="180"/>
    <n v="305"/>
    <n v="305"/>
    <n v="0"/>
    <n v="125"/>
    <m/>
    <n v="16200"/>
    <n v="30187.03"/>
    <n v="0"/>
    <n v="30187.03"/>
    <n v="0"/>
    <n v="13987.03"/>
    <x v="1"/>
    <x v="0"/>
  </r>
  <r>
    <s v="24.9960.    ."/>
    <s v="Clean Up - Sheetmetal"/>
    <s v="All Other Areas"/>
    <s v="General Conditions"/>
    <s v="LAX People Mover-HVAC"/>
    <x v="1"/>
    <s v="HVAC"/>
    <m/>
    <n v="0"/>
    <n v="0"/>
    <n v="0"/>
    <n v="0"/>
    <m/>
    <n v="793"/>
    <n v="1225.5"/>
    <n v="1257.5"/>
    <n v="32"/>
    <n v="464.5"/>
    <m/>
    <n v="71370"/>
    <n v="90006.84"/>
    <n v="0"/>
    <n v="93526.84"/>
    <n v="3520"/>
    <n v="22156.84"/>
    <x v="1"/>
    <x v="0"/>
  </r>
  <r>
    <s v="24.9970.    ."/>
    <s v="Punch List - Sheetmetal"/>
    <s v="All Other Areas"/>
    <s v="General Conditions"/>
    <s v="LAX People Mover-HVAC"/>
    <x v="1"/>
    <s v="HVAC"/>
    <m/>
    <n v="0"/>
    <n v="0"/>
    <n v="0"/>
    <n v="0"/>
    <m/>
    <n v="141"/>
    <n v="279"/>
    <n v="311"/>
    <n v="32"/>
    <n v="170"/>
    <m/>
    <n v="12690"/>
    <n v="22905.29"/>
    <n v="0"/>
    <n v="26265.29"/>
    <n v="3360"/>
    <n v="13575.29"/>
    <x v="1"/>
    <x v="0"/>
  </r>
  <r>
    <s v="24.9980.    ."/>
    <s v="Material Handling - Sheetmetal"/>
    <s v="All Other Areas"/>
    <s v="General Conditions"/>
    <s v="LAX People Mover-HVAC"/>
    <x v="1"/>
    <s v="HVAC"/>
    <m/>
    <n v="0"/>
    <n v="0"/>
    <n v="0"/>
    <n v="0"/>
    <m/>
    <n v="509"/>
    <n v="845"/>
    <n v="845"/>
    <n v="0"/>
    <n v="336"/>
    <m/>
    <n v="45758"/>
    <n v="69293.37"/>
    <n v="0"/>
    <n v="69293.37"/>
    <n v="0"/>
    <n v="23535.37"/>
    <x v="1"/>
    <x v="0"/>
  </r>
  <r>
    <s v="24.9990. MSF."/>
    <s v="Project Specific Code - Sheetmetal - Crane Pick"/>
    <s v="MSF"/>
    <s v="Project Specific"/>
    <s v="LAX People Mover-HVAC"/>
    <x v="1"/>
    <s v="HVAC"/>
    <m/>
    <n v="0"/>
    <n v="0"/>
    <n v="0"/>
    <n v="0"/>
    <m/>
    <n v="240"/>
    <n v="32"/>
    <n v="32"/>
    <n v="0"/>
    <n v="-208"/>
    <m/>
    <n v="21600"/>
    <n v="2699.07"/>
    <n v="0"/>
    <n v="2699.07"/>
    <n v="0"/>
    <n v="-18900.93"/>
    <x v="1"/>
    <x v="0"/>
  </r>
  <r>
    <s v="24.9990.CCTA."/>
    <s v="FSD Testing"/>
    <s v="CCTA"/>
    <s v="Project Specific"/>
    <s v="LAX People Mover-HVAC"/>
    <x v="1"/>
    <s v="HVAC"/>
    <m/>
    <n v="0"/>
    <n v="0"/>
    <n v="0"/>
    <n v="0"/>
    <m/>
    <n v="60"/>
    <n v="97"/>
    <n v="168"/>
    <n v="71"/>
    <n v="108"/>
    <m/>
    <n v="5400"/>
    <n v="10240.02"/>
    <n v="0"/>
    <n v="17273.32"/>
    <n v="7033.3"/>
    <n v="11873.32"/>
    <x v="1"/>
    <x v="0"/>
  </r>
  <r>
    <s v="24.9990.ECTA."/>
    <s v="PCL Cond Drain Pans"/>
    <s v="ECTA"/>
    <s v="Project Specific"/>
    <s v="LAX People Mover-HVAC"/>
    <x v="1"/>
    <s v="HVAC"/>
    <m/>
    <n v="0"/>
    <n v="0"/>
    <n v="0"/>
    <n v="0"/>
    <m/>
    <n v="40"/>
    <n v="55.5"/>
    <n v="55.5"/>
    <n v="0"/>
    <n v="15.5"/>
    <m/>
    <n v="3600"/>
    <n v="5552.03"/>
    <n v="0"/>
    <n v="5552.03"/>
    <n v="0"/>
    <n v="1952.03"/>
    <x v="1"/>
    <x v="0"/>
  </r>
  <r>
    <s v="24.9990.EITF."/>
    <s v="Project Specific Code - Sheetmetal - Crane Pick"/>
    <s v="EITF"/>
    <s v="Project Specific"/>
    <s v="LAX People Mover-HVAC"/>
    <x v="1"/>
    <s v="HVAC"/>
    <m/>
    <n v="0"/>
    <n v="0"/>
    <n v="0"/>
    <n v="0"/>
    <m/>
    <n v="40"/>
    <n v="0"/>
    <n v="0"/>
    <n v="0"/>
    <n v="-40"/>
    <m/>
    <n v="3600"/>
    <n v="0"/>
    <n v="0"/>
    <n v="0"/>
    <n v="0"/>
    <n v="-3600"/>
    <x v="1"/>
    <x v="0"/>
  </r>
  <r>
    <s v="24.9990.TPS1."/>
    <s v="Project Specific Code - Sheetmetal - Crane Pick"/>
    <s v="TPS1"/>
    <s v="Project Specific"/>
    <s v="LAX People Mover-HVAC"/>
    <x v="1"/>
    <s v="HVAC"/>
    <m/>
    <n v="0"/>
    <n v="0"/>
    <n v="0"/>
    <n v="0"/>
    <m/>
    <n v="20"/>
    <n v="0"/>
    <n v="0"/>
    <n v="0"/>
    <n v="-20"/>
    <m/>
    <n v="1800"/>
    <n v="0"/>
    <n v="0"/>
    <n v="0"/>
    <n v="0"/>
    <n v="-1800"/>
    <x v="1"/>
    <x v="0"/>
  </r>
  <r>
    <s v="24.9990.TPS3."/>
    <s v="Project Specific Code - Sheetmetal - Crane Pick"/>
    <s v="TPS3"/>
    <s v="Project Specific"/>
    <s v="LAX People Mover-HVAC"/>
    <x v="1"/>
    <s v="HVAC"/>
    <m/>
    <n v="0"/>
    <n v="0"/>
    <n v="0"/>
    <n v="0"/>
    <m/>
    <n v="20"/>
    <n v="0"/>
    <n v="0"/>
    <n v="0"/>
    <n v="-20"/>
    <m/>
    <n v="1800"/>
    <n v="0"/>
    <n v="0"/>
    <n v="0"/>
    <n v="0"/>
    <n v="-1800"/>
    <x v="1"/>
    <x v="0"/>
  </r>
  <r>
    <s v="24.9990.WCTA."/>
    <s v="Project Specific Code - Sheetmetal - Crane Pick"/>
    <s v="WCTA"/>
    <s v="Project Specific"/>
    <s v="LAX People Mover-HVAC"/>
    <x v="1"/>
    <s v="HVAC"/>
    <m/>
    <n v="0"/>
    <n v="0"/>
    <n v="0"/>
    <n v="0"/>
    <m/>
    <n v="300"/>
    <n v="163"/>
    <n v="163"/>
    <n v="0"/>
    <n v="-137"/>
    <m/>
    <n v="27000"/>
    <n v="14990.3"/>
    <n v="0"/>
    <n v="14990.3"/>
    <n v="0"/>
    <n v="-12009.7"/>
    <x v="1"/>
    <x v="0"/>
  </r>
  <r>
    <s v="25.0060.    ."/>
    <s v="Finish Pre-Fab"/>
    <s v="PRE-FAB"/>
    <s v="Fabrication"/>
    <s v="LAX People Mover-HVAC"/>
    <x v="1"/>
    <s v="PLUM"/>
    <m/>
    <n v="0"/>
    <n v="0"/>
    <n v="0"/>
    <n v="0"/>
    <m/>
    <n v="238"/>
    <n v="32"/>
    <n v="32"/>
    <n v="0"/>
    <n v="-206"/>
    <m/>
    <n v="21420"/>
    <n v="1533.33"/>
    <n v="0"/>
    <n v="1533.33"/>
    <n v="0"/>
    <n v="-19886.669999999998"/>
    <x v="0"/>
    <x v="0"/>
  </r>
  <r>
    <s v="25.0080.    ."/>
    <s v="Cast Iron Pre-Fab"/>
    <s v="PRE-FAB"/>
    <s v="Fabrication"/>
    <s v="LAX People Mover-HVAC"/>
    <x v="1"/>
    <s v="PLUM"/>
    <m/>
    <n v="0"/>
    <n v="0"/>
    <n v="0"/>
    <n v="0"/>
    <m/>
    <n v="2368"/>
    <n v="1430"/>
    <n v="1430"/>
    <n v="0"/>
    <n v="-938"/>
    <m/>
    <n v="213120"/>
    <n v="93873"/>
    <n v="0"/>
    <n v="93873"/>
    <n v="0"/>
    <n v="-119247"/>
    <x v="0"/>
    <x v="0"/>
  </r>
  <r>
    <s v="25.1000.    ."/>
    <s v="Copper Pre-Fab"/>
    <s v="PRE-FAB"/>
    <s v="Fabrication"/>
    <s v="LAX People Mover-HVAC"/>
    <x v="1"/>
    <s v="PLUM"/>
    <m/>
    <n v="0"/>
    <n v="0"/>
    <n v="0"/>
    <n v="0"/>
    <m/>
    <n v="906"/>
    <n v="908"/>
    <n v="908"/>
    <n v="0"/>
    <n v="2"/>
    <m/>
    <n v="81540"/>
    <n v="63593.919999999998"/>
    <n v="0"/>
    <n v="63593.919999999998"/>
    <n v="0"/>
    <n v="-17946.080000000002"/>
    <x v="0"/>
    <x v="0"/>
  </r>
  <r>
    <s v="25.1300.    ."/>
    <s v="Gas Pre-Fab"/>
    <s v="PRE-FAB"/>
    <s v="Fabrication"/>
    <s v="LAX People Mover-HVAC"/>
    <x v="1"/>
    <s v="PLUM"/>
    <m/>
    <n v="0"/>
    <n v="0"/>
    <n v="0"/>
    <n v="0"/>
    <m/>
    <n v="82"/>
    <n v="198"/>
    <n v="198"/>
    <n v="0"/>
    <n v="116"/>
    <m/>
    <n v="7380"/>
    <n v="15362.27"/>
    <n v="0"/>
    <n v="15362.27"/>
    <n v="0"/>
    <n v="7982.27"/>
    <x v="0"/>
    <x v="0"/>
  </r>
  <r>
    <s v="25.2200.    ."/>
    <s v="Hangers Pre-Fab"/>
    <s v="PRE-FAB"/>
    <s v="Fabrication"/>
    <s v="LAX People Mover-HVAC"/>
    <x v="1"/>
    <s v="ALL"/>
    <m/>
    <n v="0"/>
    <n v="0"/>
    <n v="0"/>
    <n v="0"/>
    <m/>
    <n v="1175"/>
    <n v="732"/>
    <n v="732"/>
    <n v="0"/>
    <n v="-443"/>
    <m/>
    <n v="105750"/>
    <n v="53312.24"/>
    <n v="0"/>
    <n v="53312.24"/>
    <n v="0"/>
    <n v="-52437.760000000002"/>
    <x v="3"/>
    <x v="0"/>
  </r>
  <r>
    <s v="25.8140.    .  "/>
    <s v="Black Sch 40 Welded - Piping - Pre Fab"/>
    <s v="PRE-FAB"/>
    <s v="Fabrication"/>
    <s v="LAX People Mover-HVAC"/>
    <x v="1"/>
    <s v="PIPE"/>
    <m/>
    <n v="0"/>
    <n v="0"/>
    <n v="0"/>
    <n v="0"/>
    <m/>
    <n v="2596"/>
    <n v="1142"/>
    <n v="1142"/>
    <n v="0"/>
    <n v="-1454"/>
    <m/>
    <n v="233640"/>
    <n v="98388.1"/>
    <n v="0"/>
    <n v="98388.1"/>
    <n v="0"/>
    <n v="-135251.9"/>
    <x v="2"/>
    <x v="0"/>
  </r>
  <r>
    <s v="33.0070.    ."/>
    <s v="Site Mechanical Pipe"/>
    <s v="SITE"/>
    <s v="Site/Excavation"/>
    <s v="LAX People Mover-HVAC"/>
    <x v="1"/>
    <s v="SITE"/>
    <m/>
    <n v="0"/>
    <n v="0"/>
    <n v="0"/>
    <n v="0"/>
    <m/>
    <n v="290"/>
    <n v="513"/>
    <n v="513"/>
    <n v="0"/>
    <n v="223"/>
    <m/>
    <n v="26100"/>
    <n v="42945.83"/>
    <n v="0"/>
    <n v="42945.83"/>
    <n v="0"/>
    <n v="16845.830000000002"/>
    <x v="6"/>
    <x v="0"/>
  </r>
  <r>
    <s v="33.0420.    ."/>
    <s v="Excavation/backfill"/>
    <s v="SITE"/>
    <s v="Site/Excavation"/>
    <s v="LAX People Mover-HVAC"/>
    <x v="1"/>
    <s v="SITE"/>
    <m/>
    <n v="0"/>
    <n v="0"/>
    <n v="0"/>
    <n v="0"/>
    <m/>
    <n v="2365"/>
    <n v="1841"/>
    <n v="1841"/>
    <n v="0"/>
    <n v="-524"/>
    <m/>
    <n v="212850"/>
    <n v="154370.06"/>
    <n v="0"/>
    <n v="154370.06"/>
    <n v="0"/>
    <n v="-58479.94"/>
    <x v="6"/>
    <x v="0"/>
  </r>
  <r>
    <s v="33.0420.    ."/>
    <s v="Excavation/backfill"/>
    <s v="SITE"/>
    <s v="Site/Excavation"/>
    <s v="LAX People Mover-HVAC"/>
    <x v="2"/>
    <s v="SITE"/>
    <m/>
    <n v="0"/>
    <n v="0"/>
    <n v="0"/>
    <n v="0"/>
    <m/>
    <n v="0"/>
    <n v="0"/>
    <n v="0"/>
    <n v="0"/>
    <n v="0"/>
    <m/>
    <n v="515350.88"/>
    <n v="640845.18000000005"/>
    <n v="77415.240000000005"/>
    <n v="664830.06999999995"/>
    <n v="23984.89"/>
    <n v="149479.19"/>
    <x v="6"/>
    <x v="0"/>
  </r>
  <r>
    <s v="33.0420.    ."/>
    <s v="Excavation/backfill"/>
    <s v="SITE"/>
    <s v="Site/Excavation"/>
    <s v="LAX People Mover-HVAC"/>
    <x v="3"/>
    <s v="SITE"/>
    <m/>
    <n v="0"/>
    <n v="0"/>
    <n v="0"/>
    <n v="0"/>
    <m/>
    <n v="0"/>
    <n v="0"/>
    <n v="0"/>
    <n v="0"/>
    <n v="0"/>
    <m/>
    <n v="0"/>
    <n v="15835.26"/>
    <n v="0"/>
    <n v="15835.26"/>
    <n v="0"/>
    <n v="15835.26"/>
    <x v="6"/>
    <x v="0"/>
  </r>
  <r>
    <s v="33.0420.    ."/>
    <s v="Excavation/backfill"/>
    <s v="SITE"/>
    <s v="Site/Excavation"/>
    <s v="LAX People Mover-HVAC"/>
    <x v="4"/>
    <s v="SITE"/>
    <m/>
    <n v="0"/>
    <n v="60.5"/>
    <n v="0"/>
    <n v="-60.5"/>
    <m/>
    <n v="0"/>
    <n v="0"/>
    <n v="0"/>
    <n v="0"/>
    <n v="0"/>
    <m/>
    <n v="0"/>
    <n v="46595.83"/>
    <n v="0"/>
    <n v="46595.8"/>
    <n v="-0.03"/>
    <n v="46595.8"/>
    <x v="6"/>
    <x v="0"/>
  </r>
  <r>
    <s v="99.0001.    ."/>
    <s v="WCTA Civil Scope"/>
    <s v="All Other Areas"/>
    <s v="Change Orders"/>
    <s v="LAX People Mover-Plumbing"/>
    <x v="1"/>
    <s v="ALL"/>
    <m/>
    <n v="0"/>
    <n v="0"/>
    <n v="0"/>
    <n v="0"/>
    <m/>
    <n v="1529"/>
    <n v="1517"/>
    <n v="1517"/>
    <n v="0"/>
    <n v="-12"/>
    <m/>
    <n v="120791"/>
    <n v="119239.2"/>
    <n v="0"/>
    <n v="119239.2"/>
    <n v="0"/>
    <n v="-1551.8"/>
    <x v="3"/>
    <x v="0"/>
  </r>
  <r>
    <s v="99.0001.    ."/>
    <s v="WCTA Civil Scope"/>
    <s v="All Other Areas"/>
    <s v="Change Orders"/>
    <s v="LAX People Mover-Plumbing"/>
    <x v="0"/>
    <s v="ALL"/>
    <m/>
    <n v="0"/>
    <n v="2631"/>
    <n v="2519"/>
    <n v="-112"/>
    <m/>
    <n v="0"/>
    <n v="0"/>
    <n v="0"/>
    <n v="0"/>
    <n v="0"/>
    <m/>
    <n v="85000"/>
    <n v="83107.31"/>
    <n v="0"/>
    <n v="83107.31"/>
    <n v="0"/>
    <n v="-1892.69"/>
    <x v="3"/>
    <x v="0"/>
  </r>
  <r>
    <s v="99.0001.    ."/>
    <s v="WCTA Civil Scope"/>
    <s v="All Other Areas"/>
    <s v="Change Orders"/>
    <s v="LAX People Mover-Plumbing"/>
    <x v="3"/>
    <s v="ALL"/>
    <m/>
    <n v="0"/>
    <n v="0"/>
    <n v="0"/>
    <n v="0"/>
    <m/>
    <n v="0"/>
    <n v="0"/>
    <n v="0"/>
    <n v="0"/>
    <n v="0"/>
    <m/>
    <n v="14000"/>
    <n v="10289.15"/>
    <n v="0"/>
    <n v="10289.15"/>
    <n v="0"/>
    <n v="-3710.85"/>
    <x v="3"/>
    <x v="0"/>
  </r>
  <r>
    <s v="99.0001.    ."/>
    <s v="WCTA Civil Scope"/>
    <s v="All Other Areas"/>
    <s v="Change Orders"/>
    <s v="LAX People Mover-Plumbing"/>
    <x v="4"/>
    <s v="ALL"/>
    <m/>
    <n v="0"/>
    <n v="4"/>
    <n v="4"/>
    <n v="0"/>
    <m/>
    <n v="0"/>
    <n v="0"/>
    <n v="0"/>
    <n v="0"/>
    <n v="0"/>
    <m/>
    <n v="30000"/>
    <n v="19726.18"/>
    <n v="0"/>
    <n v="19726.18"/>
    <n v="0"/>
    <n v="-10273.82"/>
    <x v="3"/>
    <x v="0"/>
  </r>
  <r>
    <s v="99.0002.    ."/>
    <s v="DCN 099"/>
    <s v="All Other Areas"/>
    <s v="Change Orders"/>
    <s v="LAX People Mover-HVAC"/>
    <x v="1"/>
    <s v="ALL"/>
    <m/>
    <n v="0"/>
    <n v="0"/>
    <n v="0"/>
    <n v="0"/>
    <m/>
    <n v="0"/>
    <n v="30"/>
    <n v="30"/>
    <n v="0"/>
    <n v="30"/>
    <m/>
    <n v="0"/>
    <n v="3055.47"/>
    <n v="0"/>
    <n v="3055.47"/>
    <n v="0"/>
    <n v="3055.47"/>
    <x v="3"/>
    <x v="0"/>
  </r>
  <r>
    <s v="99.0004.    ."/>
    <s v="COVID Pay"/>
    <s v="All Other Areas"/>
    <s v="Change Orders"/>
    <s v="LAX People Mover-HVAC"/>
    <x v="1"/>
    <s v="ALL"/>
    <m/>
    <n v="0"/>
    <n v="0"/>
    <n v="0"/>
    <n v="0"/>
    <m/>
    <n v="0"/>
    <n v="2027"/>
    <n v="2027"/>
    <n v="0"/>
    <n v="2027"/>
    <m/>
    <n v="0"/>
    <n v="110278.22"/>
    <n v="0"/>
    <n v="110278.22"/>
    <n v="0"/>
    <n v="110278.22"/>
    <x v="3"/>
    <x v="0"/>
  </r>
  <r>
    <s v="99.0005.    .  "/>
    <s v="Mercury Building Change Order Work"/>
    <s v="All Other Areas"/>
    <s v="Change Orders"/>
    <s v="LAX People Mover-Plumbing"/>
    <x v="1"/>
    <s v="ALL"/>
    <m/>
    <n v="0"/>
    <n v="0"/>
    <n v="0"/>
    <n v="0"/>
    <m/>
    <n v="85"/>
    <n v="108"/>
    <n v="108"/>
    <n v="0"/>
    <n v="23"/>
    <m/>
    <n v="7552.5"/>
    <n v="10163.469999999999"/>
    <n v="0"/>
    <n v="10163.469999999999"/>
    <n v="0"/>
    <n v="2610.9699999999998"/>
    <x v="3"/>
    <x v="0"/>
  </r>
  <r>
    <s v="99.0005.    .  "/>
    <s v="Mercury Building Change Order Work"/>
    <s v="All Other Areas"/>
    <s v="Change Orders"/>
    <s v="LAX People Mover-Plumbing"/>
    <x v="0"/>
    <s v="ALL"/>
    <m/>
    <n v="0"/>
    <n v="0"/>
    <n v="0"/>
    <n v="0"/>
    <m/>
    <n v="14"/>
    <n v="0"/>
    <n v="14"/>
    <n v="14"/>
    <n v="0"/>
    <m/>
    <n v="1400"/>
    <n v="129.22"/>
    <n v="0"/>
    <n v="129.22"/>
    <n v="0"/>
    <n v="-1270.78"/>
    <x v="3"/>
    <x v="0"/>
  </r>
  <r>
    <s v="99.0006.    .  "/>
    <s v="Terminal 2/P2A UG Repairs"/>
    <s v="All Other Areas"/>
    <s v="Change Orders"/>
    <s v="LAX People Mover-HVAC"/>
    <x v="1"/>
    <s v="ALL"/>
    <m/>
    <n v="0"/>
    <n v="0"/>
    <n v="0"/>
    <n v="0"/>
    <m/>
    <n v="43"/>
    <n v="43"/>
    <n v="43"/>
    <n v="0"/>
    <n v="0"/>
    <m/>
    <n v="3870"/>
    <n v="6083.51"/>
    <n v="0"/>
    <n v="6083.51"/>
    <n v="0"/>
    <n v="2213.5100000000002"/>
    <x v="3"/>
    <x v="0"/>
  </r>
  <r>
    <s v="99.0006.    .  "/>
    <s v="Terminal 2/P2A UG Repairs"/>
    <s v="All Other Areas"/>
    <s v="Change Orders"/>
    <s v="LAX People Mover-HVAC"/>
    <x v="2"/>
    <s v="ALL"/>
    <m/>
    <n v="0"/>
    <n v="0"/>
    <n v="0"/>
    <n v="0"/>
    <m/>
    <n v="0"/>
    <n v="0"/>
    <n v="0"/>
    <n v="0"/>
    <n v="0"/>
    <m/>
    <n v="28930"/>
    <n v="21290.5"/>
    <n v="260"/>
    <n v="21550.5"/>
    <n v="260"/>
    <n v="-7379.5"/>
    <x v="3"/>
    <x v="0"/>
  </r>
  <r>
    <s v="99.0007. P2A."/>
    <s v="P2A Office Change Order"/>
    <s v="P2A"/>
    <s v="Change Orders"/>
    <s v="LAX People Mover-HVAC"/>
    <x v="1"/>
    <s v="ALL"/>
    <m/>
    <n v="0"/>
    <n v="0"/>
    <n v="0"/>
    <n v="0"/>
    <m/>
    <n v="0"/>
    <n v="195"/>
    <n v="211"/>
    <n v="16"/>
    <n v="211"/>
    <m/>
    <n v="0"/>
    <n v="15233.5"/>
    <n v="0"/>
    <n v="16715.419999999998"/>
    <n v="1481.92"/>
    <n v="16715.419999999998"/>
    <x v="3"/>
    <x v="0"/>
  </r>
  <r>
    <s v="99.0008. P2A."/>
    <s v="P2A Plumbing Revisions"/>
    <s v="P2A"/>
    <s v="Change Orders"/>
    <s v="LAX People Mover-Plumbing"/>
    <x v="1"/>
    <s v="ALL"/>
    <m/>
    <n v="0"/>
    <n v="0"/>
    <n v="0"/>
    <n v="0"/>
    <m/>
    <n v="0"/>
    <n v="234"/>
    <n v="234"/>
    <n v="0"/>
    <n v="234"/>
    <m/>
    <n v="0"/>
    <n v="18815.580000000002"/>
    <n v="0"/>
    <n v="18815.580000000002"/>
    <n v="0"/>
    <n v="18815.580000000002"/>
    <x v="3"/>
    <x v="0"/>
  </r>
  <r>
    <s v="99.0009. MSF."/>
    <s v="Paint Booth Installation Change Order"/>
    <s v="MSF"/>
    <s v="Change Orders"/>
    <s v="LAX People Mover-HVAC"/>
    <x v="1"/>
    <s v="ALL"/>
    <m/>
    <n v="0"/>
    <n v="0"/>
    <n v="0"/>
    <n v="0"/>
    <m/>
    <n v="80"/>
    <n v="0"/>
    <n v="0"/>
    <n v="0"/>
    <n v="-80"/>
    <m/>
    <n v="6940"/>
    <n v="0"/>
    <n v="0"/>
    <n v="0"/>
    <n v="0"/>
    <n v="-6940"/>
    <x v="3"/>
    <x v="0"/>
  </r>
  <r>
    <s v="99.0010.    ."/>
    <s v="Material Handling for Equipment Storage"/>
    <s v="All Other Areas"/>
    <s v="Change Orders"/>
    <s v="LAX People Mover-HVAC"/>
    <x v="1"/>
    <s v="ALL"/>
    <m/>
    <n v="0"/>
    <n v="0"/>
    <n v="0"/>
    <n v="0"/>
    <m/>
    <n v="0"/>
    <n v="292"/>
    <n v="292"/>
    <n v="0"/>
    <n v="292"/>
    <m/>
    <n v="0"/>
    <n v="22293.86"/>
    <n v="0"/>
    <n v="22293.86"/>
    <n v="0"/>
    <n v="22293.86"/>
    <x v="3"/>
    <x v="0"/>
  </r>
  <r>
    <s v="99.0010.    .  "/>
    <s v="Material Handling for Equipment Storage"/>
    <s v="All Other Areas"/>
    <s v="Change Orders"/>
    <s v="LAX People Mover-HVAC"/>
    <x v="0"/>
    <s v="ALL"/>
    <m/>
    <n v="0"/>
    <n v="0"/>
    <n v="0"/>
    <n v="0"/>
    <m/>
    <n v="0"/>
    <n v="0"/>
    <n v="0"/>
    <n v="0"/>
    <n v="0"/>
    <m/>
    <n v="0"/>
    <n v="0"/>
    <n v="0"/>
    <n v="0"/>
    <n v="0"/>
    <n v="0"/>
    <x v="3"/>
    <x v="0"/>
  </r>
  <r>
    <s v="99.0015.    ."/>
    <s v="Train Wash Labor"/>
    <s v="All Other Areas"/>
    <s v="Change Orders"/>
    <s v="LAX People Mover-HVAC"/>
    <x v="1"/>
    <s v="ALL"/>
    <m/>
    <n v="0"/>
    <n v="0"/>
    <n v="0"/>
    <n v="0"/>
    <m/>
    <n v="1948"/>
    <n v="1560"/>
    <n v="1569"/>
    <n v="9"/>
    <n v="-379"/>
    <m/>
    <n v="175320"/>
    <n v="145501.85999999999"/>
    <n v="0"/>
    <n v="146422.60999999999"/>
    <n v="920.75"/>
    <n v="-28897.39"/>
    <x v="3"/>
    <x v="0"/>
  </r>
  <r>
    <s v="99.0020.    .  "/>
    <s v="WITF SI-57 Underground Repairs"/>
    <s v="All Other Areas"/>
    <s v="Change Orders"/>
    <s v="LAX People Mover-HVAC"/>
    <x v="1"/>
    <s v="ALL"/>
    <m/>
    <n v="0"/>
    <n v="0"/>
    <n v="0"/>
    <n v="0"/>
    <m/>
    <n v="0"/>
    <n v="160"/>
    <n v="160"/>
    <n v="0"/>
    <n v="160"/>
    <m/>
    <n v="0"/>
    <n v="14168.12"/>
    <n v="0"/>
    <n v="14168.12"/>
    <n v="0"/>
    <n v="14168.12"/>
    <x v="3"/>
    <x v="0"/>
  </r>
  <r>
    <s v="99.0025.    .  "/>
    <s v="DCN-306 Change Order"/>
    <s v="All Other Areas"/>
    <s v="Change Orders"/>
    <s v="LAX People Mover-HVAC"/>
    <x v="1"/>
    <s v="ALL"/>
    <m/>
    <n v="0"/>
    <n v="0"/>
    <n v="0"/>
    <n v="0"/>
    <m/>
    <n v="0"/>
    <n v="932"/>
    <n v="932"/>
    <n v="0"/>
    <n v="932"/>
    <m/>
    <n v="0"/>
    <n v="81803.100000000006"/>
    <n v="0"/>
    <n v="81803.100000000006"/>
    <n v="0"/>
    <n v="81803.100000000006"/>
    <x v="3"/>
    <x v="0"/>
  </r>
  <r>
    <s v="99.0030.    ."/>
    <s v="DCN-328 WCTA"/>
    <s v="All Other Areas"/>
    <s v="Change Orders"/>
    <s v="LAX People Mover-HVAC"/>
    <x v="1"/>
    <s v="ALL"/>
    <m/>
    <n v="0"/>
    <n v="0"/>
    <n v="0"/>
    <n v="0"/>
    <m/>
    <n v="0"/>
    <n v="809"/>
    <n v="809"/>
    <n v="0"/>
    <n v="809"/>
    <m/>
    <n v="0"/>
    <n v="73958.070000000007"/>
    <n v="0"/>
    <n v="73958.070000000007"/>
    <n v="0"/>
    <n v="73958.070000000007"/>
    <x v="3"/>
    <x v="0"/>
  </r>
  <r>
    <s v="99.0030.    .  "/>
    <s v="DCN-328 WCTA"/>
    <s v="All Other Areas"/>
    <s v="Change Orders"/>
    <s v="LAX People Mover-HVAC"/>
    <x v="0"/>
    <s v="ALL"/>
    <m/>
    <n v="0"/>
    <n v="0"/>
    <n v="0"/>
    <n v="0"/>
    <m/>
    <n v="0"/>
    <n v="0"/>
    <n v="0"/>
    <n v="0"/>
    <n v="0"/>
    <m/>
    <n v="0"/>
    <n v="0"/>
    <n v="0"/>
    <n v="0"/>
    <n v="0"/>
    <n v="0"/>
    <x v="3"/>
    <x v="0"/>
  </r>
  <r>
    <s v="99.0030.    .  "/>
    <s v="DCN-328 WCTA"/>
    <s v="All Other Areas"/>
    <s v="Change Orders"/>
    <s v="LAX People Mover-HVAC"/>
    <x v="2"/>
    <s v="ALL"/>
    <m/>
    <n v="0"/>
    <n v="0"/>
    <n v="0"/>
    <n v="0"/>
    <m/>
    <n v="0"/>
    <n v="0"/>
    <n v="0"/>
    <n v="0"/>
    <n v="0"/>
    <m/>
    <n v="0"/>
    <n v="0"/>
    <n v="0"/>
    <n v="0"/>
    <n v="0"/>
    <n v="0"/>
    <x v="3"/>
    <x v="0"/>
  </r>
  <r>
    <s v="99.0030.    .  "/>
    <s v="DCN-328 WCTA"/>
    <s v="All Other Areas"/>
    <s v="Change Orders"/>
    <s v="LAX People Mover-HVAC"/>
    <x v="3"/>
    <s v="ALL"/>
    <m/>
    <n v="0"/>
    <n v="0"/>
    <n v="0"/>
    <n v="0"/>
    <m/>
    <n v="0"/>
    <n v="0"/>
    <n v="0"/>
    <n v="0"/>
    <n v="0"/>
    <m/>
    <n v="0"/>
    <n v="0"/>
    <n v="0"/>
    <n v="0"/>
    <n v="0"/>
    <n v="0"/>
    <x v="3"/>
    <x v="0"/>
  </r>
  <r>
    <s v="99.0030.    .  "/>
    <s v="DCN-328 WCTA"/>
    <s v="All Other Areas"/>
    <s v="Change Orders"/>
    <s v="LAX People Mover-HVAC"/>
    <x v="4"/>
    <s v="ALL"/>
    <m/>
    <n v="0"/>
    <n v="0"/>
    <n v="0"/>
    <n v="0"/>
    <m/>
    <n v="0"/>
    <n v="0"/>
    <n v="0"/>
    <n v="0"/>
    <n v="0"/>
    <m/>
    <n v="0"/>
    <n v="0"/>
    <n v="0"/>
    <n v="0"/>
    <n v="0"/>
    <n v="0"/>
    <x v="3"/>
    <x v="0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1"/>
  </r>
  <r>
    <m/>
    <m/>
    <m/>
    <m/>
    <m/>
    <x v="5"/>
    <m/>
    <m/>
    <m/>
    <m/>
    <m/>
    <m/>
    <m/>
    <m/>
    <m/>
    <m/>
    <m/>
    <m/>
    <m/>
    <m/>
    <m/>
    <m/>
    <m/>
    <m/>
    <m/>
    <x v="5"/>
    <x v="2"/>
  </r>
  <r>
    <m/>
    <m/>
    <m/>
    <m/>
    <m/>
    <x v="5"/>
    <m/>
    <m/>
    <m/>
    <m/>
    <m/>
    <m/>
    <m/>
    <m/>
    <m/>
    <m/>
    <m/>
    <m/>
    <m/>
    <m/>
    <m/>
    <m/>
    <m/>
    <m/>
    <m/>
    <x v="7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C13E2-9804-4A5C-844D-67487BEC51E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 ">
  <location ref="A3:E19" firstHeaderRow="0" firstDataRow="1" firstDataCol="1"/>
  <pivotFields count="27"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1"/>
        <item m="1" x="6"/>
        <item x="0"/>
        <item h="1" x="4"/>
        <item h="1" x="3"/>
        <item h="1" x="2"/>
        <item h="1" x="5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dataField="1" subtotalTop="0" showAll="0"/>
    <pivotField subtotalTop="0" showAll="0"/>
    <pivotField dataField="1" subtotalTop="0" showAll="0"/>
    <pivotField subtotalTop="0" showAll="0"/>
    <pivotField dataField="1" subtotalTop="0" showAll="0"/>
    <pivotField axis="axisRow" subtotalTop="0" showAll="0">
      <items count="9">
        <item h="1" x="5"/>
        <item h="1" x="3"/>
        <item x="2"/>
        <item x="0"/>
        <item x="1"/>
        <item h="1" x="7"/>
        <item h="1" x="4"/>
        <item h="1" x="6"/>
        <item t="default"/>
      </items>
    </pivotField>
    <pivotField axis="axisRow" subtotalTop="0" showAll="0" insertBlankRow="1">
      <items count="7">
        <item m="1" x="5"/>
        <item x="2"/>
        <item m="1" x="3"/>
        <item m="1" x="4"/>
        <item x="1"/>
        <item x="0"/>
        <item t="default"/>
      </items>
    </pivotField>
  </pivotFields>
  <rowFields count="3">
    <field x="26"/>
    <field x="25"/>
    <field x="5"/>
  </rowFields>
  <rowItems count="16">
    <i>
      <x v="5"/>
    </i>
    <i r="1">
      <x v="2"/>
    </i>
    <i r="2">
      <x/>
    </i>
    <i r="2">
      <x v="2"/>
    </i>
    <i t="default" r="1">
      <x v="2"/>
    </i>
    <i r="1">
      <x v="3"/>
    </i>
    <i r="2">
      <x/>
    </i>
    <i r="2">
      <x v="2"/>
    </i>
    <i t="default" r="1">
      <x v="3"/>
    </i>
    <i r="1">
      <x v="4"/>
    </i>
    <i r="2">
      <x/>
    </i>
    <i r="2">
      <x v="2"/>
    </i>
    <i t="default" r="1">
      <x v="4"/>
    </i>
    <i t="default">
      <x v="5"/>
    </i>
    <i t="blank"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Budgeted " fld="19" baseField="26" baseItem="0"/>
    <dataField name="Actual " fld="20" baseField="26" baseItem="0"/>
    <dataField name="Projected " fld="22" baseField="26" baseItem="0"/>
    <dataField name="Savings / (Overrun)" fld="24" baseField="26" baseItem="0" numFmtId="6"/>
  </dataFields>
  <formats count="38">
    <format dxfId="37">
      <pivotArea collapsedLevelsAreSubtotals="1" fieldPosition="0">
        <references count="3">
          <reference field="5" count="2">
            <x v="0"/>
            <x v="2"/>
          </reference>
          <reference field="25" count="1" selected="0">
            <x v="2"/>
          </reference>
          <reference field="26" count="1" selected="0">
            <x v="0"/>
          </reference>
        </references>
      </pivotArea>
    </format>
    <format dxfId="36">
      <pivotArea collapsedLevelsAreSubtotals="1" fieldPosition="0">
        <references count="2">
          <reference field="25" count="1" defaultSubtotal="1">
            <x v="2"/>
          </reference>
          <reference field="26" count="1" selected="0">
            <x v="0"/>
          </reference>
        </references>
      </pivotArea>
    </format>
    <format dxfId="35">
      <pivotArea collapsedLevelsAreSubtotals="1" fieldPosition="0">
        <references count="2">
          <reference field="25" count="1">
            <x v="3"/>
          </reference>
          <reference field="26" count="1" selected="0">
            <x v="0"/>
          </reference>
        </references>
      </pivotArea>
    </format>
    <format dxfId="34">
      <pivotArea collapsedLevelsAreSubtotals="1" fieldPosition="0">
        <references count="3">
          <reference field="5" count="0"/>
          <reference field="25" count="1" selected="0">
            <x v="3"/>
          </reference>
          <reference field="26" count="1" selected="0">
            <x v="0"/>
          </reference>
        </references>
      </pivotArea>
    </format>
    <format dxfId="33">
      <pivotArea collapsedLevelsAreSubtotals="1" fieldPosition="0">
        <references count="2">
          <reference field="25" count="1" defaultSubtotal="1">
            <x v="3"/>
          </reference>
          <reference field="26" count="1" selected="0">
            <x v="0"/>
          </reference>
        </references>
      </pivotArea>
    </format>
    <format dxfId="32">
      <pivotArea collapsedLevelsAreSubtotals="1" fieldPosition="0">
        <references count="2">
          <reference field="25" count="1">
            <x v="4"/>
          </reference>
          <reference field="26" count="1" selected="0">
            <x v="0"/>
          </reference>
        </references>
      </pivotArea>
    </format>
    <format dxfId="31">
      <pivotArea collapsedLevelsAreSubtotals="1" fieldPosition="0">
        <references count="3">
          <reference field="5" count="2">
            <x v="0"/>
            <x v="2"/>
          </reference>
          <reference field="25" count="1" selected="0">
            <x v="4"/>
          </reference>
          <reference field="26" count="1" selected="0">
            <x v="0"/>
          </reference>
        </references>
      </pivotArea>
    </format>
    <format dxfId="30">
      <pivotArea collapsedLevelsAreSubtotals="1" fieldPosition="0">
        <references count="2">
          <reference field="25" count="1" defaultSubtotal="1">
            <x v="4"/>
          </reference>
          <reference field="26" count="1" selected="0">
            <x v="0"/>
          </reference>
        </references>
      </pivotArea>
    </format>
    <format dxfId="29">
      <pivotArea grandRow="1" outline="0" collapsedLevelsAreSubtotals="1" fieldPosition="0"/>
    </format>
    <format dxfId="28">
      <pivotArea dataOnly="0" labelOnly="1" fieldPosition="0">
        <references count="1">
          <reference field="26" count="0"/>
        </references>
      </pivotArea>
    </format>
    <format dxfId="27">
      <pivotArea dataOnly="0" labelOnly="1" fieldPosition="0">
        <references count="1">
          <reference field="26" count="0"/>
        </references>
      </pivotArea>
    </format>
    <format dxfId="26">
      <pivotArea dataOnly="0" labelOnly="1" fieldPosition="0">
        <references count="1">
          <reference field="26" count="0"/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3">
      <pivotArea dataOnly="0" fieldPosition="0">
        <references count="1">
          <reference field="25" count="1">
            <x v="3"/>
          </reference>
        </references>
      </pivotArea>
    </format>
    <format dxfId="22">
      <pivotArea dataOnly="0" fieldPosition="0">
        <references count="1">
          <reference field="25" count="0" defaultSubtotal="1"/>
        </references>
      </pivotArea>
    </format>
    <format dxfId="21">
      <pivotArea dataOnly="0" fieldPosition="0">
        <references count="1">
          <reference field="25" count="1">
            <x v="2"/>
          </reference>
        </references>
      </pivotArea>
    </format>
    <format dxfId="20">
      <pivotArea dataOnly="0" fieldPosition="0">
        <references count="1">
          <reference field="25" count="0" defaultSubtotal="1"/>
        </references>
      </pivotArea>
    </format>
    <format dxfId="19">
      <pivotArea dataOnly="0" fieldPosition="0">
        <references count="1">
          <reference field="25" count="0" defaultSubtotal="1"/>
        </references>
      </pivotArea>
    </format>
    <format dxfId="18">
      <pivotArea dataOnly="0" fieldPosition="0">
        <references count="1">
          <reference field="25" count="0" defaultSubtotal="1"/>
        </references>
      </pivotArea>
    </format>
    <format dxfId="17">
      <pivotArea dataOnly="0" fieldPosition="0">
        <references count="1">
          <reference field="25" count="0" defaultSubtotal="1"/>
        </references>
      </pivotArea>
    </format>
    <format dxfId="16">
      <pivotArea dataOnly="0" fieldPosition="0">
        <references count="1">
          <reference field="25" count="1">
            <x v="3"/>
          </reference>
        </references>
      </pivotArea>
    </format>
    <format dxfId="15">
      <pivotArea dataOnly="0" fieldPosition="0">
        <references count="1">
          <reference field="25" count="1">
            <x v="4"/>
          </reference>
        </references>
      </pivotArea>
    </format>
    <format dxfId="14">
      <pivotArea dataOnly="0" fieldPosition="0">
        <references count="1">
          <reference field="25" count="0" defaultSubtotal="1"/>
        </references>
      </pivotArea>
    </format>
    <format dxfId="13">
      <pivotArea collapsedLevelsAreSubtotals="1" fieldPosition="0">
        <references count="1">
          <reference field="26" count="1" defaultSubtotal="1">
            <x v="0"/>
          </reference>
        </references>
      </pivotArea>
    </format>
    <format dxfId="12">
      <pivotArea dataOnly="0" fieldPosition="0">
        <references count="1">
          <reference field="26" count="0" defaultSubtotal="1"/>
        </references>
      </pivotArea>
    </format>
    <format dxfId="11">
      <pivotArea dataOnly="0" fieldPosition="0">
        <references count="1">
          <reference field="25" count="1">
            <x v="2"/>
          </reference>
        </references>
      </pivotArea>
    </format>
    <format dxfId="10">
      <pivotArea dataOnly="0" fieldPosition="0">
        <references count="1">
          <reference field="25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">
      <pivotArea dataOnly="0" fieldPosition="0">
        <references count="1">
          <reference field="25" count="1">
            <x v="3"/>
          </reference>
        </references>
      </pivotArea>
    </format>
    <format dxfId="6">
      <pivotArea dataOnly="0" fieldPosition="0">
        <references count="1">
          <reference field="25" count="1">
            <x v="2"/>
          </reference>
        </references>
      </pivotArea>
    </format>
    <format dxfId="5">
      <pivotArea dataOnly="0" fieldPosition="0">
        <references count="1">
          <reference field="25" count="1">
            <x v="4"/>
          </reference>
        </references>
      </pivotArea>
    </format>
    <format dxfId="4">
      <pivotArea dataOnly="0" grandRow="1" fieldPosition="0"/>
    </format>
    <format dxfId="3">
      <pivotArea dataOnly="0" grandRow="1" fieldPosition="0"/>
    </format>
    <format dxfId="2">
      <pivotArea collapsedLevelsAreSubtotals="1" fieldPosition="0">
        <references count="4">
          <reference field="4294967294" count="1" selected="0">
            <x v="3"/>
          </reference>
          <reference field="5" count="1">
            <x v="0"/>
          </reference>
          <reference field="25" count="1" selected="0">
            <x v="2"/>
          </reference>
          <reference field="26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887C0-062D-431B-B176-684054FC9B25}">
  <sheetPr codeName="Sheet2"/>
  <dimension ref="A1:AN2000"/>
  <sheetViews>
    <sheetView showGridLines="0" tabSelected="1" zoomScale="69" zoomScaleNormal="100" workbookViewId="0">
      <selection activeCell="B11" sqref="B11"/>
    </sheetView>
  </sheetViews>
  <sheetFormatPr defaultRowHeight="12.75" x14ac:dyDescent="0.2"/>
  <cols>
    <col min="1" max="1" width="18" bestFit="1" customWidth="1"/>
    <col min="2" max="2" width="46.42578125" bestFit="1" customWidth="1"/>
    <col min="3" max="3" width="22.140625" bestFit="1" customWidth="1"/>
    <col min="4" max="4" width="21.42578125" bestFit="1" customWidth="1"/>
    <col min="5" max="5" width="23.5703125" bestFit="1" customWidth="1"/>
    <col min="6" max="6" width="22.42578125" bestFit="1" customWidth="1"/>
    <col min="7" max="7" width="12.5703125" style="13" bestFit="1" customWidth="1"/>
    <col min="8" max="8" width="2.140625" style="13" bestFit="1" customWidth="1"/>
    <col min="9" max="9" width="9.7109375" bestFit="1" customWidth="1"/>
    <col min="10" max="10" width="7.5703125" bestFit="1" customWidth="1"/>
    <col min="11" max="11" width="9.7109375" bestFit="1" customWidth="1"/>
    <col min="12" max="12" width="10.85546875" style="13" bestFit="1" customWidth="1"/>
    <col min="13" max="13" width="2.140625" bestFit="1" customWidth="1"/>
    <col min="14" max="14" width="9.7109375" style="10" bestFit="1" customWidth="1"/>
    <col min="15" max="15" width="6.7109375" bestFit="1" customWidth="1"/>
    <col min="16" max="16" width="9.7109375" bestFit="1" customWidth="1"/>
    <col min="17" max="17" width="10.85546875" bestFit="1" customWidth="1"/>
    <col min="18" max="18" width="12.42578125" style="13" bestFit="1" customWidth="1"/>
    <col min="19" max="19" width="2" bestFit="1" customWidth="1"/>
    <col min="20" max="20" width="21" style="10" bestFit="1" customWidth="1"/>
    <col min="21" max="21" width="17.7109375" bestFit="1" customWidth="1"/>
    <col min="22" max="22" width="10.85546875" bestFit="1" customWidth="1"/>
    <col min="23" max="23" width="21.42578125" bestFit="1" customWidth="1"/>
    <col min="24" max="24" width="10.85546875" bestFit="1" customWidth="1"/>
    <col min="25" max="25" width="12.42578125" bestFit="1" customWidth="1"/>
    <col min="26" max="26" width="14.28515625" style="10" bestFit="1" customWidth="1"/>
    <col min="27" max="27" width="50.7109375" style="25" customWidth="1"/>
  </cols>
  <sheetData>
    <row r="1" spans="1:40" ht="31.5" customHeight="1" x14ac:dyDescent="0.4">
      <c r="A1" s="53" t="s">
        <v>789</v>
      </c>
      <c r="B1" s="54"/>
      <c r="C1" s="54"/>
      <c r="D1" s="54"/>
      <c r="E1" s="54"/>
      <c r="F1" s="54"/>
      <c r="G1" s="55"/>
      <c r="H1" s="46" t="s">
        <v>71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56"/>
      <c r="Z1" s="56"/>
      <c r="AA1" s="48"/>
      <c r="AB1" s="48"/>
      <c r="AC1" s="48"/>
      <c r="AD1" s="48"/>
      <c r="AE1" s="48"/>
      <c r="AF1" s="48"/>
      <c r="AG1" s="48"/>
    </row>
    <row r="2" spans="1:40" ht="13.5" x14ac:dyDescent="0.25">
      <c r="A2" s="49" t="str">
        <f>MiddleMan!A2</f>
        <v xml:space="preserve"> 3971. LAX People Mover</v>
      </c>
      <c r="B2" s="50"/>
      <c r="C2" s="50"/>
      <c r="D2" s="50"/>
      <c r="E2" s="50"/>
      <c r="F2" s="50"/>
      <c r="G2" s="50"/>
      <c r="H2" s="14"/>
      <c r="I2" s="51" t="s">
        <v>0</v>
      </c>
      <c r="J2" s="50"/>
      <c r="K2" s="50"/>
      <c r="L2" s="50"/>
      <c r="M2" s="1"/>
      <c r="N2" s="51" t="s">
        <v>1</v>
      </c>
      <c r="O2" s="50"/>
      <c r="P2" s="50"/>
      <c r="Q2" s="50"/>
      <c r="R2" s="50"/>
      <c r="S2" s="2"/>
      <c r="T2" s="52" t="s">
        <v>2</v>
      </c>
      <c r="U2" s="50"/>
      <c r="V2" s="50"/>
      <c r="W2" s="50"/>
      <c r="X2" s="50"/>
      <c r="Y2" s="50"/>
    </row>
    <row r="3" spans="1:40" ht="25.5" x14ac:dyDescent="0.25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11" t="s">
        <v>9</v>
      </c>
      <c r="H3" s="21" t="s">
        <v>66</v>
      </c>
      <c r="I3" s="4" t="s">
        <v>10</v>
      </c>
      <c r="J3" s="4" t="s">
        <v>11</v>
      </c>
      <c r="K3" s="4" t="s">
        <v>12</v>
      </c>
      <c r="L3" s="15" t="s">
        <v>13</v>
      </c>
      <c r="M3" s="2" t="s">
        <v>67</v>
      </c>
      <c r="N3" s="8" t="s">
        <v>10</v>
      </c>
      <c r="O3" s="4" t="s">
        <v>11</v>
      </c>
      <c r="P3" s="4" t="s">
        <v>12</v>
      </c>
      <c r="Q3" s="4" t="s">
        <v>13</v>
      </c>
      <c r="R3" s="15" t="s">
        <v>14</v>
      </c>
      <c r="S3" s="2" t="s">
        <v>68</v>
      </c>
      <c r="T3" s="8" t="s">
        <v>56</v>
      </c>
      <c r="U3" s="4" t="s">
        <v>57</v>
      </c>
      <c r="V3" s="4" t="s">
        <v>58</v>
      </c>
      <c r="W3" s="4" t="s">
        <v>59</v>
      </c>
      <c r="X3" s="4" t="s">
        <v>60</v>
      </c>
      <c r="Y3" s="4" t="s">
        <v>61</v>
      </c>
      <c r="Z3" s="18" t="s">
        <v>55</v>
      </c>
      <c r="AA3" s="26" t="s">
        <v>70</v>
      </c>
      <c r="AH3" s="5"/>
    </row>
    <row r="4" spans="1:40" x14ac:dyDescent="0.2">
      <c r="A4" s="5" t="s">
        <v>86</v>
      </c>
      <c r="B4" s="5" t="s">
        <v>87</v>
      </c>
      <c r="C4" s="5" t="s">
        <v>16</v>
      </c>
      <c r="D4" s="5" t="s">
        <v>22</v>
      </c>
      <c r="E4" s="5" t="s">
        <v>88</v>
      </c>
      <c r="F4" s="5" t="s">
        <v>25</v>
      </c>
      <c r="G4" s="12" t="s">
        <v>89</v>
      </c>
      <c r="H4" s="12"/>
      <c r="I4" s="6">
        <v>0</v>
      </c>
      <c r="J4" s="6">
        <v>0</v>
      </c>
      <c r="K4" s="6">
        <v>0</v>
      </c>
      <c r="L4" s="16">
        <v>0</v>
      </c>
      <c r="M4" s="5"/>
      <c r="N4" s="9">
        <v>0</v>
      </c>
      <c r="O4" s="6">
        <v>0</v>
      </c>
      <c r="P4" s="6">
        <v>0</v>
      </c>
      <c r="Q4" s="6">
        <v>0</v>
      </c>
      <c r="R4" s="16">
        <v>0</v>
      </c>
      <c r="S4" s="5"/>
      <c r="T4" s="17">
        <v>0</v>
      </c>
      <c r="U4" s="7">
        <v>1054.9100000000001</v>
      </c>
      <c r="V4" s="7">
        <v>92.9</v>
      </c>
      <c r="W4" s="7">
        <v>1147.81</v>
      </c>
      <c r="X4" s="7">
        <v>92.9</v>
      </c>
      <c r="Y4" s="7">
        <v>1147.81</v>
      </c>
      <c r="Z4" s="10" t="str">
        <f>IF(G4="PLUM", "Plumbing", IF(G4="PIPE", "Piping", IF(G4="HVAC", "Sheet Metal", G4)))</f>
        <v>Plumbing</v>
      </c>
      <c r="AA4" s="24" t="str">
        <f>IF(ISBLANK(B4), "", $A$2)</f>
        <v xml:space="preserve"> 3971. LAX People Mover</v>
      </c>
    </row>
    <row r="5" spans="1:40" x14ac:dyDescent="0.2">
      <c r="A5" s="5" t="s">
        <v>90</v>
      </c>
      <c r="B5" s="5" t="s">
        <v>91</v>
      </c>
      <c r="C5" s="5" t="s">
        <v>16</v>
      </c>
      <c r="D5" s="5" t="s">
        <v>92</v>
      </c>
      <c r="E5" s="5" t="s">
        <v>88</v>
      </c>
      <c r="F5" s="5" t="s">
        <v>25</v>
      </c>
      <c r="G5" s="12" t="s">
        <v>89</v>
      </c>
      <c r="H5" s="12"/>
      <c r="I5" s="6">
        <v>0</v>
      </c>
      <c r="J5" s="6">
        <v>44743</v>
      </c>
      <c r="K5" s="6">
        <v>5894</v>
      </c>
      <c r="L5" s="16">
        <v>-38849</v>
      </c>
      <c r="M5" s="5"/>
      <c r="N5" s="9">
        <v>0</v>
      </c>
      <c r="O5" s="6">
        <v>0</v>
      </c>
      <c r="P5" s="6">
        <v>0</v>
      </c>
      <c r="Q5" s="6">
        <v>0</v>
      </c>
      <c r="R5" s="16">
        <v>0</v>
      </c>
      <c r="S5" s="5"/>
      <c r="T5" s="17">
        <v>873553.46</v>
      </c>
      <c r="U5" s="7">
        <v>1066041.52</v>
      </c>
      <c r="V5" s="7">
        <v>1687.48</v>
      </c>
      <c r="W5" s="7">
        <v>1067593.04</v>
      </c>
      <c r="X5" s="7">
        <v>1551.52</v>
      </c>
      <c r="Y5" s="7">
        <v>194039.58</v>
      </c>
      <c r="Z5" s="10" t="str">
        <f t="shared" ref="Z5:Z68" si="0">IF(G5="PLUM", "Plumbing", IF(G5="PIPE", "Piping", IF(G5="HVAC", "Sheet Metal", G5)))</f>
        <v>Plumbing</v>
      </c>
      <c r="AA5" s="24" t="str">
        <f t="shared" ref="AA5:AA68" si="1">IF(ISBLANK(B5), "", $A$2)</f>
        <v xml:space="preserve"> 3971. LAX People Mover</v>
      </c>
    </row>
    <row r="6" spans="1:40" x14ac:dyDescent="0.2">
      <c r="A6" s="5" t="s">
        <v>93</v>
      </c>
      <c r="B6" s="5" t="s">
        <v>94</v>
      </c>
      <c r="C6" s="5" t="s">
        <v>16</v>
      </c>
      <c r="D6" s="5" t="s">
        <v>95</v>
      </c>
      <c r="E6" s="5" t="s">
        <v>88</v>
      </c>
      <c r="F6" s="5" t="s">
        <v>25</v>
      </c>
      <c r="G6" s="12" t="s">
        <v>89</v>
      </c>
      <c r="H6" s="12"/>
      <c r="I6" s="6">
        <v>0</v>
      </c>
      <c r="J6" s="6">
        <v>8298</v>
      </c>
      <c r="K6" s="6">
        <v>2938</v>
      </c>
      <c r="L6" s="16">
        <v>-5360</v>
      </c>
      <c r="M6" s="5"/>
      <c r="N6" s="9">
        <v>0</v>
      </c>
      <c r="O6" s="6">
        <v>0</v>
      </c>
      <c r="P6" s="6">
        <v>0</v>
      </c>
      <c r="Q6" s="6">
        <v>0</v>
      </c>
      <c r="R6" s="16">
        <v>0</v>
      </c>
      <c r="S6" s="5"/>
      <c r="T6" s="17">
        <v>32783.61</v>
      </c>
      <c r="U6" s="7">
        <v>29977.09</v>
      </c>
      <c r="V6" s="7">
        <v>0</v>
      </c>
      <c r="W6" s="7">
        <v>29977.09</v>
      </c>
      <c r="X6" s="7">
        <v>0</v>
      </c>
      <c r="Y6" s="7">
        <v>-2806.52</v>
      </c>
      <c r="Z6" s="10" t="str">
        <f t="shared" si="0"/>
        <v>Plumbing</v>
      </c>
      <c r="AA6" s="24" t="str">
        <f t="shared" si="1"/>
        <v xml:space="preserve"> 3971. LAX People Mover</v>
      </c>
      <c r="AM6" s="5"/>
      <c r="AN6" s="5"/>
    </row>
    <row r="7" spans="1:40" x14ac:dyDescent="0.2">
      <c r="A7" s="5" t="s">
        <v>96</v>
      </c>
      <c r="B7" s="5" t="s">
        <v>97</v>
      </c>
      <c r="C7" s="5" t="s">
        <v>16</v>
      </c>
      <c r="D7" s="5" t="s">
        <v>95</v>
      </c>
      <c r="E7" s="5" t="s">
        <v>88</v>
      </c>
      <c r="F7" s="5" t="s">
        <v>25</v>
      </c>
      <c r="G7" s="12" t="s">
        <v>89</v>
      </c>
      <c r="H7" s="12"/>
      <c r="I7" s="6">
        <v>0</v>
      </c>
      <c r="J7" s="6">
        <v>8545</v>
      </c>
      <c r="K7" s="6">
        <v>10</v>
      </c>
      <c r="L7" s="16">
        <v>-8535</v>
      </c>
      <c r="M7" s="5"/>
      <c r="N7" s="9">
        <v>0</v>
      </c>
      <c r="O7" s="6">
        <v>0</v>
      </c>
      <c r="P7" s="6">
        <v>0</v>
      </c>
      <c r="Q7" s="6">
        <v>0</v>
      </c>
      <c r="R7" s="16">
        <v>0</v>
      </c>
      <c r="S7" s="5"/>
      <c r="T7" s="17">
        <v>30913.439999999999</v>
      </c>
      <c r="U7" s="7">
        <v>110145.66</v>
      </c>
      <c r="V7" s="7">
        <v>0</v>
      </c>
      <c r="W7" s="7">
        <v>110145.66</v>
      </c>
      <c r="X7" s="7">
        <v>0</v>
      </c>
      <c r="Y7" s="7">
        <v>79232.22</v>
      </c>
      <c r="Z7" s="10" t="str">
        <f t="shared" si="0"/>
        <v>Plumbing</v>
      </c>
      <c r="AA7" s="24" t="str">
        <f t="shared" si="1"/>
        <v xml:space="preserve"> 3971. LAX People Mover</v>
      </c>
      <c r="AM7" s="5"/>
      <c r="AN7" s="5"/>
    </row>
    <row r="8" spans="1:40" x14ac:dyDescent="0.2">
      <c r="A8" s="5" t="s">
        <v>98</v>
      </c>
      <c r="B8" s="5" t="s">
        <v>99</v>
      </c>
      <c r="C8" s="5" t="s">
        <v>16</v>
      </c>
      <c r="D8" s="5" t="s">
        <v>95</v>
      </c>
      <c r="E8" s="5" t="s">
        <v>88</v>
      </c>
      <c r="F8" s="5" t="s">
        <v>25</v>
      </c>
      <c r="G8" s="12" t="s">
        <v>89</v>
      </c>
      <c r="H8" s="12"/>
      <c r="I8" s="6">
        <v>0</v>
      </c>
      <c r="J8" s="6">
        <v>157</v>
      </c>
      <c r="K8" s="6">
        <v>0</v>
      </c>
      <c r="L8" s="16">
        <v>-157</v>
      </c>
      <c r="M8" s="5"/>
      <c r="N8" s="9">
        <v>0</v>
      </c>
      <c r="O8" s="6">
        <v>0</v>
      </c>
      <c r="P8" s="6">
        <v>0</v>
      </c>
      <c r="Q8" s="6">
        <v>0</v>
      </c>
      <c r="R8" s="16">
        <v>0</v>
      </c>
      <c r="S8" s="5"/>
      <c r="T8" s="17">
        <v>7500</v>
      </c>
      <c r="U8" s="7">
        <v>9930.81</v>
      </c>
      <c r="V8" s="7">
        <v>0</v>
      </c>
      <c r="W8" s="7">
        <v>9930.81</v>
      </c>
      <c r="X8" s="7">
        <v>0</v>
      </c>
      <c r="Y8" s="7">
        <v>2430.81</v>
      </c>
      <c r="Z8" s="10" t="str">
        <f t="shared" si="0"/>
        <v>Plumbing</v>
      </c>
      <c r="AA8" s="24" t="str">
        <f t="shared" si="1"/>
        <v xml:space="preserve"> 3971. LAX People Mover</v>
      </c>
      <c r="AM8" s="5"/>
      <c r="AN8" s="5"/>
    </row>
    <row r="9" spans="1:40" x14ac:dyDescent="0.2">
      <c r="A9" s="5" t="s">
        <v>100</v>
      </c>
      <c r="B9" s="5" t="s">
        <v>101</v>
      </c>
      <c r="C9" s="5" t="s">
        <v>16</v>
      </c>
      <c r="D9" s="5" t="s">
        <v>95</v>
      </c>
      <c r="E9" s="5" t="s">
        <v>88</v>
      </c>
      <c r="F9" s="5" t="s">
        <v>25</v>
      </c>
      <c r="G9" s="12" t="s">
        <v>89</v>
      </c>
      <c r="H9" s="12"/>
      <c r="I9" s="6">
        <v>0</v>
      </c>
      <c r="J9" s="6">
        <v>60720</v>
      </c>
      <c r="K9" s="6">
        <v>2712</v>
      </c>
      <c r="L9" s="16">
        <v>-58008</v>
      </c>
      <c r="M9" s="5"/>
      <c r="N9" s="9">
        <v>0</v>
      </c>
      <c r="O9" s="6">
        <v>0</v>
      </c>
      <c r="P9" s="6">
        <v>0</v>
      </c>
      <c r="Q9" s="6">
        <v>0</v>
      </c>
      <c r="R9" s="16">
        <v>0</v>
      </c>
      <c r="S9" s="5"/>
      <c r="T9" s="17">
        <v>264654.65999999997</v>
      </c>
      <c r="U9" s="7">
        <v>400459.85</v>
      </c>
      <c r="V9" s="7">
        <v>863.47</v>
      </c>
      <c r="W9" s="7">
        <v>401322.39</v>
      </c>
      <c r="X9" s="7">
        <v>862.54</v>
      </c>
      <c r="Y9" s="7">
        <v>136667.73000000001</v>
      </c>
      <c r="Z9" s="10" t="str">
        <f t="shared" si="0"/>
        <v>Plumbing</v>
      </c>
      <c r="AA9" s="24" t="str">
        <f t="shared" si="1"/>
        <v xml:space="preserve"> 3971. LAX People Mover</v>
      </c>
      <c r="AM9" s="5"/>
      <c r="AN9" s="5"/>
    </row>
    <row r="10" spans="1:40" x14ac:dyDescent="0.2">
      <c r="A10" s="5" t="s">
        <v>102</v>
      </c>
      <c r="B10" s="5" t="s">
        <v>103</v>
      </c>
      <c r="C10" s="5" t="s">
        <v>16</v>
      </c>
      <c r="D10" s="5" t="s">
        <v>104</v>
      </c>
      <c r="E10" s="5" t="s">
        <v>88</v>
      </c>
      <c r="F10" s="5" t="s">
        <v>25</v>
      </c>
      <c r="G10" s="12" t="s">
        <v>89</v>
      </c>
      <c r="H10" s="12"/>
      <c r="I10" s="6">
        <v>0</v>
      </c>
      <c r="J10" s="6">
        <v>710</v>
      </c>
      <c r="K10" s="6">
        <v>0</v>
      </c>
      <c r="L10" s="16">
        <v>-710</v>
      </c>
      <c r="M10" s="5"/>
      <c r="N10" s="9">
        <v>0</v>
      </c>
      <c r="O10" s="6">
        <v>0</v>
      </c>
      <c r="P10" s="6">
        <v>0</v>
      </c>
      <c r="Q10" s="6">
        <v>0</v>
      </c>
      <c r="R10" s="16">
        <v>0</v>
      </c>
      <c r="S10" s="5"/>
      <c r="T10" s="17">
        <v>81830.399999999994</v>
      </c>
      <c r="U10" s="7">
        <v>84865.61</v>
      </c>
      <c r="V10" s="7">
        <v>0</v>
      </c>
      <c r="W10" s="7">
        <v>84865.61</v>
      </c>
      <c r="X10" s="7">
        <v>0</v>
      </c>
      <c r="Y10" s="7">
        <v>3035.21</v>
      </c>
      <c r="Z10" s="10" t="str">
        <f t="shared" si="0"/>
        <v>Plumbing</v>
      </c>
      <c r="AA10" s="24" t="str">
        <f t="shared" si="1"/>
        <v xml:space="preserve"> 3971. LAX People Mover</v>
      </c>
      <c r="AM10" s="5"/>
      <c r="AN10" s="5"/>
    </row>
    <row r="11" spans="1:40" x14ac:dyDescent="0.2">
      <c r="A11" s="5" t="s">
        <v>105</v>
      </c>
      <c r="B11" s="5" t="s">
        <v>106</v>
      </c>
      <c r="C11" s="5" t="s">
        <v>16</v>
      </c>
      <c r="D11" s="5" t="s">
        <v>107</v>
      </c>
      <c r="E11" s="5" t="s">
        <v>88</v>
      </c>
      <c r="F11" s="5" t="s">
        <v>18</v>
      </c>
      <c r="G11" s="12" t="s">
        <v>89</v>
      </c>
      <c r="H11" s="12"/>
      <c r="I11" s="6">
        <v>0</v>
      </c>
      <c r="J11" s="6">
        <v>0</v>
      </c>
      <c r="K11" s="6">
        <v>0</v>
      </c>
      <c r="L11" s="16">
        <v>0</v>
      </c>
      <c r="M11" s="5"/>
      <c r="N11" s="9">
        <v>0</v>
      </c>
      <c r="O11" s="6">
        <v>8</v>
      </c>
      <c r="P11" s="6">
        <v>8</v>
      </c>
      <c r="Q11" s="6">
        <v>0</v>
      </c>
      <c r="R11" s="16">
        <v>8</v>
      </c>
      <c r="S11" s="5"/>
      <c r="T11" s="17">
        <v>0</v>
      </c>
      <c r="U11" s="7">
        <v>544.82000000000005</v>
      </c>
      <c r="V11" s="7">
        <v>0</v>
      </c>
      <c r="W11" s="7">
        <v>544.82000000000005</v>
      </c>
      <c r="X11" s="7">
        <v>0</v>
      </c>
      <c r="Y11" s="7">
        <v>544.82000000000005</v>
      </c>
      <c r="Z11" s="10" t="str">
        <f t="shared" si="0"/>
        <v>Plumbing</v>
      </c>
      <c r="AA11" s="24" t="str">
        <f t="shared" si="1"/>
        <v xml:space="preserve"> 3971. LAX People Mover</v>
      </c>
      <c r="AM11" s="5"/>
      <c r="AN11" s="5"/>
    </row>
    <row r="12" spans="1:40" x14ac:dyDescent="0.2">
      <c r="A12" s="5" t="s">
        <v>105</v>
      </c>
      <c r="B12" s="5" t="s">
        <v>106</v>
      </c>
      <c r="C12" s="5" t="s">
        <v>16</v>
      </c>
      <c r="D12" s="5" t="s">
        <v>107</v>
      </c>
      <c r="E12" s="5" t="s">
        <v>88</v>
      </c>
      <c r="F12" s="5" t="s">
        <v>25</v>
      </c>
      <c r="G12" s="12" t="s">
        <v>89</v>
      </c>
      <c r="H12" s="12"/>
      <c r="I12" s="6">
        <v>0</v>
      </c>
      <c r="J12" s="6">
        <v>119755</v>
      </c>
      <c r="K12" s="6">
        <v>1527</v>
      </c>
      <c r="L12" s="16">
        <v>-118228</v>
      </c>
      <c r="M12" s="5"/>
      <c r="N12" s="9">
        <v>0</v>
      </c>
      <c r="O12" s="6">
        <v>0</v>
      </c>
      <c r="P12" s="6">
        <v>0</v>
      </c>
      <c r="Q12" s="6">
        <v>0</v>
      </c>
      <c r="R12" s="16">
        <v>0</v>
      </c>
      <c r="S12" s="5"/>
      <c r="T12" s="17">
        <v>101243.27</v>
      </c>
      <c r="U12" s="7">
        <v>407431.75</v>
      </c>
      <c r="V12" s="7">
        <v>243.65</v>
      </c>
      <c r="W12" s="7">
        <v>407142.72</v>
      </c>
      <c r="X12" s="7">
        <v>-289.02999999999997</v>
      </c>
      <c r="Y12" s="7">
        <v>305899.45</v>
      </c>
      <c r="Z12" s="10" t="str">
        <f t="shared" si="0"/>
        <v>Plumbing</v>
      </c>
      <c r="AA12" s="24" t="str">
        <f t="shared" si="1"/>
        <v xml:space="preserve"> 3971. LAX People Mover</v>
      </c>
    </row>
    <row r="13" spans="1:40" x14ac:dyDescent="0.2">
      <c r="A13" s="5" t="s">
        <v>108</v>
      </c>
      <c r="B13" s="5" t="s">
        <v>109</v>
      </c>
      <c r="C13" s="5" t="s">
        <v>16</v>
      </c>
      <c r="D13" s="5" t="s">
        <v>104</v>
      </c>
      <c r="E13" s="5" t="s">
        <v>88</v>
      </c>
      <c r="F13" s="5" t="s">
        <v>25</v>
      </c>
      <c r="G13" s="12" t="s">
        <v>89</v>
      </c>
      <c r="H13" s="12"/>
      <c r="I13" s="6">
        <v>0</v>
      </c>
      <c r="J13" s="6">
        <v>6438</v>
      </c>
      <c r="K13" s="6">
        <v>35</v>
      </c>
      <c r="L13" s="16">
        <v>-6403</v>
      </c>
      <c r="M13" s="5"/>
      <c r="N13" s="9">
        <v>0</v>
      </c>
      <c r="O13" s="6">
        <v>0</v>
      </c>
      <c r="P13" s="6">
        <v>0</v>
      </c>
      <c r="Q13" s="6">
        <v>0</v>
      </c>
      <c r="R13" s="16">
        <v>0</v>
      </c>
      <c r="S13" s="5"/>
      <c r="T13" s="17">
        <v>338425.99</v>
      </c>
      <c r="U13" s="7">
        <v>490349.72</v>
      </c>
      <c r="V13" s="7">
        <v>86534.6</v>
      </c>
      <c r="W13" s="7">
        <v>602270.56000000006</v>
      </c>
      <c r="X13" s="7">
        <v>111920.84</v>
      </c>
      <c r="Y13" s="7">
        <v>263844.57</v>
      </c>
      <c r="Z13" s="10" t="str">
        <f t="shared" si="0"/>
        <v>Plumbing</v>
      </c>
      <c r="AA13" s="24" t="str">
        <f t="shared" si="1"/>
        <v xml:space="preserve"> 3971. LAX People Mover</v>
      </c>
    </row>
    <row r="14" spans="1:40" x14ac:dyDescent="0.2">
      <c r="A14" s="5" t="s">
        <v>110</v>
      </c>
      <c r="B14" s="5" t="s">
        <v>111</v>
      </c>
      <c r="C14" s="5" t="s">
        <v>16</v>
      </c>
      <c r="D14" s="5" t="s">
        <v>112</v>
      </c>
      <c r="E14" s="5" t="s">
        <v>88</v>
      </c>
      <c r="F14" s="5" t="s">
        <v>25</v>
      </c>
      <c r="G14" s="12" t="s">
        <v>89</v>
      </c>
      <c r="H14" s="12"/>
      <c r="I14" s="6">
        <v>0</v>
      </c>
      <c r="J14" s="6">
        <v>479</v>
      </c>
      <c r="K14" s="6">
        <v>0</v>
      </c>
      <c r="L14" s="16">
        <v>-479</v>
      </c>
      <c r="M14" s="5"/>
      <c r="N14" s="9">
        <v>0</v>
      </c>
      <c r="O14" s="6">
        <v>0</v>
      </c>
      <c r="P14" s="6">
        <v>0</v>
      </c>
      <c r="Q14" s="6">
        <v>0</v>
      </c>
      <c r="R14" s="16">
        <v>0</v>
      </c>
      <c r="S14" s="5"/>
      <c r="T14" s="17">
        <v>182942.38</v>
      </c>
      <c r="U14" s="7">
        <v>105000.1</v>
      </c>
      <c r="V14" s="7">
        <v>929.95</v>
      </c>
      <c r="W14" s="7">
        <v>105930.05</v>
      </c>
      <c r="X14" s="7">
        <v>929.95</v>
      </c>
      <c r="Y14" s="7">
        <v>-77012.33</v>
      </c>
      <c r="Z14" s="10" t="str">
        <f t="shared" si="0"/>
        <v>Plumbing</v>
      </c>
      <c r="AA14" s="24" t="str">
        <f t="shared" si="1"/>
        <v xml:space="preserve"> 3971. LAX People Mover</v>
      </c>
    </row>
    <row r="15" spans="1:40" x14ac:dyDescent="0.2">
      <c r="A15" s="5" t="s">
        <v>113</v>
      </c>
      <c r="B15" s="5" t="s">
        <v>114</v>
      </c>
      <c r="C15" s="5" t="s">
        <v>16</v>
      </c>
      <c r="D15" s="5" t="s">
        <v>104</v>
      </c>
      <c r="E15" s="5" t="s">
        <v>88</v>
      </c>
      <c r="F15" s="5" t="s">
        <v>25</v>
      </c>
      <c r="G15" s="12" t="s">
        <v>89</v>
      </c>
      <c r="H15" s="12"/>
      <c r="I15" s="6">
        <v>0</v>
      </c>
      <c r="J15" s="6">
        <v>1377</v>
      </c>
      <c r="K15" s="6">
        <v>122</v>
      </c>
      <c r="L15" s="16">
        <v>-1255</v>
      </c>
      <c r="M15" s="5"/>
      <c r="N15" s="9">
        <v>0</v>
      </c>
      <c r="O15" s="6">
        <v>0</v>
      </c>
      <c r="P15" s="6">
        <v>0</v>
      </c>
      <c r="Q15" s="6">
        <v>0</v>
      </c>
      <c r="R15" s="16">
        <v>0</v>
      </c>
      <c r="S15" s="5"/>
      <c r="T15" s="17">
        <v>563552.32999999996</v>
      </c>
      <c r="U15" s="7">
        <v>673888.96</v>
      </c>
      <c r="V15" s="7">
        <v>0</v>
      </c>
      <c r="W15" s="7">
        <v>673888.96</v>
      </c>
      <c r="X15" s="7">
        <v>0</v>
      </c>
      <c r="Y15" s="7">
        <v>110336.63</v>
      </c>
      <c r="Z15" s="10" t="str">
        <f t="shared" si="0"/>
        <v>Plumbing</v>
      </c>
      <c r="AA15" s="24" t="str">
        <f t="shared" si="1"/>
        <v xml:space="preserve"> 3971. LAX People Mover</v>
      </c>
    </row>
    <row r="16" spans="1:40" x14ac:dyDescent="0.2">
      <c r="A16" s="5" t="s">
        <v>115</v>
      </c>
      <c r="B16" s="5" t="s">
        <v>116</v>
      </c>
      <c r="C16" s="5" t="s">
        <v>16</v>
      </c>
      <c r="D16" s="5" t="s">
        <v>104</v>
      </c>
      <c r="E16" s="5" t="s">
        <v>88</v>
      </c>
      <c r="F16" s="5" t="s">
        <v>25</v>
      </c>
      <c r="G16" s="12" t="s">
        <v>89</v>
      </c>
      <c r="H16" s="12"/>
      <c r="I16" s="6">
        <v>0</v>
      </c>
      <c r="J16" s="6">
        <v>4077</v>
      </c>
      <c r="K16" s="6">
        <v>9</v>
      </c>
      <c r="L16" s="16">
        <v>-4068</v>
      </c>
      <c r="M16" s="5"/>
      <c r="N16" s="9">
        <v>0</v>
      </c>
      <c r="O16" s="6">
        <v>0</v>
      </c>
      <c r="P16" s="6">
        <v>0</v>
      </c>
      <c r="Q16" s="6">
        <v>0</v>
      </c>
      <c r="R16" s="16">
        <v>0</v>
      </c>
      <c r="S16" s="5"/>
      <c r="T16" s="17">
        <v>20978.61</v>
      </c>
      <c r="U16" s="7">
        <v>32928.410000000003</v>
      </c>
      <c r="V16" s="7">
        <v>0</v>
      </c>
      <c r="W16" s="7">
        <v>32928.410000000003</v>
      </c>
      <c r="X16" s="7">
        <v>0</v>
      </c>
      <c r="Y16" s="7">
        <v>11949.8</v>
      </c>
      <c r="Z16" s="10" t="str">
        <f t="shared" si="0"/>
        <v>Plumbing</v>
      </c>
      <c r="AA16" s="24" t="str">
        <f t="shared" si="1"/>
        <v xml:space="preserve"> 3971. LAX People Mover</v>
      </c>
    </row>
    <row r="17" spans="1:27" x14ac:dyDescent="0.2">
      <c r="A17" s="5" t="s">
        <v>117</v>
      </c>
      <c r="B17" s="5" t="s">
        <v>118</v>
      </c>
      <c r="C17" s="5" t="s">
        <v>119</v>
      </c>
      <c r="D17" s="5" t="s">
        <v>32</v>
      </c>
      <c r="E17" s="5" t="s">
        <v>88</v>
      </c>
      <c r="F17" s="5" t="s">
        <v>18</v>
      </c>
      <c r="G17" s="12" t="s">
        <v>89</v>
      </c>
      <c r="H17" s="12"/>
      <c r="I17" s="6">
        <v>0</v>
      </c>
      <c r="J17" s="6">
        <v>0</v>
      </c>
      <c r="K17" s="6">
        <v>0</v>
      </c>
      <c r="L17" s="16">
        <v>0</v>
      </c>
      <c r="M17" s="5"/>
      <c r="N17" s="9">
        <v>10</v>
      </c>
      <c r="O17" s="6">
        <v>396</v>
      </c>
      <c r="P17" s="6">
        <v>396</v>
      </c>
      <c r="Q17" s="6">
        <v>0</v>
      </c>
      <c r="R17" s="16">
        <v>386</v>
      </c>
      <c r="S17" s="5"/>
      <c r="T17" s="17">
        <v>1000</v>
      </c>
      <c r="U17" s="7">
        <v>33141.86</v>
      </c>
      <c r="V17" s="7">
        <v>0</v>
      </c>
      <c r="W17" s="7">
        <v>33141.86</v>
      </c>
      <c r="X17" s="7">
        <v>0</v>
      </c>
      <c r="Y17" s="7">
        <v>32141.86</v>
      </c>
      <c r="Z17" s="10" t="str">
        <f t="shared" si="0"/>
        <v>Plumbing</v>
      </c>
      <c r="AA17" s="24" t="str">
        <f t="shared" si="1"/>
        <v xml:space="preserve"> 3971. LAX People Mover</v>
      </c>
    </row>
    <row r="18" spans="1:27" x14ac:dyDescent="0.2">
      <c r="A18" s="5" t="s">
        <v>117</v>
      </c>
      <c r="B18" s="5" t="s">
        <v>118</v>
      </c>
      <c r="C18" s="5" t="s">
        <v>119</v>
      </c>
      <c r="D18" s="5" t="s">
        <v>32</v>
      </c>
      <c r="E18" s="5" t="s">
        <v>88</v>
      </c>
      <c r="F18" s="5" t="s">
        <v>32</v>
      </c>
      <c r="G18" s="12" t="s">
        <v>89</v>
      </c>
      <c r="H18" s="12"/>
      <c r="I18" s="6">
        <v>0</v>
      </c>
      <c r="J18" s="6">
        <v>0</v>
      </c>
      <c r="K18" s="6">
        <v>0</v>
      </c>
      <c r="L18" s="16">
        <v>0</v>
      </c>
      <c r="M18" s="5"/>
      <c r="N18" s="9">
        <v>0</v>
      </c>
      <c r="O18" s="6">
        <v>0</v>
      </c>
      <c r="P18" s="6">
        <v>0</v>
      </c>
      <c r="Q18" s="6">
        <v>0</v>
      </c>
      <c r="R18" s="16">
        <v>0</v>
      </c>
      <c r="S18" s="5"/>
      <c r="T18" s="17">
        <v>0</v>
      </c>
      <c r="U18" s="7">
        <v>21457.5</v>
      </c>
      <c r="V18" s="7">
        <v>9503</v>
      </c>
      <c r="W18" s="7">
        <v>30960.5</v>
      </c>
      <c r="X18" s="7">
        <v>9503</v>
      </c>
      <c r="Y18" s="7">
        <v>30960.5</v>
      </c>
      <c r="Z18" s="20" t="str">
        <f t="shared" si="0"/>
        <v>Plumbing</v>
      </c>
      <c r="AA18" s="24" t="str">
        <f t="shared" si="1"/>
        <v xml:space="preserve"> 3971. LAX People Mover</v>
      </c>
    </row>
    <row r="19" spans="1:27" ht="25.5" x14ac:dyDescent="0.2">
      <c r="A19" s="5" t="s">
        <v>120</v>
      </c>
      <c r="B19" s="5" t="s">
        <v>121</v>
      </c>
      <c r="C19" s="5" t="s">
        <v>122</v>
      </c>
      <c r="D19" s="5" t="s">
        <v>32</v>
      </c>
      <c r="E19" s="5" t="s">
        <v>123</v>
      </c>
      <c r="F19" s="5" t="s">
        <v>18</v>
      </c>
      <c r="G19" s="12" t="s">
        <v>89</v>
      </c>
      <c r="H19" s="12"/>
      <c r="I19" s="6">
        <v>0</v>
      </c>
      <c r="J19" s="6">
        <v>0</v>
      </c>
      <c r="K19" s="6">
        <v>0</v>
      </c>
      <c r="L19" s="16">
        <v>0</v>
      </c>
      <c r="M19" s="5"/>
      <c r="N19" s="9">
        <v>0</v>
      </c>
      <c r="O19" s="6">
        <v>79</v>
      </c>
      <c r="P19" s="6">
        <v>79</v>
      </c>
      <c r="Q19" s="6">
        <v>0</v>
      </c>
      <c r="R19" s="16">
        <v>79</v>
      </c>
      <c r="S19" s="5"/>
      <c r="T19" s="17">
        <v>0</v>
      </c>
      <c r="U19" s="7">
        <v>6987.09</v>
      </c>
      <c r="V19" s="7">
        <v>0</v>
      </c>
      <c r="W19" s="7">
        <v>6987.09</v>
      </c>
      <c r="X19" s="7">
        <v>0</v>
      </c>
      <c r="Y19" s="7">
        <v>6987.09</v>
      </c>
      <c r="Z19" s="10" t="str">
        <f t="shared" si="0"/>
        <v>Plumbing</v>
      </c>
      <c r="AA19" s="24" t="str">
        <f t="shared" si="1"/>
        <v xml:space="preserve"> 3971. LAX People Mover</v>
      </c>
    </row>
    <row r="20" spans="1:27" x14ac:dyDescent="0.2">
      <c r="A20" s="5" t="s">
        <v>124</v>
      </c>
      <c r="B20" s="5" t="s">
        <v>37</v>
      </c>
      <c r="C20" s="5" t="s">
        <v>16</v>
      </c>
      <c r="D20" s="5" t="s">
        <v>125</v>
      </c>
      <c r="E20" s="5" t="s">
        <v>88</v>
      </c>
      <c r="F20" s="5" t="s">
        <v>25</v>
      </c>
      <c r="G20" s="12" t="s">
        <v>89</v>
      </c>
      <c r="H20" s="12"/>
      <c r="I20" s="6">
        <v>0</v>
      </c>
      <c r="J20" s="6">
        <v>0</v>
      </c>
      <c r="K20" s="6">
        <v>0</v>
      </c>
      <c r="L20" s="16">
        <v>0</v>
      </c>
      <c r="M20" s="5"/>
      <c r="N20" s="9">
        <v>0</v>
      </c>
      <c r="O20" s="6">
        <v>0</v>
      </c>
      <c r="P20" s="6">
        <v>0</v>
      </c>
      <c r="Q20" s="6">
        <v>0</v>
      </c>
      <c r="R20" s="16">
        <v>0</v>
      </c>
      <c r="S20" s="5"/>
      <c r="T20" s="17">
        <v>0</v>
      </c>
      <c r="U20" s="7">
        <v>10230</v>
      </c>
      <c r="V20" s="7">
        <v>0</v>
      </c>
      <c r="W20" s="7">
        <v>10230</v>
      </c>
      <c r="X20" s="7">
        <v>0</v>
      </c>
      <c r="Y20" s="7">
        <v>10230</v>
      </c>
      <c r="Z20" s="10" t="str">
        <f t="shared" si="0"/>
        <v>Plumbing</v>
      </c>
      <c r="AA20" s="24" t="str">
        <f t="shared" si="1"/>
        <v xml:space="preserve"> 3971. LAX People Mover</v>
      </c>
    </row>
    <row r="21" spans="1:27" ht="25.5" x14ac:dyDescent="0.2">
      <c r="A21" s="5" t="s">
        <v>124</v>
      </c>
      <c r="B21" s="5" t="s">
        <v>37</v>
      </c>
      <c r="C21" s="5" t="s">
        <v>16</v>
      </c>
      <c r="D21" s="5" t="s">
        <v>125</v>
      </c>
      <c r="E21" s="5" t="s">
        <v>88</v>
      </c>
      <c r="F21" s="5" t="s">
        <v>38</v>
      </c>
      <c r="G21" s="12" t="s">
        <v>89</v>
      </c>
      <c r="H21" s="12"/>
      <c r="I21" s="6">
        <v>0</v>
      </c>
      <c r="J21" s="6">
        <v>36</v>
      </c>
      <c r="K21" s="6">
        <v>32</v>
      </c>
      <c r="L21" s="16">
        <v>-4</v>
      </c>
      <c r="M21" s="5"/>
      <c r="N21" s="9">
        <v>0</v>
      </c>
      <c r="O21" s="6">
        <v>0</v>
      </c>
      <c r="P21" s="6">
        <v>0</v>
      </c>
      <c r="Q21" s="6">
        <v>0</v>
      </c>
      <c r="R21" s="16">
        <v>0</v>
      </c>
      <c r="S21" s="5"/>
      <c r="T21" s="17">
        <v>153318</v>
      </c>
      <c r="U21" s="7">
        <v>707721.88</v>
      </c>
      <c r="V21" s="7">
        <v>0</v>
      </c>
      <c r="W21" s="7">
        <v>706315.93</v>
      </c>
      <c r="X21" s="7">
        <v>-1405.95</v>
      </c>
      <c r="Y21" s="7">
        <v>552997.93000000005</v>
      </c>
      <c r="Z21" s="10" t="str">
        <f t="shared" si="0"/>
        <v>Plumbing</v>
      </c>
      <c r="AA21" s="24" t="str">
        <f t="shared" si="1"/>
        <v xml:space="preserve"> 3971. LAX People Mover</v>
      </c>
    </row>
    <row r="22" spans="1:27" x14ac:dyDescent="0.2">
      <c r="A22" s="5" t="s">
        <v>124</v>
      </c>
      <c r="B22" s="5" t="s">
        <v>37</v>
      </c>
      <c r="C22" s="5" t="s">
        <v>16</v>
      </c>
      <c r="D22" s="5" t="s">
        <v>125</v>
      </c>
      <c r="E22" s="5" t="s">
        <v>88</v>
      </c>
      <c r="F22" s="5" t="s">
        <v>21</v>
      </c>
      <c r="G22" s="12" t="s">
        <v>89</v>
      </c>
      <c r="H22" s="12"/>
      <c r="I22" s="6">
        <v>0</v>
      </c>
      <c r="J22" s="6">
        <v>0</v>
      </c>
      <c r="K22" s="6">
        <v>0</v>
      </c>
      <c r="L22" s="16">
        <v>0</v>
      </c>
      <c r="M22" s="5"/>
      <c r="N22" s="9">
        <v>0</v>
      </c>
      <c r="O22" s="6">
        <v>0</v>
      </c>
      <c r="P22" s="6">
        <v>0</v>
      </c>
      <c r="Q22" s="6">
        <v>0</v>
      </c>
      <c r="R22" s="16">
        <v>0</v>
      </c>
      <c r="S22" s="5"/>
      <c r="T22" s="17">
        <v>150</v>
      </c>
      <c r="U22" s="7">
        <v>0</v>
      </c>
      <c r="V22" s="7">
        <v>0</v>
      </c>
      <c r="W22" s="7">
        <v>0</v>
      </c>
      <c r="X22" s="7">
        <v>0</v>
      </c>
      <c r="Y22" s="7">
        <v>-150</v>
      </c>
      <c r="Z22" s="10" t="str">
        <f t="shared" si="0"/>
        <v>Plumbing</v>
      </c>
      <c r="AA22" s="24" t="str">
        <f t="shared" si="1"/>
        <v xml:space="preserve"> 3971. LAX People Mover</v>
      </c>
    </row>
    <row r="23" spans="1:27" x14ac:dyDescent="0.2">
      <c r="A23" s="5" t="s">
        <v>126</v>
      </c>
      <c r="B23" s="5" t="s">
        <v>32</v>
      </c>
      <c r="C23" s="5" t="s">
        <v>119</v>
      </c>
      <c r="D23" s="5" t="s">
        <v>32</v>
      </c>
      <c r="E23" s="5" t="s">
        <v>88</v>
      </c>
      <c r="F23" s="5" t="s">
        <v>32</v>
      </c>
      <c r="G23" s="12" t="s">
        <v>89</v>
      </c>
      <c r="H23" s="12"/>
      <c r="I23" s="6">
        <v>0</v>
      </c>
      <c r="J23" s="6">
        <v>0</v>
      </c>
      <c r="K23" s="6">
        <v>0</v>
      </c>
      <c r="L23" s="16">
        <v>0</v>
      </c>
      <c r="M23" s="5"/>
      <c r="N23" s="9">
        <v>0</v>
      </c>
      <c r="O23" s="6">
        <v>0</v>
      </c>
      <c r="P23" s="6">
        <v>0</v>
      </c>
      <c r="Q23" s="6">
        <v>0</v>
      </c>
      <c r="R23" s="16">
        <v>0</v>
      </c>
      <c r="S23" s="5"/>
      <c r="T23" s="17">
        <v>6210</v>
      </c>
      <c r="U23" s="7">
        <v>12795</v>
      </c>
      <c r="V23" s="7">
        <v>0</v>
      </c>
      <c r="W23" s="7">
        <v>12795</v>
      </c>
      <c r="X23" s="7">
        <v>0</v>
      </c>
      <c r="Y23" s="7">
        <v>6585</v>
      </c>
      <c r="Z23" s="10" t="str">
        <f t="shared" si="0"/>
        <v>Plumbing</v>
      </c>
      <c r="AA23" s="24" t="str">
        <f t="shared" si="1"/>
        <v xml:space="preserve"> 3971. LAX People Mover</v>
      </c>
    </row>
    <row r="24" spans="1:27" x14ac:dyDescent="0.2">
      <c r="A24" s="5" t="s">
        <v>127</v>
      </c>
      <c r="B24" s="5" t="s">
        <v>34</v>
      </c>
      <c r="C24" s="5" t="s">
        <v>119</v>
      </c>
      <c r="D24" s="5" t="s">
        <v>32</v>
      </c>
      <c r="E24" s="5" t="s">
        <v>88</v>
      </c>
      <c r="F24" s="5" t="s">
        <v>32</v>
      </c>
      <c r="G24" s="12" t="s">
        <v>89</v>
      </c>
      <c r="H24" s="12"/>
      <c r="I24" s="6">
        <v>0</v>
      </c>
      <c r="J24" s="6">
        <v>0</v>
      </c>
      <c r="K24" s="6">
        <v>0</v>
      </c>
      <c r="L24" s="16">
        <v>0</v>
      </c>
      <c r="M24" s="5"/>
      <c r="N24" s="9">
        <v>0</v>
      </c>
      <c r="O24" s="6">
        <v>0</v>
      </c>
      <c r="P24" s="6">
        <v>0</v>
      </c>
      <c r="Q24" s="6">
        <v>0</v>
      </c>
      <c r="R24" s="16">
        <v>0</v>
      </c>
      <c r="S24" s="5"/>
      <c r="T24" s="17">
        <v>45288</v>
      </c>
      <c r="U24" s="7">
        <v>35946.620000000003</v>
      </c>
      <c r="V24" s="7">
        <v>1427.58</v>
      </c>
      <c r="W24" s="7">
        <v>37614.199999999997</v>
      </c>
      <c r="X24" s="7">
        <v>1667.58</v>
      </c>
      <c r="Y24" s="7">
        <v>-7673.8</v>
      </c>
      <c r="Z24" s="10" t="str">
        <f t="shared" si="0"/>
        <v>Plumbing</v>
      </c>
      <c r="AA24" s="24" t="str">
        <f t="shared" si="1"/>
        <v xml:space="preserve"> 3971. LAX People Mover</v>
      </c>
    </row>
    <row r="25" spans="1:27" x14ac:dyDescent="0.2">
      <c r="A25" s="5" t="s">
        <v>128</v>
      </c>
      <c r="B25" s="5" t="s">
        <v>35</v>
      </c>
      <c r="C25" s="5" t="s">
        <v>119</v>
      </c>
      <c r="D25" s="5" t="s">
        <v>32</v>
      </c>
      <c r="E25" s="5" t="s">
        <v>88</v>
      </c>
      <c r="F25" s="5" t="s">
        <v>32</v>
      </c>
      <c r="G25" s="12" t="s">
        <v>89</v>
      </c>
      <c r="H25" s="12"/>
      <c r="I25" s="6">
        <v>0</v>
      </c>
      <c r="J25" s="6">
        <v>0</v>
      </c>
      <c r="K25" s="6">
        <v>0</v>
      </c>
      <c r="L25" s="16">
        <v>0</v>
      </c>
      <c r="M25" s="5"/>
      <c r="N25" s="9">
        <v>0</v>
      </c>
      <c r="O25" s="6">
        <v>0</v>
      </c>
      <c r="P25" s="6">
        <v>0</v>
      </c>
      <c r="Q25" s="6">
        <v>0</v>
      </c>
      <c r="R25" s="16">
        <v>0</v>
      </c>
      <c r="S25" s="5"/>
      <c r="T25" s="17">
        <v>68124.45</v>
      </c>
      <c r="U25" s="7">
        <v>75076</v>
      </c>
      <c r="V25" s="7">
        <v>0</v>
      </c>
      <c r="W25" s="7">
        <v>75076</v>
      </c>
      <c r="X25" s="7">
        <v>0</v>
      </c>
      <c r="Y25" s="7">
        <v>6951.55</v>
      </c>
      <c r="Z25" s="10" t="str">
        <f t="shared" si="0"/>
        <v>Plumbing</v>
      </c>
      <c r="AA25" s="24" t="str">
        <f t="shared" si="1"/>
        <v xml:space="preserve"> 3971. LAX People Mover</v>
      </c>
    </row>
    <row r="26" spans="1:27" x14ac:dyDescent="0.2">
      <c r="A26" s="5" t="s">
        <v>129</v>
      </c>
      <c r="B26" s="5" t="s">
        <v>130</v>
      </c>
      <c r="C26" s="5" t="s">
        <v>119</v>
      </c>
      <c r="D26" s="5" t="s">
        <v>32</v>
      </c>
      <c r="E26" s="5" t="s">
        <v>88</v>
      </c>
      <c r="F26" s="5" t="s">
        <v>32</v>
      </c>
      <c r="G26" s="12" t="s">
        <v>89</v>
      </c>
      <c r="H26" s="12"/>
      <c r="I26" s="6">
        <v>0</v>
      </c>
      <c r="J26" s="6">
        <v>0</v>
      </c>
      <c r="K26" s="6">
        <v>0</v>
      </c>
      <c r="L26" s="16">
        <v>0</v>
      </c>
      <c r="M26" s="5"/>
      <c r="N26" s="9">
        <v>0</v>
      </c>
      <c r="O26" s="6">
        <v>0</v>
      </c>
      <c r="P26" s="6">
        <v>0</v>
      </c>
      <c r="Q26" s="6">
        <v>0</v>
      </c>
      <c r="R26" s="16">
        <v>0</v>
      </c>
      <c r="S26" s="5"/>
      <c r="T26" s="17">
        <v>14925</v>
      </c>
      <c r="U26" s="7">
        <v>6649.63</v>
      </c>
      <c r="V26" s="7">
        <v>16869</v>
      </c>
      <c r="W26" s="7">
        <v>23518.63</v>
      </c>
      <c r="X26" s="7">
        <v>16869</v>
      </c>
      <c r="Y26" s="7">
        <v>8593.6299999999992</v>
      </c>
      <c r="Z26" s="10" t="str">
        <f t="shared" si="0"/>
        <v>Plumbing</v>
      </c>
      <c r="AA26" s="24" t="str">
        <f t="shared" si="1"/>
        <v xml:space="preserve"> 3971. LAX People Mover</v>
      </c>
    </row>
    <row r="27" spans="1:27" x14ac:dyDescent="0.2">
      <c r="A27" s="5" t="s">
        <v>131</v>
      </c>
      <c r="B27" s="5" t="s">
        <v>36</v>
      </c>
      <c r="C27" s="5" t="s">
        <v>119</v>
      </c>
      <c r="D27" s="5" t="s">
        <v>32</v>
      </c>
      <c r="E27" s="5" t="s">
        <v>88</v>
      </c>
      <c r="F27" s="5" t="s">
        <v>25</v>
      </c>
      <c r="G27" s="12" t="s">
        <v>89</v>
      </c>
      <c r="H27" s="12"/>
      <c r="I27" s="6">
        <v>0</v>
      </c>
      <c r="J27" s="6">
        <v>17</v>
      </c>
      <c r="K27" s="6">
        <v>0</v>
      </c>
      <c r="L27" s="16">
        <v>-17</v>
      </c>
      <c r="M27" s="5"/>
      <c r="N27" s="9">
        <v>0</v>
      </c>
      <c r="O27" s="6">
        <v>0</v>
      </c>
      <c r="P27" s="6">
        <v>0</v>
      </c>
      <c r="Q27" s="6">
        <v>0</v>
      </c>
      <c r="R27" s="16">
        <v>0</v>
      </c>
      <c r="S27" s="5"/>
      <c r="T27" s="17">
        <v>2430</v>
      </c>
      <c r="U27" s="7">
        <v>95743.88</v>
      </c>
      <c r="V27" s="7">
        <v>1716.96</v>
      </c>
      <c r="W27" s="7">
        <v>97743.88</v>
      </c>
      <c r="X27" s="7">
        <v>2000</v>
      </c>
      <c r="Y27" s="7">
        <v>95313.88</v>
      </c>
      <c r="Z27" s="10" t="str">
        <f t="shared" si="0"/>
        <v>Plumbing</v>
      </c>
      <c r="AA27" s="24" t="str">
        <f t="shared" si="1"/>
        <v xml:space="preserve"> 3971. LAX People Mover</v>
      </c>
    </row>
    <row r="28" spans="1:27" x14ac:dyDescent="0.2">
      <c r="A28" s="5" t="s">
        <v>131</v>
      </c>
      <c r="B28" s="5" t="s">
        <v>36</v>
      </c>
      <c r="C28" s="5" t="s">
        <v>119</v>
      </c>
      <c r="D28" s="5" t="s">
        <v>32</v>
      </c>
      <c r="E28" s="5" t="s">
        <v>88</v>
      </c>
      <c r="F28" s="5" t="s">
        <v>32</v>
      </c>
      <c r="G28" s="12" t="s">
        <v>89</v>
      </c>
      <c r="H28" s="12"/>
      <c r="I28" s="6">
        <v>0</v>
      </c>
      <c r="J28" s="6">
        <v>0</v>
      </c>
      <c r="K28" s="6">
        <v>0</v>
      </c>
      <c r="L28" s="16">
        <v>0</v>
      </c>
      <c r="M28" s="5"/>
      <c r="N28" s="9">
        <v>0</v>
      </c>
      <c r="O28" s="6">
        <v>0</v>
      </c>
      <c r="P28" s="6">
        <v>0</v>
      </c>
      <c r="Q28" s="6">
        <v>0</v>
      </c>
      <c r="R28" s="16">
        <v>0</v>
      </c>
      <c r="S28" s="5"/>
      <c r="T28" s="17">
        <v>185095</v>
      </c>
      <c r="U28" s="7">
        <v>50402.61</v>
      </c>
      <c r="V28" s="7">
        <v>0</v>
      </c>
      <c r="W28" s="7">
        <v>90002.61</v>
      </c>
      <c r="X28" s="7">
        <v>39600</v>
      </c>
      <c r="Y28" s="7">
        <v>-95092.39</v>
      </c>
      <c r="Z28" s="10" t="str">
        <f t="shared" si="0"/>
        <v>Plumbing</v>
      </c>
      <c r="AA28" s="24" t="str">
        <f t="shared" si="1"/>
        <v xml:space="preserve"> 3971. LAX People Mover</v>
      </c>
    </row>
    <row r="29" spans="1:27" x14ac:dyDescent="0.2">
      <c r="A29" s="5" t="s">
        <v>132</v>
      </c>
      <c r="B29" s="5" t="s">
        <v>41</v>
      </c>
      <c r="C29" s="5" t="s">
        <v>16</v>
      </c>
      <c r="D29" s="5" t="s">
        <v>22</v>
      </c>
      <c r="E29" s="5" t="s">
        <v>88</v>
      </c>
      <c r="F29" s="5" t="s">
        <v>25</v>
      </c>
      <c r="G29" s="12" t="s">
        <v>89</v>
      </c>
      <c r="H29" s="12"/>
      <c r="I29" s="6">
        <v>0</v>
      </c>
      <c r="J29" s="6">
        <v>7672</v>
      </c>
      <c r="K29" s="6">
        <v>1003</v>
      </c>
      <c r="L29" s="16">
        <v>-6669</v>
      </c>
      <c r="M29" s="5"/>
      <c r="N29" s="9">
        <v>0</v>
      </c>
      <c r="O29" s="6">
        <v>0</v>
      </c>
      <c r="P29" s="6">
        <v>0</v>
      </c>
      <c r="Q29" s="6">
        <v>0</v>
      </c>
      <c r="R29" s="16">
        <v>0</v>
      </c>
      <c r="S29" s="5"/>
      <c r="T29" s="17">
        <v>63807.23</v>
      </c>
      <c r="U29" s="7">
        <v>93159.44</v>
      </c>
      <c r="V29" s="7">
        <v>28.21</v>
      </c>
      <c r="W29" s="7">
        <v>93187.65</v>
      </c>
      <c r="X29" s="7">
        <v>28.21</v>
      </c>
      <c r="Y29" s="7">
        <v>29380.42</v>
      </c>
      <c r="Z29" s="10" t="str">
        <f t="shared" si="0"/>
        <v>Plumbing</v>
      </c>
      <c r="AA29" s="24" t="str">
        <f t="shared" si="1"/>
        <v xml:space="preserve"> 3971. LAX People Mover</v>
      </c>
    </row>
    <row r="30" spans="1:27" x14ac:dyDescent="0.2">
      <c r="A30" s="5" t="s">
        <v>133</v>
      </c>
      <c r="B30" s="5" t="s">
        <v>44</v>
      </c>
      <c r="C30" s="5" t="s">
        <v>16</v>
      </c>
      <c r="D30" s="5" t="s">
        <v>104</v>
      </c>
      <c r="E30" s="5" t="s">
        <v>88</v>
      </c>
      <c r="F30" s="5" t="s">
        <v>25</v>
      </c>
      <c r="G30" s="12" t="s">
        <v>89</v>
      </c>
      <c r="H30" s="12"/>
      <c r="I30" s="6">
        <v>0</v>
      </c>
      <c r="J30" s="6">
        <v>4</v>
      </c>
      <c r="K30" s="6">
        <v>0</v>
      </c>
      <c r="L30" s="16">
        <v>-4</v>
      </c>
      <c r="M30" s="5"/>
      <c r="N30" s="9">
        <v>0</v>
      </c>
      <c r="O30" s="6">
        <v>0</v>
      </c>
      <c r="P30" s="6">
        <v>0</v>
      </c>
      <c r="Q30" s="6">
        <v>0</v>
      </c>
      <c r="R30" s="16">
        <v>0</v>
      </c>
      <c r="S30" s="5"/>
      <c r="T30" s="17">
        <v>12744.95</v>
      </c>
      <c r="U30" s="7">
        <v>5433.59</v>
      </c>
      <c r="V30" s="7">
        <v>0</v>
      </c>
      <c r="W30" s="7">
        <v>5433.59</v>
      </c>
      <c r="X30" s="7">
        <v>0</v>
      </c>
      <c r="Y30" s="7">
        <v>-7311.36</v>
      </c>
      <c r="Z30" s="10" t="str">
        <f t="shared" si="0"/>
        <v>Plumbing</v>
      </c>
      <c r="AA30" s="24" t="str">
        <f t="shared" si="1"/>
        <v xml:space="preserve"> 3971. LAX People Mover</v>
      </c>
    </row>
    <row r="31" spans="1:27" x14ac:dyDescent="0.2">
      <c r="A31" s="5" t="s">
        <v>134</v>
      </c>
      <c r="B31" s="5" t="s">
        <v>135</v>
      </c>
      <c r="C31" s="5" t="s">
        <v>16</v>
      </c>
      <c r="D31" s="5" t="s">
        <v>22</v>
      </c>
      <c r="E31" s="5" t="s">
        <v>88</v>
      </c>
      <c r="F31" s="5" t="s">
        <v>21</v>
      </c>
      <c r="G31" s="12" t="s">
        <v>89</v>
      </c>
      <c r="H31" s="12"/>
      <c r="I31" s="6">
        <v>0</v>
      </c>
      <c r="J31" s="6">
        <v>531</v>
      </c>
      <c r="K31" s="6">
        <v>207</v>
      </c>
      <c r="L31" s="16">
        <v>-324</v>
      </c>
      <c r="M31" s="5"/>
      <c r="N31" s="9">
        <v>0</v>
      </c>
      <c r="O31" s="6">
        <v>0</v>
      </c>
      <c r="P31" s="6">
        <v>0</v>
      </c>
      <c r="Q31" s="6">
        <v>0</v>
      </c>
      <c r="R31" s="16">
        <v>0</v>
      </c>
      <c r="S31" s="5"/>
      <c r="T31" s="17">
        <v>62134.35</v>
      </c>
      <c r="U31" s="7">
        <v>59438.76</v>
      </c>
      <c r="V31" s="7">
        <v>0</v>
      </c>
      <c r="W31" s="7">
        <v>59438.76</v>
      </c>
      <c r="X31" s="7">
        <v>0</v>
      </c>
      <c r="Y31" s="7">
        <v>-2695.59</v>
      </c>
      <c r="Z31" s="10" t="str">
        <f t="shared" si="0"/>
        <v>Plumbing</v>
      </c>
      <c r="AA31" s="24" t="str">
        <f t="shared" si="1"/>
        <v xml:space="preserve"> 3971. LAX People Mover</v>
      </c>
    </row>
    <row r="32" spans="1:27" x14ac:dyDescent="0.2">
      <c r="A32" s="5" t="s">
        <v>136</v>
      </c>
      <c r="B32" s="5" t="s">
        <v>77</v>
      </c>
      <c r="C32" s="5" t="s">
        <v>16</v>
      </c>
      <c r="D32" s="5" t="s">
        <v>22</v>
      </c>
      <c r="E32" s="5" t="s">
        <v>88</v>
      </c>
      <c r="F32" s="5" t="s">
        <v>21</v>
      </c>
      <c r="G32" s="12" t="s">
        <v>89</v>
      </c>
      <c r="H32" s="12"/>
      <c r="I32" s="6">
        <v>0</v>
      </c>
      <c r="J32" s="6">
        <v>6</v>
      </c>
      <c r="K32" s="6">
        <v>6</v>
      </c>
      <c r="L32" s="16">
        <v>0</v>
      </c>
      <c r="M32" s="5"/>
      <c r="N32" s="9">
        <v>0</v>
      </c>
      <c r="O32" s="6">
        <v>0</v>
      </c>
      <c r="P32" s="6">
        <v>0</v>
      </c>
      <c r="Q32" s="6">
        <v>0</v>
      </c>
      <c r="R32" s="16">
        <v>0</v>
      </c>
      <c r="S32" s="5"/>
      <c r="T32" s="17">
        <v>326.58999999999997</v>
      </c>
      <c r="U32" s="7">
        <v>124.22</v>
      </c>
      <c r="V32" s="7">
        <v>0</v>
      </c>
      <c r="W32" s="7">
        <v>124.22</v>
      </c>
      <c r="X32" s="7">
        <v>0</v>
      </c>
      <c r="Y32" s="7">
        <v>-202.37</v>
      </c>
      <c r="Z32" s="10" t="str">
        <f t="shared" si="0"/>
        <v>Plumbing</v>
      </c>
      <c r="AA32" s="24" t="str">
        <f t="shared" si="1"/>
        <v xml:space="preserve"> 3971. LAX People Mover</v>
      </c>
    </row>
    <row r="33" spans="1:27" x14ac:dyDescent="0.2">
      <c r="A33" s="5" t="s">
        <v>137</v>
      </c>
      <c r="B33" s="5" t="s">
        <v>138</v>
      </c>
      <c r="C33" s="5" t="s">
        <v>16</v>
      </c>
      <c r="D33" s="5" t="s">
        <v>31</v>
      </c>
      <c r="E33" s="5" t="s">
        <v>88</v>
      </c>
      <c r="F33" s="5" t="s">
        <v>18</v>
      </c>
      <c r="G33" s="12" t="s">
        <v>139</v>
      </c>
      <c r="H33" s="12"/>
      <c r="I33" s="6">
        <v>0</v>
      </c>
      <c r="J33" s="6">
        <v>0</v>
      </c>
      <c r="K33" s="6">
        <v>0</v>
      </c>
      <c r="L33" s="16">
        <v>0</v>
      </c>
      <c r="M33" s="5"/>
      <c r="N33" s="9">
        <v>0</v>
      </c>
      <c r="O33" s="6">
        <v>0</v>
      </c>
      <c r="P33" s="6">
        <v>0</v>
      </c>
      <c r="Q33" s="6">
        <v>0</v>
      </c>
      <c r="R33" s="16">
        <v>0</v>
      </c>
      <c r="S33" s="5"/>
      <c r="T33" s="17">
        <v>750</v>
      </c>
      <c r="U33" s="7">
        <v>1170.8599999999999</v>
      </c>
      <c r="V33" s="7">
        <v>0</v>
      </c>
      <c r="W33" s="7">
        <v>1170.8599999999999</v>
      </c>
      <c r="X33" s="7">
        <v>0</v>
      </c>
      <c r="Y33" s="7">
        <v>420.86</v>
      </c>
      <c r="Z33" s="10" t="str">
        <f t="shared" si="0"/>
        <v>Sheet Metal</v>
      </c>
      <c r="AA33" s="24" t="str">
        <f t="shared" si="1"/>
        <v xml:space="preserve"> 3971. LAX People Mover</v>
      </c>
    </row>
    <row r="34" spans="1:27" x14ac:dyDescent="0.2">
      <c r="A34" s="5" t="s">
        <v>137</v>
      </c>
      <c r="B34" s="5" t="s">
        <v>138</v>
      </c>
      <c r="C34" s="5" t="s">
        <v>16</v>
      </c>
      <c r="D34" s="5" t="s">
        <v>31</v>
      </c>
      <c r="E34" s="5" t="s">
        <v>88</v>
      </c>
      <c r="F34" s="5" t="s">
        <v>25</v>
      </c>
      <c r="G34" s="12" t="s">
        <v>139</v>
      </c>
      <c r="H34" s="12"/>
      <c r="I34" s="6">
        <v>0</v>
      </c>
      <c r="J34" s="6">
        <v>1348</v>
      </c>
      <c r="K34" s="6">
        <v>0</v>
      </c>
      <c r="L34" s="16">
        <v>-1348</v>
      </c>
      <c r="M34" s="5"/>
      <c r="N34" s="9">
        <v>0</v>
      </c>
      <c r="O34" s="6">
        <v>0</v>
      </c>
      <c r="P34" s="6">
        <v>0</v>
      </c>
      <c r="Q34" s="6">
        <v>0</v>
      </c>
      <c r="R34" s="16">
        <v>0</v>
      </c>
      <c r="S34" s="5"/>
      <c r="T34" s="17">
        <v>660013.65</v>
      </c>
      <c r="U34" s="7">
        <v>817796.32</v>
      </c>
      <c r="V34" s="7">
        <v>833.3</v>
      </c>
      <c r="W34" s="7">
        <v>817791.86</v>
      </c>
      <c r="X34" s="7">
        <v>-4.46</v>
      </c>
      <c r="Y34" s="7">
        <v>157778.21</v>
      </c>
      <c r="Z34" s="10" t="str">
        <f t="shared" si="0"/>
        <v>Sheet Metal</v>
      </c>
      <c r="AA34" s="24" t="str">
        <f t="shared" si="1"/>
        <v xml:space="preserve"> 3971. LAX People Mover</v>
      </c>
    </row>
    <row r="35" spans="1:27" x14ac:dyDescent="0.2">
      <c r="A35" s="5" t="s">
        <v>140</v>
      </c>
      <c r="B35" s="5" t="s">
        <v>141</v>
      </c>
      <c r="C35" s="5" t="s">
        <v>16</v>
      </c>
      <c r="D35" s="5" t="s">
        <v>31</v>
      </c>
      <c r="E35" s="5" t="s">
        <v>88</v>
      </c>
      <c r="F35" s="5" t="s">
        <v>25</v>
      </c>
      <c r="G35" s="12" t="s">
        <v>139</v>
      </c>
      <c r="H35" s="12"/>
      <c r="I35" s="6">
        <v>0</v>
      </c>
      <c r="J35" s="6">
        <v>3214</v>
      </c>
      <c r="K35" s="6">
        <v>0</v>
      </c>
      <c r="L35" s="16">
        <v>-3214</v>
      </c>
      <c r="M35" s="5"/>
      <c r="N35" s="9">
        <v>0</v>
      </c>
      <c r="O35" s="6">
        <v>0</v>
      </c>
      <c r="P35" s="6">
        <v>0</v>
      </c>
      <c r="Q35" s="6">
        <v>0</v>
      </c>
      <c r="R35" s="16">
        <v>0</v>
      </c>
      <c r="S35" s="5"/>
      <c r="T35" s="17">
        <v>13688</v>
      </c>
      <c r="U35" s="7">
        <v>114115.42</v>
      </c>
      <c r="V35" s="7">
        <v>0</v>
      </c>
      <c r="W35" s="7">
        <v>114115.42</v>
      </c>
      <c r="X35" s="7">
        <v>0</v>
      </c>
      <c r="Y35" s="7">
        <v>100427.42</v>
      </c>
      <c r="Z35" s="10" t="str">
        <f t="shared" si="0"/>
        <v>Sheet Metal</v>
      </c>
      <c r="AA35" s="24" t="str">
        <f t="shared" si="1"/>
        <v xml:space="preserve"> 3971. LAX People Mover</v>
      </c>
    </row>
    <row r="36" spans="1:27" x14ac:dyDescent="0.2">
      <c r="A36" s="5" t="s">
        <v>142</v>
      </c>
      <c r="B36" s="5" t="s">
        <v>143</v>
      </c>
      <c r="C36" s="5" t="s">
        <v>16</v>
      </c>
      <c r="D36" s="5" t="s">
        <v>107</v>
      </c>
      <c r="E36" s="5" t="s">
        <v>88</v>
      </c>
      <c r="F36" s="5" t="s">
        <v>25</v>
      </c>
      <c r="G36" s="12" t="s">
        <v>139</v>
      </c>
      <c r="H36" s="12"/>
      <c r="I36" s="6">
        <v>0</v>
      </c>
      <c r="J36" s="6">
        <v>51766</v>
      </c>
      <c r="K36" s="6">
        <v>0</v>
      </c>
      <c r="L36" s="16">
        <v>-51766</v>
      </c>
      <c r="M36" s="5"/>
      <c r="N36" s="9">
        <v>0</v>
      </c>
      <c r="O36" s="6">
        <v>0</v>
      </c>
      <c r="P36" s="6">
        <v>0</v>
      </c>
      <c r="Q36" s="6">
        <v>0</v>
      </c>
      <c r="R36" s="16">
        <v>0</v>
      </c>
      <c r="S36" s="5"/>
      <c r="T36" s="17">
        <v>44950</v>
      </c>
      <c r="U36" s="7">
        <v>172816.99</v>
      </c>
      <c r="V36" s="7">
        <v>0</v>
      </c>
      <c r="W36" s="7">
        <v>172816.99</v>
      </c>
      <c r="X36" s="7">
        <v>0</v>
      </c>
      <c r="Y36" s="7">
        <v>127866.99</v>
      </c>
      <c r="Z36" s="10" t="str">
        <f t="shared" si="0"/>
        <v>Sheet Metal</v>
      </c>
      <c r="AA36" s="24" t="str">
        <f t="shared" si="1"/>
        <v xml:space="preserve"> 3971. LAX People Mover</v>
      </c>
    </row>
    <row r="37" spans="1:27" x14ac:dyDescent="0.2">
      <c r="A37" s="5" t="s">
        <v>144</v>
      </c>
      <c r="B37" s="5" t="s">
        <v>145</v>
      </c>
      <c r="C37" s="5" t="s">
        <v>16</v>
      </c>
      <c r="D37" s="5" t="s">
        <v>104</v>
      </c>
      <c r="E37" s="5" t="s">
        <v>88</v>
      </c>
      <c r="F37" s="5" t="s">
        <v>25</v>
      </c>
      <c r="G37" s="12" t="s">
        <v>139</v>
      </c>
      <c r="H37" s="12"/>
      <c r="I37" s="6">
        <v>0</v>
      </c>
      <c r="J37" s="6">
        <v>0</v>
      </c>
      <c r="K37" s="6">
        <v>0</v>
      </c>
      <c r="L37" s="16">
        <v>0</v>
      </c>
      <c r="M37" s="5"/>
      <c r="N37" s="9">
        <v>0</v>
      </c>
      <c r="O37" s="6">
        <v>0</v>
      </c>
      <c r="P37" s="6">
        <v>0</v>
      </c>
      <c r="Q37" s="6">
        <v>0</v>
      </c>
      <c r="R37" s="16">
        <v>0</v>
      </c>
      <c r="S37" s="5"/>
      <c r="T37" s="17">
        <v>1601</v>
      </c>
      <c r="U37" s="7">
        <v>0</v>
      </c>
      <c r="V37" s="7">
        <v>0</v>
      </c>
      <c r="W37" s="7">
        <v>0</v>
      </c>
      <c r="X37" s="7">
        <v>0</v>
      </c>
      <c r="Y37" s="7">
        <v>-1601</v>
      </c>
      <c r="Z37" s="10" t="str">
        <f t="shared" si="0"/>
        <v>Sheet Metal</v>
      </c>
      <c r="AA37" s="24" t="str">
        <f t="shared" si="1"/>
        <v xml:space="preserve"> 3971. LAX People Mover</v>
      </c>
    </row>
    <row r="38" spans="1:27" x14ac:dyDescent="0.2">
      <c r="A38" s="5" t="s">
        <v>146</v>
      </c>
      <c r="B38" s="5" t="s">
        <v>147</v>
      </c>
      <c r="C38" s="5" t="s">
        <v>16</v>
      </c>
      <c r="D38" s="5" t="s">
        <v>125</v>
      </c>
      <c r="E38" s="5" t="s">
        <v>88</v>
      </c>
      <c r="F38" s="5" t="s">
        <v>32</v>
      </c>
      <c r="G38" s="12" t="s">
        <v>139</v>
      </c>
      <c r="H38" s="12"/>
      <c r="I38" s="6">
        <v>0</v>
      </c>
      <c r="J38" s="6">
        <v>0</v>
      </c>
      <c r="K38" s="6">
        <v>0</v>
      </c>
      <c r="L38" s="16">
        <v>0</v>
      </c>
      <c r="M38" s="5"/>
      <c r="N38" s="9">
        <v>0</v>
      </c>
      <c r="O38" s="6">
        <v>0</v>
      </c>
      <c r="P38" s="6">
        <v>0</v>
      </c>
      <c r="Q38" s="6">
        <v>0</v>
      </c>
      <c r="R38" s="16">
        <v>0</v>
      </c>
      <c r="S38" s="5"/>
      <c r="T38" s="17">
        <v>38000</v>
      </c>
      <c r="U38" s="7">
        <v>96914.01</v>
      </c>
      <c r="V38" s="7">
        <v>15431.7</v>
      </c>
      <c r="W38" s="7">
        <v>112345.71</v>
      </c>
      <c r="X38" s="7">
        <v>15431.7</v>
      </c>
      <c r="Y38" s="7">
        <v>74345.710000000006</v>
      </c>
      <c r="Z38" s="10" t="str">
        <f t="shared" si="0"/>
        <v>Sheet Metal</v>
      </c>
      <c r="AA38" s="24" t="str">
        <f t="shared" si="1"/>
        <v xml:space="preserve"> 3971. LAX People Mover</v>
      </c>
    </row>
    <row r="39" spans="1:27" ht="25.5" x14ac:dyDescent="0.2">
      <c r="A39" s="5" t="s">
        <v>146</v>
      </c>
      <c r="B39" s="5" t="s">
        <v>147</v>
      </c>
      <c r="C39" s="5" t="s">
        <v>16</v>
      </c>
      <c r="D39" s="5" t="s">
        <v>125</v>
      </c>
      <c r="E39" s="5" t="s">
        <v>88</v>
      </c>
      <c r="F39" s="5" t="s">
        <v>38</v>
      </c>
      <c r="G39" s="12" t="s">
        <v>139</v>
      </c>
      <c r="H39" s="12"/>
      <c r="I39" s="6">
        <v>0</v>
      </c>
      <c r="J39" s="6">
        <v>0</v>
      </c>
      <c r="K39" s="6">
        <v>0</v>
      </c>
      <c r="L39" s="16">
        <v>0</v>
      </c>
      <c r="M39" s="5"/>
      <c r="N39" s="9">
        <v>0</v>
      </c>
      <c r="O39" s="6">
        <v>0</v>
      </c>
      <c r="P39" s="6">
        <v>0</v>
      </c>
      <c r="Q39" s="6">
        <v>0</v>
      </c>
      <c r="R39" s="16">
        <v>0</v>
      </c>
      <c r="S39" s="5"/>
      <c r="T39" s="17">
        <v>5476</v>
      </c>
      <c r="U39" s="7">
        <v>0</v>
      </c>
      <c r="V39" s="7">
        <v>0</v>
      </c>
      <c r="W39" s="7">
        <v>0</v>
      </c>
      <c r="X39" s="7">
        <v>0</v>
      </c>
      <c r="Y39" s="7">
        <v>-5476</v>
      </c>
      <c r="Z39" s="10" t="str">
        <f t="shared" si="0"/>
        <v>Sheet Metal</v>
      </c>
      <c r="AA39" s="24" t="str">
        <f t="shared" si="1"/>
        <v xml:space="preserve"> 3971. LAX People Mover</v>
      </c>
    </row>
    <row r="40" spans="1:27" x14ac:dyDescent="0.2">
      <c r="A40" s="5" t="s">
        <v>146</v>
      </c>
      <c r="B40" s="5" t="s">
        <v>147</v>
      </c>
      <c r="C40" s="5" t="s">
        <v>16</v>
      </c>
      <c r="D40" s="5" t="s">
        <v>125</v>
      </c>
      <c r="E40" s="5" t="s">
        <v>88</v>
      </c>
      <c r="F40" s="5" t="s">
        <v>21</v>
      </c>
      <c r="G40" s="12" t="s">
        <v>139</v>
      </c>
      <c r="H40" s="12"/>
      <c r="I40" s="6">
        <v>0</v>
      </c>
      <c r="J40" s="6">
        <v>0</v>
      </c>
      <c r="K40" s="6">
        <v>0</v>
      </c>
      <c r="L40" s="16">
        <v>0</v>
      </c>
      <c r="M40" s="5"/>
      <c r="N40" s="9">
        <v>0</v>
      </c>
      <c r="O40" s="6">
        <v>0</v>
      </c>
      <c r="P40" s="6">
        <v>0</v>
      </c>
      <c r="Q40" s="6">
        <v>0</v>
      </c>
      <c r="R40" s="16">
        <v>0</v>
      </c>
      <c r="S40" s="5"/>
      <c r="T40" s="17">
        <v>25000</v>
      </c>
      <c r="U40" s="7">
        <v>0</v>
      </c>
      <c r="V40" s="7">
        <v>0</v>
      </c>
      <c r="W40" s="7">
        <v>0</v>
      </c>
      <c r="X40" s="7">
        <v>0</v>
      </c>
      <c r="Y40" s="7">
        <v>-25000</v>
      </c>
      <c r="Z40" s="10" t="str">
        <f t="shared" si="0"/>
        <v>Sheet Metal</v>
      </c>
      <c r="AA40" s="24" t="str">
        <f t="shared" si="1"/>
        <v xml:space="preserve"> 3971. LAX People Mover</v>
      </c>
    </row>
    <row r="41" spans="1:27" x14ac:dyDescent="0.2">
      <c r="A41" s="5" t="s">
        <v>148</v>
      </c>
      <c r="B41" s="5" t="s">
        <v>149</v>
      </c>
      <c r="C41" s="5" t="s">
        <v>119</v>
      </c>
      <c r="D41" s="5" t="s">
        <v>32</v>
      </c>
      <c r="E41" s="5" t="s">
        <v>88</v>
      </c>
      <c r="F41" s="5" t="s">
        <v>32</v>
      </c>
      <c r="G41" s="12" t="s">
        <v>139</v>
      </c>
      <c r="H41" s="12"/>
      <c r="I41" s="6">
        <v>0</v>
      </c>
      <c r="J41" s="6">
        <v>0</v>
      </c>
      <c r="K41" s="6">
        <v>0</v>
      </c>
      <c r="L41" s="16">
        <v>0</v>
      </c>
      <c r="M41" s="5"/>
      <c r="N41" s="9">
        <v>0</v>
      </c>
      <c r="O41" s="6">
        <v>0</v>
      </c>
      <c r="P41" s="6">
        <v>0</v>
      </c>
      <c r="Q41" s="6">
        <v>0</v>
      </c>
      <c r="R41" s="16">
        <v>0</v>
      </c>
      <c r="S41" s="5"/>
      <c r="T41" s="17">
        <v>142505</v>
      </c>
      <c r="U41" s="7">
        <v>66170</v>
      </c>
      <c r="V41" s="7">
        <v>76110</v>
      </c>
      <c r="W41" s="7">
        <v>142280</v>
      </c>
      <c r="X41" s="7">
        <v>76110</v>
      </c>
      <c r="Y41" s="7">
        <v>-225</v>
      </c>
      <c r="Z41" s="10" t="str">
        <f t="shared" si="0"/>
        <v>Sheet Metal</v>
      </c>
      <c r="AA41" s="24" t="str">
        <f t="shared" si="1"/>
        <v xml:space="preserve"> 3971. LAX People Mover</v>
      </c>
    </row>
    <row r="42" spans="1:27" x14ac:dyDescent="0.2">
      <c r="A42" s="5" t="s">
        <v>150</v>
      </c>
      <c r="B42" s="5" t="s">
        <v>151</v>
      </c>
      <c r="C42" s="5" t="s">
        <v>119</v>
      </c>
      <c r="D42" s="5" t="s">
        <v>32</v>
      </c>
      <c r="E42" s="5" t="s">
        <v>88</v>
      </c>
      <c r="F42" s="5" t="s">
        <v>32</v>
      </c>
      <c r="G42" s="12" t="s">
        <v>139</v>
      </c>
      <c r="H42" s="12"/>
      <c r="I42" s="6">
        <v>0</v>
      </c>
      <c r="J42" s="6">
        <v>0</v>
      </c>
      <c r="K42" s="6">
        <v>0</v>
      </c>
      <c r="L42" s="16">
        <v>0</v>
      </c>
      <c r="M42" s="5"/>
      <c r="N42" s="9">
        <v>0</v>
      </c>
      <c r="O42" s="6">
        <v>0</v>
      </c>
      <c r="P42" s="6">
        <v>0</v>
      </c>
      <c r="Q42" s="6">
        <v>0</v>
      </c>
      <c r="R42" s="16">
        <v>0</v>
      </c>
      <c r="S42" s="5"/>
      <c r="T42" s="17">
        <v>140760</v>
      </c>
      <c r="U42" s="7">
        <v>48525</v>
      </c>
      <c r="V42" s="7">
        <v>0</v>
      </c>
      <c r="W42" s="7">
        <v>48525</v>
      </c>
      <c r="X42" s="7">
        <v>0</v>
      </c>
      <c r="Y42" s="7">
        <v>-92235</v>
      </c>
      <c r="Z42" s="10" t="str">
        <f t="shared" si="0"/>
        <v>Sheet Metal</v>
      </c>
      <c r="AA42" s="24" t="str">
        <f t="shared" si="1"/>
        <v xml:space="preserve"> 3971. LAX People Mover</v>
      </c>
    </row>
    <row r="43" spans="1:27" x14ac:dyDescent="0.2">
      <c r="A43" s="5" t="s">
        <v>152</v>
      </c>
      <c r="B43" s="5" t="s">
        <v>153</v>
      </c>
      <c r="C43" s="5" t="s">
        <v>119</v>
      </c>
      <c r="D43" s="5" t="s">
        <v>32</v>
      </c>
      <c r="E43" s="5" t="s">
        <v>88</v>
      </c>
      <c r="F43" s="5" t="s">
        <v>32</v>
      </c>
      <c r="G43" s="12" t="s">
        <v>139</v>
      </c>
      <c r="H43" s="12"/>
      <c r="I43" s="6">
        <v>0</v>
      </c>
      <c r="J43" s="6">
        <v>0</v>
      </c>
      <c r="K43" s="6">
        <v>0</v>
      </c>
      <c r="L43" s="16">
        <v>0</v>
      </c>
      <c r="M43" s="5"/>
      <c r="N43" s="9">
        <v>0</v>
      </c>
      <c r="O43" s="6">
        <v>0</v>
      </c>
      <c r="P43" s="6">
        <v>0</v>
      </c>
      <c r="Q43" s="6">
        <v>0</v>
      </c>
      <c r="R43" s="16">
        <v>0</v>
      </c>
      <c r="S43" s="5"/>
      <c r="T43" s="17">
        <v>546928</v>
      </c>
      <c r="U43" s="7">
        <v>432134.31</v>
      </c>
      <c r="V43" s="7">
        <v>0</v>
      </c>
      <c r="W43" s="7">
        <v>432134.31</v>
      </c>
      <c r="X43" s="7">
        <v>0</v>
      </c>
      <c r="Y43" s="7">
        <v>-114793.69</v>
      </c>
      <c r="Z43" s="10" t="str">
        <f t="shared" si="0"/>
        <v>Sheet Metal</v>
      </c>
      <c r="AA43" s="24" t="str">
        <f t="shared" si="1"/>
        <v xml:space="preserve"> 3971. LAX People Mover</v>
      </c>
    </row>
    <row r="44" spans="1:27" x14ac:dyDescent="0.2">
      <c r="A44" s="5" t="s">
        <v>154</v>
      </c>
      <c r="B44" s="5" t="s">
        <v>155</v>
      </c>
      <c r="C44" s="5" t="s">
        <v>119</v>
      </c>
      <c r="D44" s="5" t="s">
        <v>32</v>
      </c>
      <c r="E44" s="5" t="s">
        <v>88</v>
      </c>
      <c r="F44" s="5" t="s">
        <v>32</v>
      </c>
      <c r="G44" s="12" t="s">
        <v>139</v>
      </c>
      <c r="H44" s="12"/>
      <c r="I44" s="6">
        <v>0</v>
      </c>
      <c r="J44" s="6">
        <v>0</v>
      </c>
      <c r="K44" s="6">
        <v>0</v>
      </c>
      <c r="L44" s="16">
        <v>0</v>
      </c>
      <c r="M44" s="5"/>
      <c r="N44" s="9">
        <v>0</v>
      </c>
      <c r="O44" s="6">
        <v>0</v>
      </c>
      <c r="P44" s="6">
        <v>0</v>
      </c>
      <c r="Q44" s="6">
        <v>0</v>
      </c>
      <c r="R44" s="16">
        <v>0</v>
      </c>
      <c r="S44" s="5"/>
      <c r="T44" s="17">
        <v>6500</v>
      </c>
      <c r="U44" s="7">
        <v>2134.27</v>
      </c>
      <c r="V44" s="7">
        <v>0</v>
      </c>
      <c r="W44" s="7">
        <v>6500</v>
      </c>
      <c r="X44" s="7">
        <v>4365.7299999999996</v>
      </c>
      <c r="Y44" s="7">
        <v>0</v>
      </c>
      <c r="Z44" s="10" t="str">
        <f t="shared" si="0"/>
        <v>Sheet Metal</v>
      </c>
      <c r="AA44" s="24" t="str">
        <f t="shared" si="1"/>
        <v xml:space="preserve"> 3971. LAX People Mover</v>
      </c>
    </row>
    <row r="45" spans="1:27" x14ac:dyDescent="0.2">
      <c r="A45" s="5" t="s">
        <v>156</v>
      </c>
      <c r="B45" s="5" t="s">
        <v>157</v>
      </c>
      <c r="C45" s="5" t="s">
        <v>16</v>
      </c>
      <c r="D45" s="5" t="s">
        <v>32</v>
      </c>
      <c r="E45" s="5" t="s">
        <v>88</v>
      </c>
      <c r="F45" s="5" t="s">
        <v>25</v>
      </c>
      <c r="G45" s="12" t="s">
        <v>139</v>
      </c>
      <c r="H45" s="12"/>
      <c r="I45" s="6">
        <v>0</v>
      </c>
      <c r="J45" s="6">
        <v>9</v>
      </c>
      <c r="K45" s="6">
        <v>0</v>
      </c>
      <c r="L45" s="16">
        <v>-9</v>
      </c>
      <c r="M45" s="5"/>
      <c r="N45" s="9">
        <v>0</v>
      </c>
      <c r="O45" s="6">
        <v>0</v>
      </c>
      <c r="P45" s="6">
        <v>0</v>
      </c>
      <c r="Q45" s="6">
        <v>0</v>
      </c>
      <c r="R45" s="16">
        <v>0</v>
      </c>
      <c r="S45" s="5"/>
      <c r="T45" s="17">
        <v>0</v>
      </c>
      <c r="U45" s="7">
        <v>371.33</v>
      </c>
      <c r="V45" s="7">
        <v>0</v>
      </c>
      <c r="W45" s="7">
        <v>371.33</v>
      </c>
      <c r="X45" s="7">
        <v>0</v>
      </c>
      <c r="Y45" s="7">
        <v>371.33</v>
      </c>
      <c r="Z45" s="10" t="str">
        <f t="shared" si="0"/>
        <v>Sheet Metal</v>
      </c>
      <c r="AA45" s="24" t="str">
        <f t="shared" si="1"/>
        <v xml:space="preserve"> 3971. LAX People Mover</v>
      </c>
    </row>
    <row r="46" spans="1:27" x14ac:dyDescent="0.2">
      <c r="A46" s="5" t="s">
        <v>156</v>
      </c>
      <c r="B46" s="5" t="s">
        <v>157</v>
      </c>
      <c r="C46" s="5" t="s">
        <v>16</v>
      </c>
      <c r="D46" s="5" t="s">
        <v>32</v>
      </c>
      <c r="E46" s="5" t="s">
        <v>88</v>
      </c>
      <c r="F46" s="5" t="s">
        <v>32</v>
      </c>
      <c r="G46" s="12" t="s">
        <v>139</v>
      </c>
      <c r="H46" s="12"/>
      <c r="I46" s="6">
        <v>0</v>
      </c>
      <c r="J46" s="6">
        <v>0</v>
      </c>
      <c r="K46" s="6">
        <v>0</v>
      </c>
      <c r="L46" s="16">
        <v>0</v>
      </c>
      <c r="M46" s="5"/>
      <c r="N46" s="9">
        <v>0</v>
      </c>
      <c r="O46" s="6">
        <v>0</v>
      </c>
      <c r="P46" s="6">
        <v>0</v>
      </c>
      <c r="Q46" s="6">
        <v>0</v>
      </c>
      <c r="R46" s="16">
        <v>0</v>
      </c>
      <c r="S46" s="5"/>
      <c r="T46" s="17">
        <v>227681</v>
      </c>
      <c r="U46" s="7">
        <v>237714.07</v>
      </c>
      <c r="V46" s="7">
        <v>28066.38</v>
      </c>
      <c r="W46" s="7">
        <v>265780.45</v>
      </c>
      <c r="X46" s="7">
        <v>28066.38</v>
      </c>
      <c r="Y46" s="7">
        <v>38099.449999999997</v>
      </c>
      <c r="Z46" s="10" t="str">
        <f t="shared" si="0"/>
        <v>Sheet Metal</v>
      </c>
      <c r="AA46" s="24" t="str">
        <f t="shared" si="1"/>
        <v xml:space="preserve"> 3971. LAX People Mover</v>
      </c>
    </row>
    <row r="47" spans="1:27" x14ac:dyDescent="0.2">
      <c r="A47" s="5" t="s">
        <v>158</v>
      </c>
      <c r="B47" s="5" t="s">
        <v>159</v>
      </c>
      <c r="C47" s="5" t="s">
        <v>16</v>
      </c>
      <c r="D47" s="5" t="s">
        <v>22</v>
      </c>
      <c r="E47" s="5" t="s">
        <v>88</v>
      </c>
      <c r="F47" s="5" t="s">
        <v>25</v>
      </c>
      <c r="G47" s="12" t="s">
        <v>139</v>
      </c>
      <c r="H47" s="12"/>
      <c r="I47" s="6">
        <v>0</v>
      </c>
      <c r="J47" s="6">
        <v>4401</v>
      </c>
      <c r="K47" s="6">
        <v>0</v>
      </c>
      <c r="L47" s="16">
        <v>-4401</v>
      </c>
      <c r="M47" s="5"/>
      <c r="N47" s="9">
        <v>0</v>
      </c>
      <c r="O47" s="6">
        <v>0</v>
      </c>
      <c r="P47" s="6">
        <v>0</v>
      </c>
      <c r="Q47" s="6">
        <v>0</v>
      </c>
      <c r="R47" s="16">
        <v>0</v>
      </c>
      <c r="S47" s="5"/>
      <c r="T47" s="17">
        <v>11140</v>
      </c>
      <c r="U47" s="7">
        <v>19257.439999999999</v>
      </c>
      <c r="V47" s="7">
        <v>0</v>
      </c>
      <c r="W47" s="7">
        <v>19757.439999999999</v>
      </c>
      <c r="X47" s="7">
        <v>500</v>
      </c>
      <c r="Y47" s="7">
        <v>8617.44</v>
      </c>
      <c r="Z47" s="10" t="str">
        <f t="shared" si="0"/>
        <v>Sheet Metal</v>
      </c>
      <c r="AA47" s="24" t="str">
        <f t="shared" si="1"/>
        <v xml:space="preserve"> 3971. LAX People Mover</v>
      </c>
    </row>
    <row r="48" spans="1:27" x14ac:dyDescent="0.2">
      <c r="A48" s="5" t="s">
        <v>160</v>
      </c>
      <c r="B48" s="5" t="s">
        <v>161</v>
      </c>
      <c r="C48" s="5" t="s">
        <v>16</v>
      </c>
      <c r="D48" s="5" t="s">
        <v>22</v>
      </c>
      <c r="E48" s="5" t="s">
        <v>88</v>
      </c>
      <c r="F48" s="5" t="s">
        <v>21</v>
      </c>
      <c r="G48" s="12" t="s">
        <v>139</v>
      </c>
      <c r="H48" s="12"/>
      <c r="I48" s="6">
        <v>0</v>
      </c>
      <c r="J48" s="6">
        <v>899</v>
      </c>
      <c r="K48" s="6">
        <v>0</v>
      </c>
      <c r="L48" s="16">
        <v>-899</v>
      </c>
      <c r="M48" s="5"/>
      <c r="N48" s="9">
        <v>0</v>
      </c>
      <c r="O48" s="6">
        <v>0</v>
      </c>
      <c r="P48" s="6">
        <v>0</v>
      </c>
      <c r="Q48" s="6">
        <v>0</v>
      </c>
      <c r="R48" s="16">
        <v>0</v>
      </c>
      <c r="S48" s="5"/>
      <c r="T48" s="17">
        <v>39631</v>
      </c>
      <c r="U48" s="7">
        <v>29112.78</v>
      </c>
      <c r="V48" s="7">
        <v>0</v>
      </c>
      <c r="W48" s="7">
        <v>29112.78</v>
      </c>
      <c r="X48" s="7">
        <v>0</v>
      </c>
      <c r="Y48" s="7">
        <v>-10518.22</v>
      </c>
      <c r="Z48" s="10" t="str">
        <f t="shared" si="0"/>
        <v>Sheet Metal</v>
      </c>
      <c r="AA48" s="24" t="str">
        <f t="shared" si="1"/>
        <v xml:space="preserve"> 3971. LAX People Mover</v>
      </c>
    </row>
    <row r="49" spans="1:27" x14ac:dyDescent="0.2">
      <c r="A49" s="5" t="s">
        <v>162</v>
      </c>
      <c r="B49" s="5" t="s">
        <v>163</v>
      </c>
      <c r="C49" s="5" t="s">
        <v>16</v>
      </c>
      <c r="D49" s="5" t="s">
        <v>28</v>
      </c>
      <c r="E49" s="5" t="s">
        <v>88</v>
      </c>
      <c r="F49" s="5" t="s">
        <v>25</v>
      </c>
      <c r="G49" s="12" t="s">
        <v>164</v>
      </c>
      <c r="H49" s="12"/>
      <c r="I49" s="6">
        <v>0</v>
      </c>
      <c r="J49" s="6">
        <v>3593</v>
      </c>
      <c r="K49" s="6">
        <v>52</v>
      </c>
      <c r="L49" s="16">
        <v>-3541</v>
      </c>
      <c r="M49" s="5"/>
      <c r="N49" s="9">
        <v>0</v>
      </c>
      <c r="O49" s="6">
        <v>0</v>
      </c>
      <c r="P49" s="6">
        <v>0</v>
      </c>
      <c r="Q49" s="6">
        <v>0</v>
      </c>
      <c r="R49" s="16">
        <v>0</v>
      </c>
      <c r="S49" s="5"/>
      <c r="T49" s="17">
        <v>31472.799999999999</v>
      </c>
      <c r="U49" s="7">
        <v>39681.4</v>
      </c>
      <c r="V49" s="7">
        <v>0</v>
      </c>
      <c r="W49" s="7">
        <v>39681.4</v>
      </c>
      <c r="X49" s="7">
        <v>0</v>
      </c>
      <c r="Y49" s="7">
        <v>8208.6</v>
      </c>
      <c r="Z49" s="10" t="str">
        <f t="shared" si="0"/>
        <v>Piping</v>
      </c>
      <c r="AA49" s="24" t="str">
        <f t="shared" si="1"/>
        <v xml:space="preserve"> 3971. LAX People Mover</v>
      </c>
    </row>
    <row r="50" spans="1:27" x14ac:dyDescent="0.2">
      <c r="A50" s="5" t="s">
        <v>165</v>
      </c>
      <c r="B50" s="5" t="s">
        <v>166</v>
      </c>
      <c r="C50" s="5" t="s">
        <v>16</v>
      </c>
      <c r="D50" s="5" t="s">
        <v>28</v>
      </c>
      <c r="E50" s="5" t="s">
        <v>88</v>
      </c>
      <c r="F50" s="5" t="s">
        <v>25</v>
      </c>
      <c r="G50" s="12" t="s">
        <v>164</v>
      </c>
      <c r="H50" s="12"/>
      <c r="I50" s="6">
        <v>0</v>
      </c>
      <c r="J50" s="6">
        <v>39673</v>
      </c>
      <c r="K50" s="6">
        <v>98</v>
      </c>
      <c r="L50" s="16">
        <v>-39575</v>
      </c>
      <c r="M50" s="5"/>
      <c r="N50" s="9">
        <v>0</v>
      </c>
      <c r="O50" s="6">
        <v>0</v>
      </c>
      <c r="P50" s="6">
        <v>0</v>
      </c>
      <c r="Q50" s="6">
        <v>0</v>
      </c>
      <c r="R50" s="16">
        <v>0</v>
      </c>
      <c r="S50" s="5"/>
      <c r="T50" s="17">
        <v>35906</v>
      </c>
      <c r="U50" s="7">
        <v>217288.43</v>
      </c>
      <c r="V50" s="7">
        <v>0</v>
      </c>
      <c r="W50" s="7">
        <v>217288.43</v>
      </c>
      <c r="X50" s="7">
        <v>0</v>
      </c>
      <c r="Y50" s="7">
        <v>181382.43</v>
      </c>
      <c r="Z50" s="10" t="str">
        <f t="shared" si="0"/>
        <v>Piping</v>
      </c>
      <c r="AA50" s="24" t="str">
        <f t="shared" si="1"/>
        <v xml:space="preserve"> 3971. LAX People Mover</v>
      </c>
    </row>
    <row r="51" spans="1:27" x14ac:dyDescent="0.2">
      <c r="A51" s="5" t="s">
        <v>167</v>
      </c>
      <c r="B51" s="5" t="s">
        <v>168</v>
      </c>
      <c r="C51" s="5" t="s">
        <v>16</v>
      </c>
      <c r="D51" s="5" t="s">
        <v>169</v>
      </c>
      <c r="E51" s="5" t="s">
        <v>88</v>
      </c>
      <c r="F51" s="5" t="s">
        <v>25</v>
      </c>
      <c r="G51" s="12" t="s">
        <v>164</v>
      </c>
      <c r="H51" s="12"/>
      <c r="I51" s="6">
        <v>0</v>
      </c>
      <c r="J51" s="6">
        <v>7564</v>
      </c>
      <c r="K51" s="6">
        <v>0</v>
      </c>
      <c r="L51" s="16">
        <v>-7564</v>
      </c>
      <c r="M51" s="5"/>
      <c r="N51" s="9">
        <v>0</v>
      </c>
      <c r="O51" s="6">
        <v>0</v>
      </c>
      <c r="P51" s="6">
        <v>0</v>
      </c>
      <c r="Q51" s="6">
        <v>0</v>
      </c>
      <c r="R51" s="16">
        <v>0</v>
      </c>
      <c r="S51" s="5"/>
      <c r="T51" s="17">
        <v>84121.12</v>
      </c>
      <c r="U51" s="7">
        <v>60826.66</v>
      </c>
      <c r="V51" s="7">
        <v>0</v>
      </c>
      <c r="W51" s="7">
        <v>60826.66</v>
      </c>
      <c r="X51" s="7">
        <v>0</v>
      </c>
      <c r="Y51" s="7">
        <v>-23294.46</v>
      </c>
      <c r="Z51" s="10" t="str">
        <f t="shared" si="0"/>
        <v>Piping</v>
      </c>
      <c r="AA51" s="24" t="str">
        <f t="shared" si="1"/>
        <v xml:space="preserve"> 3971. LAX People Mover</v>
      </c>
    </row>
    <row r="52" spans="1:27" x14ac:dyDescent="0.2">
      <c r="A52" s="5" t="s">
        <v>170</v>
      </c>
      <c r="B52" s="5" t="s">
        <v>171</v>
      </c>
      <c r="C52" s="5" t="s">
        <v>16</v>
      </c>
      <c r="D52" s="5" t="s">
        <v>28</v>
      </c>
      <c r="E52" s="5" t="s">
        <v>88</v>
      </c>
      <c r="F52" s="5" t="s">
        <v>25</v>
      </c>
      <c r="G52" s="12" t="s">
        <v>164</v>
      </c>
      <c r="H52" s="12"/>
      <c r="I52" s="6">
        <v>0</v>
      </c>
      <c r="J52" s="6">
        <v>86</v>
      </c>
      <c r="K52" s="6">
        <v>71</v>
      </c>
      <c r="L52" s="16">
        <v>-15</v>
      </c>
      <c r="M52" s="5"/>
      <c r="N52" s="9">
        <v>0</v>
      </c>
      <c r="O52" s="6">
        <v>0</v>
      </c>
      <c r="P52" s="6">
        <v>0</v>
      </c>
      <c r="Q52" s="6">
        <v>0</v>
      </c>
      <c r="R52" s="16">
        <v>0</v>
      </c>
      <c r="S52" s="5"/>
      <c r="T52" s="17">
        <v>45571</v>
      </c>
      <c r="U52" s="7">
        <v>70587.199999999997</v>
      </c>
      <c r="V52" s="7">
        <v>0</v>
      </c>
      <c r="W52" s="7">
        <v>70587.199999999997</v>
      </c>
      <c r="X52" s="7">
        <v>0</v>
      </c>
      <c r="Y52" s="7">
        <v>25016.2</v>
      </c>
      <c r="Z52" s="10" t="str">
        <f t="shared" si="0"/>
        <v>Piping</v>
      </c>
      <c r="AA52" s="24" t="str">
        <f t="shared" si="1"/>
        <v xml:space="preserve"> 3971. LAX People Mover</v>
      </c>
    </row>
    <row r="53" spans="1:27" x14ac:dyDescent="0.2">
      <c r="A53" s="5" t="s">
        <v>172</v>
      </c>
      <c r="B53" s="5" t="s">
        <v>30</v>
      </c>
      <c r="C53" s="5" t="s">
        <v>16</v>
      </c>
      <c r="D53" s="5" t="s">
        <v>104</v>
      </c>
      <c r="E53" s="5" t="s">
        <v>88</v>
      </c>
      <c r="F53" s="5" t="s">
        <v>25</v>
      </c>
      <c r="G53" s="12" t="s">
        <v>164</v>
      </c>
      <c r="H53" s="12"/>
      <c r="I53" s="6">
        <v>0</v>
      </c>
      <c r="J53" s="6">
        <v>457</v>
      </c>
      <c r="K53" s="6">
        <v>0</v>
      </c>
      <c r="L53" s="16">
        <v>-457</v>
      </c>
      <c r="M53" s="5"/>
      <c r="N53" s="9">
        <v>0</v>
      </c>
      <c r="O53" s="6">
        <v>0</v>
      </c>
      <c r="P53" s="6">
        <v>0</v>
      </c>
      <c r="Q53" s="6">
        <v>0</v>
      </c>
      <c r="R53" s="16">
        <v>0</v>
      </c>
      <c r="S53" s="5"/>
      <c r="T53" s="17">
        <v>32800</v>
      </c>
      <c r="U53" s="7">
        <v>21420.2</v>
      </c>
      <c r="V53" s="7">
        <v>0</v>
      </c>
      <c r="W53" s="7">
        <v>21420.2</v>
      </c>
      <c r="X53" s="7">
        <v>0</v>
      </c>
      <c r="Y53" s="7">
        <v>-11379.8</v>
      </c>
      <c r="Z53" s="10" t="str">
        <f t="shared" si="0"/>
        <v>Piping</v>
      </c>
      <c r="AA53" s="24" t="str">
        <f t="shared" si="1"/>
        <v xml:space="preserve"> 3971. LAX People Mover</v>
      </c>
    </row>
    <row r="54" spans="1:27" x14ac:dyDescent="0.2">
      <c r="A54" s="5" t="s">
        <v>173</v>
      </c>
      <c r="B54" s="5" t="s">
        <v>174</v>
      </c>
      <c r="C54" s="5" t="s">
        <v>16</v>
      </c>
      <c r="D54" s="5" t="s">
        <v>107</v>
      </c>
      <c r="E54" s="5" t="s">
        <v>88</v>
      </c>
      <c r="F54" s="5" t="s">
        <v>25</v>
      </c>
      <c r="G54" s="12" t="s">
        <v>164</v>
      </c>
      <c r="H54" s="12"/>
      <c r="I54" s="6">
        <v>0</v>
      </c>
      <c r="J54" s="6">
        <v>73840</v>
      </c>
      <c r="K54" s="6">
        <v>2</v>
      </c>
      <c r="L54" s="16">
        <v>-73838</v>
      </c>
      <c r="M54" s="5"/>
      <c r="N54" s="9">
        <v>0</v>
      </c>
      <c r="O54" s="6">
        <v>0</v>
      </c>
      <c r="P54" s="6">
        <v>0</v>
      </c>
      <c r="Q54" s="6">
        <v>0</v>
      </c>
      <c r="R54" s="16">
        <v>0</v>
      </c>
      <c r="S54" s="5"/>
      <c r="T54" s="17">
        <v>93562</v>
      </c>
      <c r="U54" s="7">
        <v>181357.57</v>
      </c>
      <c r="V54" s="7">
        <v>0</v>
      </c>
      <c r="W54" s="7">
        <v>181857.57</v>
      </c>
      <c r="X54" s="7">
        <v>500</v>
      </c>
      <c r="Y54" s="7">
        <v>88295.57</v>
      </c>
      <c r="Z54" s="10" t="str">
        <f t="shared" si="0"/>
        <v>Piping</v>
      </c>
      <c r="AA54" s="24" t="str">
        <f t="shared" si="1"/>
        <v xml:space="preserve"> 3971. LAX People Mover</v>
      </c>
    </row>
    <row r="55" spans="1:27" x14ac:dyDescent="0.2">
      <c r="A55" s="5" t="s">
        <v>175</v>
      </c>
      <c r="B55" s="5" t="s">
        <v>29</v>
      </c>
      <c r="C55" s="5" t="s">
        <v>16</v>
      </c>
      <c r="D55" s="5" t="s">
        <v>104</v>
      </c>
      <c r="E55" s="5" t="s">
        <v>88</v>
      </c>
      <c r="F55" s="5" t="s">
        <v>25</v>
      </c>
      <c r="G55" s="12" t="s">
        <v>164</v>
      </c>
      <c r="H55" s="12"/>
      <c r="I55" s="6">
        <v>0</v>
      </c>
      <c r="J55" s="6">
        <v>1632</v>
      </c>
      <c r="K55" s="6">
        <v>2</v>
      </c>
      <c r="L55" s="16">
        <v>-1630</v>
      </c>
      <c r="M55" s="5"/>
      <c r="N55" s="9">
        <v>0</v>
      </c>
      <c r="O55" s="6">
        <v>0</v>
      </c>
      <c r="P55" s="6">
        <v>0</v>
      </c>
      <c r="Q55" s="6">
        <v>0</v>
      </c>
      <c r="R55" s="16">
        <v>0</v>
      </c>
      <c r="S55" s="5"/>
      <c r="T55" s="17">
        <v>48347.11</v>
      </c>
      <c r="U55" s="7">
        <v>86225.56</v>
      </c>
      <c r="V55" s="7">
        <v>0</v>
      </c>
      <c r="W55" s="7">
        <v>86225.56</v>
      </c>
      <c r="X55" s="7">
        <v>0</v>
      </c>
      <c r="Y55" s="7">
        <v>37878.449999999997</v>
      </c>
      <c r="Z55" s="10" t="str">
        <f t="shared" si="0"/>
        <v>Piping</v>
      </c>
      <c r="AA55" s="24" t="str">
        <f t="shared" si="1"/>
        <v xml:space="preserve"> 3971. LAX People Mover</v>
      </c>
    </row>
    <row r="56" spans="1:27" x14ac:dyDescent="0.2">
      <c r="A56" s="5" t="s">
        <v>176</v>
      </c>
      <c r="B56" s="5" t="s">
        <v>177</v>
      </c>
      <c r="C56" s="5" t="s">
        <v>16</v>
      </c>
      <c r="D56" s="5" t="s">
        <v>104</v>
      </c>
      <c r="E56" s="5" t="s">
        <v>88</v>
      </c>
      <c r="F56" s="5" t="s">
        <v>25</v>
      </c>
      <c r="G56" s="12" t="s">
        <v>164</v>
      </c>
      <c r="H56" s="12"/>
      <c r="I56" s="6">
        <v>0</v>
      </c>
      <c r="J56" s="6">
        <v>2562</v>
      </c>
      <c r="K56" s="6">
        <v>0</v>
      </c>
      <c r="L56" s="16">
        <v>-2562</v>
      </c>
      <c r="M56" s="5"/>
      <c r="N56" s="9">
        <v>0</v>
      </c>
      <c r="O56" s="6">
        <v>0</v>
      </c>
      <c r="P56" s="6">
        <v>0</v>
      </c>
      <c r="Q56" s="6">
        <v>0</v>
      </c>
      <c r="R56" s="16">
        <v>0</v>
      </c>
      <c r="S56" s="5"/>
      <c r="T56" s="17">
        <v>3443</v>
      </c>
      <c r="U56" s="7">
        <v>25301.19</v>
      </c>
      <c r="V56" s="7">
        <v>0</v>
      </c>
      <c r="W56" s="7">
        <v>25301.19</v>
      </c>
      <c r="X56" s="7">
        <v>0</v>
      </c>
      <c r="Y56" s="7">
        <v>21858.19</v>
      </c>
      <c r="Z56" s="10" t="str">
        <f t="shared" si="0"/>
        <v>Piping</v>
      </c>
      <c r="AA56" s="24" t="str">
        <f t="shared" si="1"/>
        <v xml:space="preserve"> 3971. LAX People Mover</v>
      </c>
    </row>
    <row r="57" spans="1:27" x14ac:dyDescent="0.2">
      <c r="A57" s="5" t="s">
        <v>178</v>
      </c>
      <c r="B57" s="5" t="s">
        <v>179</v>
      </c>
      <c r="C57" s="5" t="s">
        <v>16</v>
      </c>
      <c r="D57" s="5" t="s">
        <v>125</v>
      </c>
      <c r="E57" s="5" t="s">
        <v>88</v>
      </c>
      <c r="F57" s="5" t="s">
        <v>25</v>
      </c>
      <c r="G57" s="12" t="s">
        <v>164</v>
      </c>
      <c r="H57" s="12"/>
      <c r="I57" s="6">
        <v>0</v>
      </c>
      <c r="J57" s="6">
        <v>0</v>
      </c>
      <c r="K57" s="6">
        <v>0</v>
      </c>
      <c r="L57" s="16">
        <v>0</v>
      </c>
      <c r="M57" s="5"/>
      <c r="N57" s="9">
        <v>0</v>
      </c>
      <c r="O57" s="6">
        <v>0</v>
      </c>
      <c r="P57" s="6">
        <v>0</v>
      </c>
      <c r="Q57" s="6">
        <v>0</v>
      </c>
      <c r="R57" s="16">
        <v>0</v>
      </c>
      <c r="S57" s="5"/>
      <c r="T57" s="1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10" t="str">
        <f t="shared" si="0"/>
        <v>Piping</v>
      </c>
      <c r="AA57" s="24" t="str">
        <f t="shared" si="1"/>
        <v xml:space="preserve"> 3971. LAX People Mover</v>
      </c>
    </row>
    <row r="58" spans="1:27" x14ac:dyDescent="0.2">
      <c r="A58" s="5" t="s">
        <v>180</v>
      </c>
      <c r="B58" s="5" t="s">
        <v>181</v>
      </c>
      <c r="C58" s="5" t="s">
        <v>119</v>
      </c>
      <c r="D58" s="5" t="s">
        <v>32</v>
      </c>
      <c r="E58" s="5" t="s">
        <v>88</v>
      </c>
      <c r="F58" s="5" t="s">
        <v>32</v>
      </c>
      <c r="G58" s="12" t="s">
        <v>164</v>
      </c>
      <c r="H58" s="12"/>
      <c r="I58" s="6">
        <v>0</v>
      </c>
      <c r="J58" s="6">
        <v>0</v>
      </c>
      <c r="K58" s="6">
        <v>0</v>
      </c>
      <c r="L58" s="16">
        <v>0</v>
      </c>
      <c r="M58" s="5"/>
      <c r="N58" s="9">
        <v>0</v>
      </c>
      <c r="O58" s="6">
        <v>0</v>
      </c>
      <c r="P58" s="6">
        <v>0</v>
      </c>
      <c r="Q58" s="6">
        <v>0</v>
      </c>
      <c r="R58" s="16">
        <v>0</v>
      </c>
      <c r="S58" s="5"/>
      <c r="T58" s="17">
        <v>120000</v>
      </c>
      <c r="U58" s="7">
        <v>104797.97</v>
      </c>
      <c r="V58" s="7">
        <v>2.9</v>
      </c>
      <c r="W58" s="7">
        <v>104800.87</v>
      </c>
      <c r="X58" s="7">
        <v>2.9</v>
      </c>
      <c r="Y58" s="7">
        <v>-15199.13</v>
      </c>
      <c r="Z58" s="10" t="str">
        <f t="shared" si="0"/>
        <v>Piping</v>
      </c>
      <c r="AA58" s="24" t="str">
        <f t="shared" si="1"/>
        <v xml:space="preserve"> 3971. LAX People Mover</v>
      </c>
    </row>
    <row r="59" spans="1:27" ht="25.5" x14ac:dyDescent="0.2">
      <c r="A59" s="5" t="s">
        <v>182</v>
      </c>
      <c r="B59" s="5" t="s">
        <v>183</v>
      </c>
      <c r="C59" s="5" t="s">
        <v>119</v>
      </c>
      <c r="D59" s="5" t="s">
        <v>32</v>
      </c>
      <c r="E59" s="5" t="s">
        <v>123</v>
      </c>
      <c r="F59" s="5" t="s">
        <v>25</v>
      </c>
      <c r="G59" s="12" t="s">
        <v>164</v>
      </c>
      <c r="H59" s="12"/>
      <c r="I59" s="6">
        <v>0</v>
      </c>
      <c r="J59" s="6">
        <v>0</v>
      </c>
      <c r="K59" s="6">
        <v>0</v>
      </c>
      <c r="L59" s="16">
        <v>0</v>
      </c>
      <c r="M59" s="5"/>
      <c r="N59" s="9">
        <v>0</v>
      </c>
      <c r="O59" s="6">
        <v>0</v>
      </c>
      <c r="P59" s="6">
        <v>0</v>
      </c>
      <c r="Q59" s="6">
        <v>0</v>
      </c>
      <c r="R59" s="16">
        <v>0</v>
      </c>
      <c r="S59" s="5"/>
      <c r="T59" s="17">
        <v>0</v>
      </c>
      <c r="U59" s="7">
        <v>1729.24</v>
      </c>
      <c r="V59" s="7">
        <v>0</v>
      </c>
      <c r="W59" s="7">
        <v>1729.24</v>
      </c>
      <c r="X59" s="7">
        <v>0</v>
      </c>
      <c r="Y59" s="7">
        <v>1729.24</v>
      </c>
      <c r="Z59" s="10" t="str">
        <f t="shared" si="0"/>
        <v>Piping</v>
      </c>
      <c r="AA59" s="24" t="str">
        <f t="shared" si="1"/>
        <v xml:space="preserve"> 3971. LAX People Mover</v>
      </c>
    </row>
    <row r="60" spans="1:27" ht="25.5" x14ac:dyDescent="0.2">
      <c r="A60" s="5" t="s">
        <v>182</v>
      </c>
      <c r="B60" s="5" t="s">
        <v>183</v>
      </c>
      <c r="C60" s="5" t="s">
        <v>119</v>
      </c>
      <c r="D60" s="5" t="s">
        <v>32</v>
      </c>
      <c r="E60" s="5" t="s">
        <v>123</v>
      </c>
      <c r="F60" s="5" t="s">
        <v>32</v>
      </c>
      <c r="G60" s="12" t="s">
        <v>164</v>
      </c>
      <c r="H60" s="12"/>
      <c r="I60" s="6">
        <v>0</v>
      </c>
      <c r="J60" s="6">
        <v>0</v>
      </c>
      <c r="K60" s="6">
        <v>0</v>
      </c>
      <c r="L60" s="16">
        <v>0</v>
      </c>
      <c r="M60" s="5"/>
      <c r="N60" s="9">
        <v>0</v>
      </c>
      <c r="O60" s="6">
        <v>0</v>
      </c>
      <c r="P60" s="6">
        <v>0</v>
      </c>
      <c r="Q60" s="6">
        <v>0</v>
      </c>
      <c r="R60" s="16">
        <v>0</v>
      </c>
      <c r="S60" s="5"/>
      <c r="T60" s="17">
        <v>7269.12</v>
      </c>
      <c r="U60" s="7">
        <v>35445.43</v>
      </c>
      <c r="V60" s="7">
        <v>0</v>
      </c>
      <c r="W60" s="7">
        <v>35445.43</v>
      </c>
      <c r="X60" s="7">
        <v>0</v>
      </c>
      <c r="Y60" s="7">
        <v>28176.31</v>
      </c>
      <c r="Z60" s="10" t="str">
        <f t="shared" si="0"/>
        <v>Piping</v>
      </c>
      <c r="AA60" s="24" t="str">
        <f t="shared" si="1"/>
        <v xml:space="preserve"> 3971. LAX People Mover</v>
      </c>
    </row>
    <row r="61" spans="1:27" x14ac:dyDescent="0.2">
      <c r="A61" s="5" t="s">
        <v>184</v>
      </c>
      <c r="B61" s="5" t="s">
        <v>185</v>
      </c>
      <c r="C61" s="5" t="s">
        <v>16</v>
      </c>
      <c r="D61" s="5" t="s">
        <v>22</v>
      </c>
      <c r="E61" s="5" t="s">
        <v>88</v>
      </c>
      <c r="F61" s="5" t="s">
        <v>25</v>
      </c>
      <c r="G61" s="12" t="s">
        <v>164</v>
      </c>
      <c r="H61" s="12"/>
      <c r="I61" s="6">
        <v>0</v>
      </c>
      <c r="J61" s="6">
        <v>5808</v>
      </c>
      <c r="K61" s="6">
        <v>1168</v>
      </c>
      <c r="L61" s="16">
        <v>-4640</v>
      </c>
      <c r="M61" s="5"/>
      <c r="N61" s="9">
        <v>0</v>
      </c>
      <c r="O61" s="6">
        <v>0</v>
      </c>
      <c r="P61" s="6">
        <v>0</v>
      </c>
      <c r="Q61" s="6">
        <v>0</v>
      </c>
      <c r="R61" s="16">
        <v>0</v>
      </c>
      <c r="S61" s="5"/>
      <c r="T61" s="17">
        <v>25980</v>
      </c>
      <c r="U61" s="7">
        <v>47611.23</v>
      </c>
      <c r="V61" s="7">
        <v>0</v>
      </c>
      <c r="W61" s="7">
        <v>48111.23</v>
      </c>
      <c r="X61" s="7">
        <v>500</v>
      </c>
      <c r="Y61" s="7">
        <v>22131.23</v>
      </c>
      <c r="Z61" s="10" t="str">
        <f t="shared" si="0"/>
        <v>Piping</v>
      </c>
      <c r="AA61" s="24" t="str">
        <f t="shared" si="1"/>
        <v xml:space="preserve"> 3971. LAX People Mover</v>
      </c>
    </row>
    <row r="62" spans="1:27" x14ac:dyDescent="0.2">
      <c r="A62" s="5" t="s">
        <v>186</v>
      </c>
      <c r="B62" s="5" t="s">
        <v>187</v>
      </c>
      <c r="C62" s="5" t="s">
        <v>16</v>
      </c>
      <c r="D62" s="5" t="s">
        <v>22</v>
      </c>
      <c r="E62" s="5" t="s">
        <v>88</v>
      </c>
      <c r="F62" s="5" t="s">
        <v>25</v>
      </c>
      <c r="G62" s="12" t="s">
        <v>164</v>
      </c>
      <c r="H62" s="12"/>
      <c r="I62" s="6">
        <v>0</v>
      </c>
      <c r="J62" s="6">
        <v>181</v>
      </c>
      <c r="K62" s="6">
        <v>0</v>
      </c>
      <c r="L62" s="16">
        <v>-181</v>
      </c>
      <c r="M62" s="5"/>
      <c r="N62" s="9">
        <v>0</v>
      </c>
      <c r="O62" s="6">
        <v>0</v>
      </c>
      <c r="P62" s="6">
        <v>0</v>
      </c>
      <c r="Q62" s="6">
        <v>0</v>
      </c>
      <c r="R62" s="16">
        <v>0</v>
      </c>
      <c r="S62" s="5"/>
      <c r="T62" s="17">
        <v>200</v>
      </c>
      <c r="U62" s="7">
        <v>2350.08</v>
      </c>
      <c r="V62" s="7">
        <v>0</v>
      </c>
      <c r="W62" s="7">
        <v>2350.08</v>
      </c>
      <c r="X62" s="7">
        <v>0</v>
      </c>
      <c r="Y62" s="7">
        <v>2150.08</v>
      </c>
      <c r="Z62" s="10" t="str">
        <f t="shared" si="0"/>
        <v>Piping</v>
      </c>
      <c r="AA62" s="24" t="str">
        <f t="shared" si="1"/>
        <v xml:space="preserve"> 3971. LAX People Mover</v>
      </c>
    </row>
    <row r="63" spans="1:27" x14ac:dyDescent="0.2">
      <c r="A63" s="5" t="s">
        <v>188</v>
      </c>
      <c r="B63" s="5" t="s">
        <v>39</v>
      </c>
      <c r="C63" s="5" t="s">
        <v>16</v>
      </c>
      <c r="D63" s="5" t="s">
        <v>22</v>
      </c>
      <c r="E63" s="5" t="s">
        <v>88</v>
      </c>
      <c r="F63" s="5" t="s">
        <v>25</v>
      </c>
      <c r="G63" s="12" t="s">
        <v>164</v>
      </c>
      <c r="H63" s="12"/>
      <c r="I63" s="6">
        <v>0</v>
      </c>
      <c r="J63" s="6">
        <v>146</v>
      </c>
      <c r="K63" s="6">
        <v>0</v>
      </c>
      <c r="L63" s="16">
        <v>-146</v>
      </c>
      <c r="M63" s="5"/>
      <c r="N63" s="9">
        <v>0</v>
      </c>
      <c r="O63" s="6">
        <v>0</v>
      </c>
      <c r="P63" s="6">
        <v>0</v>
      </c>
      <c r="Q63" s="6">
        <v>0</v>
      </c>
      <c r="R63" s="16">
        <v>0</v>
      </c>
      <c r="S63" s="5"/>
      <c r="T63" s="17">
        <v>0</v>
      </c>
      <c r="U63" s="7">
        <v>13713.37</v>
      </c>
      <c r="V63" s="7">
        <v>0</v>
      </c>
      <c r="W63" s="7">
        <v>13751.04</v>
      </c>
      <c r="X63" s="7">
        <v>37.67</v>
      </c>
      <c r="Y63" s="7">
        <v>13751.04</v>
      </c>
      <c r="Z63" s="10" t="str">
        <f t="shared" si="0"/>
        <v>Piping</v>
      </c>
      <c r="AA63" s="24" t="str">
        <f t="shared" si="1"/>
        <v xml:space="preserve"> 3971. LAX People Mover</v>
      </c>
    </row>
    <row r="64" spans="1:27" x14ac:dyDescent="0.2">
      <c r="A64" s="5" t="s">
        <v>188</v>
      </c>
      <c r="B64" s="5" t="s">
        <v>39</v>
      </c>
      <c r="C64" s="5" t="s">
        <v>16</v>
      </c>
      <c r="D64" s="5" t="s">
        <v>22</v>
      </c>
      <c r="E64" s="5" t="s">
        <v>88</v>
      </c>
      <c r="F64" s="5" t="s">
        <v>21</v>
      </c>
      <c r="G64" s="12" t="s">
        <v>164</v>
      </c>
      <c r="H64" s="12"/>
      <c r="I64" s="6">
        <v>0</v>
      </c>
      <c r="J64" s="6">
        <v>1258</v>
      </c>
      <c r="K64" s="6">
        <v>10</v>
      </c>
      <c r="L64" s="16">
        <v>-1248</v>
      </c>
      <c r="M64" s="5"/>
      <c r="N64" s="9">
        <v>0</v>
      </c>
      <c r="O64" s="6">
        <v>0</v>
      </c>
      <c r="P64" s="6">
        <v>0</v>
      </c>
      <c r="Q64" s="6">
        <v>0</v>
      </c>
      <c r="R64" s="16">
        <v>0</v>
      </c>
      <c r="S64" s="5"/>
      <c r="T64" s="17">
        <v>39869</v>
      </c>
      <c r="U64" s="7">
        <v>62931.53</v>
      </c>
      <c r="V64" s="7">
        <v>0</v>
      </c>
      <c r="W64" s="7">
        <v>62931.53</v>
      </c>
      <c r="X64" s="7">
        <v>0</v>
      </c>
      <c r="Y64" s="7">
        <v>23062.53</v>
      </c>
      <c r="Z64" s="10" t="str">
        <f t="shared" si="0"/>
        <v>Piping</v>
      </c>
      <c r="AA64" s="24" t="str">
        <f t="shared" si="1"/>
        <v xml:space="preserve"> 3971. LAX People Mover</v>
      </c>
    </row>
    <row r="65" spans="1:27" ht="25.5" x14ac:dyDescent="0.2">
      <c r="A65" s="5" t="s">
        <v>189</v>
      </c>
      <c r="B65" s="5" t="s">
        <v>24</v>
      </c>
      <c r="C65" s="5" t="s">
        <v>16</v>
      </c>
      <c r="D65" s="5" t="s">
        <v>17</v>
      </c>
      <c r="E65" s="5" t="s">
        <v>88</v>
      </c>
      <c r="F65" s="5" t="s">
        <v>18</v>
      </c>
      <c r="G65" s="12" t="s">
        <v>20</v>
      </c>
      <c r="H65" s="12"/>
      <c r="I65" s="6">
        <v>0</v>
      </c>
      <c r="J65" s="6">
        <v>0</v>
      </c>
      <c r="K65" s="6">
        <v>0</v>
      </c>
      <c r="L65" s="16">
        <v>0</v>
      </c>
      <c r="M65" s="5"/>
      <c r="N65" s="9">
        <v>1165</v>
      </c>
      <c r="O65" s="6">
        <v>1036</v>
      </c>
      <c r="P65" s="6">
        <v>1036</v>
      </c>
      <c r="Q65" s="6">
        <v>0</v>
      </c>
      <c r="R65" s="16">
        <v>-129</v>
      </c>
      <c r="S65" s="5"/>
      <c r="T65" s="17">
        <v>104900</v>
      </c>
      <c r="U65" s="7">
        <v>108694.78</v>
      </c>
      <c r="V65" s="7">
        <v>0</v>
      </c>
      <c r="W65" s="7">
        <v>108694.78</v>
      </c>
      <c r="X65" s="7">
        <v>0</v>
      </c>
      <c r="Y65" s="7">
        <v>3794.78</v>
      </c>
      <c r="Z65" s="10" t="str">
        <f t="shared" si="0"/>
        <v>ALL</v>
      </c>
      <c r="AA65" s="24" t="str">
        <f t="shared" si="1"/>
        <v xml:space="preserve"> 3971. LAX People Mover</v>
      </c>
    </row>
    <row r="66" spans="1:27" ht="25.5" x14ac:dyDescent="0.2">
      <c r="A66" s="5" t="s">
        <v>190</v>
      </c>
      <c r="B66" s="5" t="s">
        <v>191</v>
      </c>
      <c r="C66" s="5" t="s">
        <v>16</v>
      </c>
      <c r="D66" s="5" t="s">
        <v>17</v>
      </c>
      <c r="E66" s="5" t="s">
        <v>88</v>
      </c>
      <c r="F66" s="5" t="s">
        <v>18</v>
      </c>
      <c r="G66" s="12" t="s">
        <v>20</v>
      </c>
      <c r="H66" s="12"/>
      <c r="I66" s="6">
        <v>0</v>
      </c>
      <c r="J66" s="6">
        <v>0</v>
      </c>
      <c r="K66" s="6">
        <v>0</v>
      </c>
      <c r="L66" s="16">
        <v>0</v>
      </c>
      <c r="M66" s="5"/>
      <c r="N66" s="9">
        <v>2712</v>
      </c>
      <c r="O66" s="6">
        <v>2391</v>
      </c>
      <c r="P66" s="6">
        <v>2436</v>
      </c>
      <c r="Q66" s="6">
        <v>45</v>
      </c>
      <c r="R66" s="16">
        <v>-276</v>
      </c>
      <c r="S66" s="5"/>
      <c r="T66" s="17">
        <v>244260</v>
      </c>
      <c r="U66" s="7">
        <v>281718.15999999997</v>
      </c>
      <c r="V66" s="7">
        <v>0</v>
      </c>
      <c r="W66" s="7">
        <v>286984.75</v>
      </c>
      <c r="X66" s="7">
        <v>5266.59</v>
      </c>
      <c r="Y66" s="7">
        <v>42724.75</v>
      </c>
      <c r="Z66" s="10" t="str">
        <f t="shared" si="0"/>
        <v>ALL</v>
      </c>
      <c r="AA66" s="24" t="str">
        <f t="shared" si="1"/>
        <v xml:space="preserve"> 3971. LAX People Mover</v>
      </c>
    </row>
    <row r="67" spans="1:27" ht="25.5" x14ac:dyDescent="0.2">
      <c r="A67" s="5" t="s">
        <v>192</v>
      </c>
      <c r="B67" s="5" t="s">
        <v>19</v>
      </c>
      <c r="C67" s="5" t="s">
        <v>16</v>
      </c>
      <c r="D67" s="5" t="s">
        <v>17</v>
      </c>
      <c r="E67" s="5" t="s">
        <v>88</v>
      </c>
      <c r="F67" s="5" t="s">
        <v>18</v>
      </c>
      <c r="G67" s="12" t="s">
        <v>20</v>
      </c>
      <c r="H67" s="12"/>
      <c r="I67" s="6">
        <v>0</v>
      </c>
      <c r="J67" s="6">
        <v>0</v>
      </c>
      <c r="K67" s="6">
        <v>0</v>
      </c>
      <c r="L67" s="16">
        <v>0</v>
      </c>
      <c r="M67" s="5"/>
      <c r="N67" s="9">
        <v>5083</v>
      </c>
      <c r="O67" s="6">
        <v>5773</v>
      </c>
      <c r="P67" s="6">
        <v>6213</v>
      </c>
      <c r="Q67" s="6">
        <v>440</v>
      </c>
      <c r="R67" s="16">
        <v>1130</v>
      </c>
      <c r="S67" s="5"/>
      <c r="T67" s="17">
        <v>460685</v>
      </c>
      <c r="U67" s="7">
        <v>647408.42000000004</v>
      </c>
      <c r="V67" s="7">
        <v>0</v>
      </c>
      <c r="W67" s="7">
        <v>698888.42</v>
      </c>
      <c r="X67" s="7">
        <v>51480</v>
      </c>
      <c r="Y67" s="7">
        <v>238203.42</v>
      </c>
      <c r="Z67" s="10" t="str">
        <f t="shared" si="0"/>
        <v>ALL</v>
      </c>
      <c r="AA67" s="24" t="str">
        <f t="shared" si="1"/>
        <v xml:space="preserve"> 3971. LAX People Mover</v>
      </c>
    </row>
    <row r="68" spans="1:27" ht="25.5" x14ac:dyDescent="0.2">
      <c r="A68" s="5" t="s">
        <v>193</v>
      </c>
      <c r="B68" s="5" t="s">
        <v>15</v>
      </c>
      <c r="C68" s="5" t="s">
        <v>16</v>
      </c>
      <c r="D68" s="5" t="s">
        <v>17</v>
      </c>
      <c r="E68" s="5" t="s">
        <v>88</v>
      </c>
      <c r="F68" s="5" t="s">
        <v>18</v>
      </c>
      <c r="G68" s="12" t="s">
        <v>20</v>
      </c>
      <c r="H68" s="12"/>
      <c r="I68" s="6">
        <v>0</v>
      </c>
      <c r="J68" s="6">
        <v>0</v>
      </c>
      <c r="K68" s="6">
        <v>0</v>
      </c>
      <c r="L68" s="16">
        <v>0</v>
      </c>
      <c r="M68" s="5"/>
      <c r="N68" s="9">
        <v>9800</v>
      </c>
      <c r="O68" s="6">
        <v>11725.5</v>
      </c>
      <c r="P68" s="6">
        <v>11725.5</v>
      </c>
      <c r="Q68" s="6">
        <v>0</v>
      </c>
      <c r="R68" s="16">
        <v>1925.5</v>
      </c>
      <c r="S68" s="5"/>
      <c r="T68" s="17">
        <v>637930</v>
      </c>
      <c r="U68" s="7">
        <v>775033.51</v>
      </c>
      <c r="V68" s="7">
        <v>0</v>
      </c>
      <c r="W68" s="7">
        <v>775033.51</v>
      </c>
      <c r="X68" s="7">
        <v>0</v>
      </c>
      <c r="Y68" s="7">
        <v>137103.51</v>
      </c>
      <c r="Z68" s="10" t="str">
        <f t="shared" si="0"/>
        <v>ALL</v>
      </c>
      <c r="AA68" s="24" t="str">
        <f t="shared" si="1"/>
        <v xml:space="preserve"> 3971. LAX People Mover</v>
      </c>
    </row>
    <row r="69" spans="1:27" ht="25.5" x14ac:dyDescent="0.2">
      <c r="A69" s="5" t="s">
        <v>194</v>
      </c>
      <c r="B69" s="5" t="s">
        <v>195</v>
      </c>
      <c r="C69" s="5" t="s">
        <v>16</v>
      </c>
      <c r="D69" s="5" t="s">
        <v>17</v>
      </c>
      <c r="E69" s="5" t="s">
        <v>88</v>
      </c>
      <c r="F69" s="5" t="s">
        <v>18</v>
      </c>
      <c r="G69" s="12" t="s">
        <v>20</v>
      </c>
      <c r="H69" s="12"/>
      <c r="I69" s="6">
        <v>0</v>
      </c>
      <c r="J69" s="6">
        <v>0</v>
      </c>
      <c r="K69" s="6">
        <v>0</v>
      </c>
      <c r="L69" s="16">
        <v>0</v>
      </c>
      <c r="M69" s="5"/>
      <c r="N69" s="9">
        <v>0</v>
      </c>
      <c r="O69" s="6">
        <v>120</v>
      </c>
      <c r="P69" s="6">
        <v>120</v>
      </c>
      <c r="Q69" s="6">
        <v>0</v>
      </c>
      <c r="R69" s="16">
        <v>120</v>
      </c>
      <c r="S69" s="5"/>
      <c r="T69" s="17">
        <v>0</v>
      </c>
      <c r="U69" s="7">
        <v>11092</v>
      </c>
      <c r="V69" s="7">
        <v>0</v>
      </c>
      <c r="W69" s="7">
        <v>11092</v>
      </c>
      <c r="X69" s="7">
        <v>0</v>
      </c>
      <c r="Y69" s="7">
        <v>11092</v>
      </c>
      <c r="Z69" s="10" t="str">
        <f t="shared" ref="Z69:Z132" si="2">IF(G69="PLUM", "Plumbing", IF(G69="PIPE", "Piping", IF(G69="HVAC", "Sheet Metal", G69)))</f>
        <v>ALL</v>
      </c>
      <c r="AA69" s="24" t="str">
        <f t="shared" ref="AA69:AA132" si="3">IF(ISBLANK(B69), "", $A$2)</f>
        <v xml:space="preserve"> 3971. LAX People Mover</v>
      </c>
    </row>
    <row r="70" spans="1:27" ht="25.5" x14ac:dyDescent="0.2">
      <c r="A70" s="5" t="s">
        <v>196</v>
      </c>
      <c r="B70" s="5" t="s">
        <v>197</v>
      </c>
      <c r="C70" s="5" t="s">
        <v>16</v>
      </c>
      <c r="D70" s="5" t="s">
        <v>17</v>
      </c>
      <c r="E70" s="5" t="s">
        <v>88</v>
      </c>
      <c r="F70" s="5" t="s">
        <v>18</v>
      </c>
      <c r="G70" s="12" t="s">
        <v>20</v>
      </c>
      <c r="H70" s="12"/>
      <c r="I70" s="6">
        <v>0</v>
      </c>
      <c r="J70" s="6">
        <v>0</v>
      </c>
      <c r="K70" s="6">
        <v>0</v>
      </c>
      <c r="L70" s="16">
        <v>0</v>
      </c>
      <c r="M70" s="5"/>
      <c r="N70" s="9">
        <v>960</v>
      </c>
      <c r="O70" s="6">
        <v>0</v>
      </c>
      <c r="P70" s="6">
        <v>0</v>
      </c>
      <c r="Q70" s="6">
        <v>0</v>
      </c>
      <c r="R70" s="16">
        <v>-960</v>
      </c>
      <c r="S70" s="5"/>
      <c r="T70" s="17">
        <v>72000</v>
      </c>
      <c r="U70" s="7">
        <v>0</v>
      </c>
      <c r="V70" s="7">
        <v>0</v>
      </c>
      <c r="W70" s="7">
        <v>0</v>
      </c>
      <c r="X70" s="7">
        <v>0</v>
      </c>
      <c r="Y70" s="7">
        <v>-72000</v>
      </c>
      <c r="Z70" s="10" t="str">
        <f t="shared" si="2"/>
        <v>ALL</v>
      </c>
      <c r="AA70" s="24" t="str">
        <f t="shared" si="3"/>
        <v xml:space="preserve"> 3971. LAX People Mover</v>
      </c>
    </row>
    <row r="71" spans="1:27" x14ac:dyDescent="0.2">
      <c r="A71" s="5" t="s">
        <v>198</v>
      </c>
      <c r="B71" s="5" t="s">
        <v>199</v>
      </c>
      <c r="C71" s="5" t="s">
        <v>16</v>
      </c>
      <c r="D71" s="5" t="s">
        <v>72</v>
      </c>
      <c r="E71" s="5" t="s">
        <v>88</v>
      </c>
      <c r="F71" s="5" t="s">
        <v>18</v>
      </c>
      <c r="G71" s="12" t="s">
        <v>20</v>
      </c>
      <c r="H71" s="12"/>
      <c r="I71" s="6">
        <v>0</v>
      </c>
      <c r="J71" s="6">
        <v>0</v>
      </c>
      <c r="K71" s="6">
        <v>0</v>
      </c>
      <c r="L71" s="16">
        <v>0</v>
      </c>
      <c r="M71" s="5"/>
      <c r="N71" s="9">
        <v>1626</v>
      </c>
      <c r="O71" s="6">
        <v>214.5</v>
      </c>
      <c r="P71" s="6">
        <v>214.5</v>
      </c>
      <c r="Q71" s="6">
        <v>0</v>
      </c>
      <c r="R71" s="16">
        <v>-1411.5</v>
      </c>
      <c r="S71" s="5"/>
      <c r="T71" s="17">
        <v>146340</v>
      </c>
      <c r="U71" s="7">
        <v>15926.95</v>
      </c>
      <c r="V71" s="7">
        <v>0</v>
      </c>
      <c r="W71" s="7">
        <v>15926.95</v>
      </c>
      <c r="X71" s="7">
        <v>0</v>
      </c>
      <c r="Y71" s="7">
        <v>-130413.05</v>
      </c>
      <c r="Z71" s="10" t="str">
        <f t="shared" si="2"/>
        <v>ALL</v>
      </c>
      <c r="AA71" s="24" t="str">
        <f t="shared" si="3"/>
        <v xml:space="preserve"> 3971. LAX People Mover</v>
      </c>
    </row>
    <row r="72" spans="1:27" ht="25.5" x14ac:dyDescent="0.2">
      <c r="A72" s="5" t="s">
        <v>200</v>
      </c>
      <c r="B72" s="5" t="s">
        <v>201</v>
      </c>
      <c r="C72" s="5" t="s">
        <v>16</v>
      </c>
      <c r="D72" s="5" t="s">
        <v>17</v>
      </c>
      <c r="E72" s="5" t="s">
        <v>88</v>
      </c>
      <c r="F72" s="5" t="s">
        <v>18</v>
      </c>
      <c r="G72" s="12" t="s">
        <v>20</v>
      </c>
      <c r="H72" s="12"/>
      <c r="I72" s="6">
        <v>0</v>
      </c>
      <c r="J72" s="6">
        <v>0</v>
      </c>
      <c r="K72" s="6">
        <v>0</v>
      </c>
      <c r="L72" s="16">
        <v>0</v>
      </c>
      <c r="M72" s="5"/>
      <c r="N72" s="9">
        <v>3225</v>
      </c>
      <c r="O72" s="6">
        <v>2456</v>
      </c>
      <c r="P72" s="6">
        <v>2456</v>
      </c>
      <c r="Q72" s="6">
        <v>0</v>
      </c>
      <c r="R72" s="16">
        <v>-769</v>
      </c>
      <c r="S72" s="5"/>
      <c r="T72" s="17">
        <v>96792</v>
      </c>
      <c r="U72" s="7">
        <v>76381.8</v>
      </c>
      <c r="V72" s="7">
        <v>0</v>
      </c>
      <c r="W72" s="7">
        <v>76381.8</v>
      </c>
      <c r="X72" s="7">
        <v>0</v>
      </c>
      <c r="Y72" s="7">
        <v>-20410.2</v>
      </c>
      <c r="Z72" s="10" t="str">
        <f t="shared" si="2"/>
        <v>ALL</v>
      </c>
      <c r="AA72" s="24" t="str">
        <f t="shared" si="3"/>
        <v xml:space="preserve"> 3971. LAX People Mover</v>
      </c>
    </row>
    <row r="73" spans="1:27" ht="25.5" x14ac:dyDescent="0.2">
      <c r="A73" s="5" t="s">
        <v>202</v>
      </c>
      <c r="B73" s="5" t="s">
        <v>203</v>
      </c>
      <c r="C73" s="5" t="s">
        <v>16</v>
      </c>
      <c r="D73" s="5" t="s">
        <v>17</v>
      </c>
      <c r="E73" s="5" t="s">
        <v>88</v>
      </c>
      <c r="F73" s="5" t="s">
        <v>18</v>
      </c>
      <c r="G73" s="12" t="s">
        <v>20</v>
      </c>
      <c r="H73" s="12"/>
      <c r="I73" s="6">
        <v>0</v>
      </c>
      <c r="J73" s="6">
        <v>0</v>
      </c>
      <c r="K73" s="6">
        <v>0</v>
      </c>
      <c r="L73" s="16">
        <v>0</v>
      </c>
      <c r="M73" s="5"/>
      <c r="N73" s="9">
        <v>0</v>
      </c>
      <c r="O73" s="6">
        <v>36</v>
      </c>
      <c r="P73" s="6">
        <v>36</v>
      </c>
      <c r="Q73" s="6">
        <v>0</v>
      </c>
      <c r="R73" s="16">
        <v>36</v>
      </c>
      <c r="S73" s="5"/>
      <c r="T73" s="17">
        <v>0</v>
      </c>
      <c r="U73" s="7">
        <v>3506.82</v>
      </c>
      <c r="V73" s="7">
        <v>0</v>
      </c>
      <c r="W73" s="7">
        <v>3506.82</v>
      </c>
      <c r="X73" s="7">
        <v>0</v>
      </c>
      <c r="Y73" s="7">
        <v>3506.82</v>
      </c>
      <c r="Z73" s="10" t="str">
        <f t="shared" si="2"/>
        <v>ALL</v>
      </c>
      <c r="AA73" s="24" t="str">
        <f t="shared" si="3"/>
        <v xml:space="preserve"> 3971. LAX People Mover</v>
      </c>
    </row>
    <row r="74" spans="1:27" x14ac:dyDescent="0.2">
      <c r="A74" s="5" t="s">
        <v>204</v>
      </c>
      <c r="B74" s="5" t="s">
        <v>43</v>
      </c>
      <c r="C74" s="5" t="s">
        <v>16</v>
      </c>
      <c r="D74" s="5" t="s">
        <v>22</v>
      </c>
      <c r="E74" s="5" t="s">
        <v>88</v>
      </c>
      <c r="F74" s="5" t="s">
        <v>21</v>
      </c>
      <c r="G74" s="12" t="s">
        <v>20</v>
      </c>
      <c r="H74" s="12"/>
      <c r="I74" s="6">
        <v>0</v>
      </c>
      <c r="J74" s="6">
        <v>90</v>
      </c>
      <c r="K74" s="6">
        <v>0</v>
      </c>
      <c r="L74" s="16">
        <v>-90</v>
      </c>
      <c r="M74" s="5"/>
      <c r="N74" s="9">
        <v>0</v>
      </c>
      <c r="O74" s="6">
        <v>0</v>
      </c>
      <c r="P74" s="6">
        <v>0</v>
      </c>
      <c r="Q74" s="6">
        <v>0</v>
      </c>
      <c r="R74" s="16">
        <v>0</v>
      </c>
      <c r="S74" s="5"/>
      <c r="T74" s="17">
        <v>89103</v>
      </c>
      <c r="U74" s="7">
        <v>37117.49</v>
      </c>
      <c r="V74" s="7">
        <v>0</v>
      </c>
      <c r="W74" s="7">
        <v>38634.589999999997</v>
      </c>
      <c r="X74" s="7">
        <v>1517.1</v>
      </c>
      <c r="Y74" s="7">
        <v>-50468.41</v>
      </c>
      <c r="Z74" s="10" t="str">
        <f t="shared" si="2"/>
        <v>ALL</v>
      </c>
      <c r="AA74" s="24" t="str">
        <f t="shared" si="3"/>
        <v xml:space="preserve"> 3971. LAX People Mover</v>
      </c>
    </row>
    <row r="75" spans="1:27" ht="25.5" x14ac:dyDescent="0.2">
      <c r="A75" s="5" t="s">
        <v>205</v>
      </c>
      <c r="B75" s="5" t="s">
        <v>206</v>
      </c>
      <c r="C75" s="5" t="s">
        <v>16</v>
      </c>
      <c r="D75" s="5" t="s">
        <v>22</v>
      </c>
      <c r="E75" s="5" t="s">
        <v>88</v>
      </c>
      <c r="F75" s="5" t="s">
        <v>38</v>
      </c>
      <c r="G75" s="12" t="s">
        <v>20</v>
      </c>
      <c r="H75" s="12"/>
      <c r="I75" s="6">
        <v>0</v>
      </c>
      <c r="J75" s="6">
        <v>0</v>
      </c>
      <c r="K75" s="6">
        <v>0</v>
      </c>
      <c r="L75" s="16">
        <v>0</v>
      </c>
      <c r="M75" s="5"/>
      <c r="N75" s="9">
        <v>0</v>
      </c>
      <c r="O75" s="6">
        <v>0</v>
      </c>
      <c r="P75" s="6">
        <v>0</v>
      </c>
      <c r="Q75" s="6">
        <v>0</v>
      </c>
      <c r="R75" s="16">
        <v>0</v>
      </c>
      <c r="S75" s="5"/>
      <c r="T75" s="17">
        <v>137</v>
      </c>
      <c r="U75" s="7">
        <v>0</v>
      </c>
      <c r="V75" s="7">
        <v>0</v>
      </c>
      <c r="W75" s="7">
        <v>0</v>
      </c>
      <c r="X75" s="7">
        <v>0</v>
      </c>
      <c r="Y75" s="7">
        <v>-137</v>
      </c>
      <c r="Z75" s="10" t="str">
        <f t="shared" si="2"/>
        <v>ALL</v>
      </c>
      <c r="AA75" s="24" t="str">
        <f t="shared" si="3"/>
        <v xml:space="preserve"> 3971. LAX People Mover</v>
      </c>
    </row>
    <row r="76" spans="1:27" x14ac:dyDescent="0.2">
      <c r="A76" s="5" t="s">
        <v>205</v>
      </c>
      <c r="B76" s="5" t="s">
        <v>206</v>
      </c>
      <c r="C76" s="5" t="s">
        <v>16</v>
      </c>
      <c r="D76" s="5" t="s">
        <v>22</v>
      </c>
      <c r="E76" s="5" t="s">
        <v>88</v>
      </c>
      <c r="F76" s="5" t="s">
        <v>21</v>
      </c>
      <c r="G76" s="12" t="s">
        <v>20</v>
      </c>
      <c r="H76" s="12"/>
      <c r="I76" s="6">
        <v>0</v>
      </c>
      <c r="J76" s="6">
        <v>0</v>
      </c>
      <c r="K76" s="6">
        <v>0</v>
      </c>
      <c r="L76" s="16">
        <v>0</v>
      </c>
      <c r="M76" s="5"/>
      <c r="N76" s="9">
        <v>0</v>
      </c>
      <c r="O76" s="6">
        <v>0</v>
      </c>
      <c r="P76" s="6">
        <v>0</v>
      </c>
      <c r="Q76" s="6">
        <v>0</v>
      </c>
      <c r="R76" s="16">
        <v>0</v>
      </c>
      <c r="S76" s="5"/>
      <c r="T76" s="17">
        <v>226158</v>
      </c>
      <c r="U76" s="7">
        <v>123761.06</v>
      </c>
      <c r="V76" s="7">
        <v>0</v>
      </c>
      <c r="W76" s="7">
        <v>124075.06</v>
      </c>
      <c r="X76" s="7">
        <v>314</v>
      </c>
      <c r="Y76" s="7">
        <v>-102082.94</v>
      </c>
      <c r="Z76" s="10" t="str">
        <f t="shared" si="2"/>
        <v>ALL</v>
      </c>
      <c r="AA76" s="24" t="str">
        <f t="shared" si="3"/>
        <v xml:space="preserve"> 3971. LAX People Mover</v>
      </c>
    </row>
    <row r="77" spans="1:27" x14ac:dyDescent="0.2">
      <c r="A77" s="5" t="s">
        <v>207</v>
      </c>
      <c r="B77" s="5" t="s">
        <v>208</v>
      </c>
      <c r="C77" s="5" t="s">
        <v>16</v>
      </c>
      <c r="D77" s="5" t="s">
        <v>22</v>
      </c>
      <c r="E77" s="5" t="s">
        <v>88</v>
      </c>
      <c r="F77" s="5" t="s">
        <v>21</v>
      </c>
      <c r="G77" s="12" t="s">
        <v>20</v>
      </c>
      <c r="H77" s="12"/>
      <c r="I77" s="6">
        <v>0</v>
      </c>
      <c r="J77" s="6">
        <v>0</v>
      </c>
      <c r="K77" s="6">
        <v>0</v>
      </c>
      <c r="L77" s="16">
        <v>0</v>
      </c>
      <c r="M77" s="5"/>
      <c r="N77" s="9">
        <v>0</v>
      </c>
      <c r="O77" s="6">
        <v>0</v>
      </c>
      <c r="P77" s="6">
        <v>0</v>
      </c>
      <c r="Q77" s="6">
        <v>0</v>
      </c>
      <c r="R77" s="16">
        <v>0</v>
      </c>
      <c r="S77" s="5"/>
      <c r="T77" s="17">
        <v>9686.83</v>
      </c>
      <c r="U77" s="7">
        <v>6575.38</v>
      </c>
      <c r="V77" s="7">
        <v>0</v>
      </c>
      <c r="W77" s="7">
        <v>6575.38</v>
      </c>
      <c r="X77" s="7">
        <v>0</v>
      </c>
      <c r="Y77" s="7">
        <v>-3111.45</v>
      </c>
      <c r="Z77" s="10" t="str">
        <f t="shared" si="2"/>
        <v>ALL</v>
      </c>
      <c r="AA77" s="24" t="str">
        <f t="shared" si="3"/>
        <v xml:space="preserve"> 3971. LAX People Mover</v>
      </c>
    </row>
    <row r="78" spans="1:27" x14ac:dyDescent="0.2">
      <c r="A78" s="5" t="s">
        <v>209</v>
      </c>
      <c r="B78" s="5" t="s">
        <v>210</v>
      </c>
      <c r="C78" s="5" t="s">
        <v>16</v>
      </c>
      <c r="D78" s="5" t="s">
        <v>22</v>
      </c>
      <c r="E78" s="5" t="s">
        <v>88</v>
      </c>
      <c r="F78" s="5" t="s">
        <v>21</v>
      </c>
      <c r="G78" s="12" t="s">
        <v>20</v>
      </c>
      <c r="H78" s="12"/>
      <c r="I78" s="6">
        <v>0</v>
      </c>
      <c r="J78" s="6">
        <v>0</v>
      </c>
      <c r="K78" s="6">
        <v>0</v>
      </c>
      <c r="L78" s="16">
        <v>0</v>
      </c>
      <c r="M78" s="5"/>
      <c r="N78" s="9">
        <v>0</v>
      </c>
      <c r="O78" s="6">
        <v>0</v>
      </c>
      <c r="P78" s="6">
        <v>0</v>
      </c>
      <c r="Q78" s="6">
        <v>0</v>
      </c>
      <c r="R78" s="16">
        <v>0</v>
      </c>
      <c r="S78" s="5"/>
      <c r="T78" s="17">
        <v>9000</v>
      </c>
      <c r="U78" s="7">
        <v>416.48</v>
      </c>
      <c r="V78" s="7">
        <v>0</v>
      </c>
      <c r="W78" s="7">
        <v>416.48</v>
      </c>
      <c r="X78" s="7">
        <v>0</v>
      </c>
      <c r="Y78" s="7">
        <v>-8583.52</v>
      </c>
      <c r="Z78" s="10" t="str">
        <f t="shared" si="2"/>
        <v>ALL</v>
      </c>
      <c r="AA78" s="24" t="str">
        <f t="shared" si="3"/>
        <v xml:space="preserve"> 3971. LAX People Mover</v>
      </c>
    </row>
    <row r="79" spans="1:27" x14ac:dyDescent="0.2">
      <c r="A79" s="5" t="s">
        <v>211</v>
      </c>
      <c r="B79" s="5" t="s">
        <v>212</v>
      </c>
      <c r="C79" s="5" t="s">
        <v>16</v>
      </c>
      <c r="D79" s="5" t="s">
        <v>22</v>
      </c>
      <c r="E79" s="5" t="s">
        <v>88</v>
      </c>
      <c r="F79" s="5" t="s">
        <v>21</v>
      </c>
      <c r="G79" s="12" t="s">
        <v>20</v>
      </c>
      <c r="H79" s="12"/>
      <c r="I79" s="6">
        <v>0</v>
      </c>
      <c r="J79" s="6">
        <v>1439</v>
      </c>
      <c r="K79" s="6">
        <v>502</v>
      </c>
      <c r="L79" s="16">
        <v>-937</v>
      </c>
      <c r="M79" s="5"/>
      <c r="N79" s="9">
        <v>0</v>
      </c>
      <c r="O79" s="6">
        <v>0</v>
      </c>
      <c r="P79" s="6">
        <v>0</v>
      </c>
      <c r="Q79" s="6">
        <v>0</v>
      </c>
      <c r="R79" s="16">
        <v>0</v>
      </c>
      <c r="S79" s="5"/>
      <c r="T79" s="17">
        <v>20000</v>
      </c>
      <c r="U79" s="7">
        <v>26515.55</v>
      </c>
      <c r="V79" s="7">
        <v>0</v>
      </c>
      <c r="W79" s="7">
        <v>27515.55</v>
      </c>
      <c r="X79" s="7">
        <v>1000</v>
      </c>
      <c r="Y79" s="7">
        <v>7515.55</v>
      </c>
      <c r="Z79" s="10" t="str">
        <f t="shared" si="2"/>
        <v>ALL</v>
      </c>
      <c r="AA79" s="24" t="str">
        <f t="shared" si="3"/>
        <v xml:space="preserve"> 3971. LAX People Mover</v>
      </c>
    </row>
    <row r="80" spans="1:27" x14ac:dyDescent="0.2">
      <c r="A80" s="5" t="s">
        <v>213</v>
      </c>
      <c r="B80" s="5" t="s">
        <v>21</v>
      </c>
      <c r="C80" s="5" t="s">
        <v>16</v>
      </c>
      <c r="D80" s="5" t="s">
        <v>22</v>
      </c>
      <c r="E80" s="5" t="s">
        <v>88</v>
      </c>
      <c r="F80" s="5" t="s">
        <v>21</v>
      </c>
      <c r="G80" s="12" t="s">
        <v>20</v>
      </c>
      <c r="H80" s="12"/>
      <c r="I80" s="6">
        <v>0</v>
      </c>
      <c r="J80" s="6">
        <v>3</v>
      </c>
      <c r="K80" s="6">
        <v>20</v>
      </c>
      <c r="L80" s="16">
        <v>17</v>
      </c>
      <c r="M80" s="5"/>
      <c r="N80" s="9">
        <v>0</v>
      </c>
      <c r="O80" s="6">
        <v>0</v>
      </c>
      <c r="P80" s="6">
        <v>0</v>
      </c>
      <c r="Q80" s="6">
        <v>0</v>
      </c>
      <c r="R80" s="16">
        <v>0</v>
      </c>
      <c r="S80" s="5"/>
      <c r="T80" s="17">
        <v>82</v>
      </c>
      <c r="U80" s="7">
        <v>138914.74</v>
      </c>
      <c r="V80" s="7">
        <v>0</v>
      </c>
      <c r="W80" s="7">
        <v>136556.54</v>
      </c>
      <c r="X80" s="7">
        <v>-2358.1999999999998</v>
      </c>
      <c r="Y80" s="7">
        <v>136474.54</v>
      </c>
      <c r="Z80" s="10" t="str">
        <f t="shared" si="2"/>
        <v>ALL</v>
      </c>
      <c r="AA80" s="24" t="str">
        <f t="shared" si="3"/>
        <v xml:space="preserve"> 3971. LAX People Mover</v>
      </c>
    </row>
    <row r="81" spans="1:27" x14ac:dyDescent="0.2">
      <c r="A81" s="5" t="s">
        <v>214</v>
      </c>
      <c r="B81" s="5" t="s">
        <v>77</v>
      </c>
      <c r="C81" s="5" t="s">
        <v>16</v>
      </c>
      <c r="D81" s="5" t="s">
        <v>22</v>
      </c>
      <c r="E81" s="5" t="s">
        <v>88</v>
      </c>
      <c r="F81" s="5" t="s">
        <v>21</v>
      </c>
      <c r="G81" s="12" t="s">
        <v>20</v>
      </c>
      <c r="H81" s="12"/>
      <c r="I81" s="6">
        <v>0</v>
      </c>
      <c r="J81" s="6">
        <v>0</v>
      </c>
      <c r="K81" s="6">
        <v>0</v>
      </c>
      <c r="L81" s="16">
        <v>0</v>
      </c>
      <c r="M81" s="5"/>
      <c r="N81" s="9">
        <v>0</v>
      </c>
      <c r="O81" s="6">
        <v>0</v>
      </c>
      <c r="P81" s="6">
        <v>0</v>
      </c>
      <c r="Q81" s="6">
        <v>0</v>
      </c>
      <c r="R81" s="16">
        <v>0</v>
      </c>
      <c r="S81" s="5"/>
      <c r="T81" s="17">
        <v>194365</v>
      </c>
      <c r="U81" s="7">
        <v>2939.31</v>
      </c>
      <c r="V81" s="7">
        <v>0</v>
      </c>
      <c r="W81" s="7">
        <v>2939.31</v>
      </c>
      <c r="X81" s="7">
        <v>0</v>
      </c>
      <c r="Y81" s="7">
        <v>-191425.69</v>
      </c>
      <c r="Z81" s="10" t="str">
        <f t="shared" si="2"/>
        <v>ALL</v>
      </c>
      <c r="AA81" s="24" t="str">
        <f t="shared" si="3"/>
        <v xml:space="preserve"> 3971. LAX People Mover</v>
      </c>
    </row>
    <row r="82" spans="1:27" x14ac:dyDescent="0.2">
      <c r="A82" s="5" t="s">
        <v>215</v>
      </c>
      <c r="B82" s="5" t="s">
        <v>216</v>
      </c>
      <c r="C82" s="5" t="s">
        <v>16</v>
      </c>
      <c r="D82" s="5" t="s">
        <v>22</v>
      </c>
      <c r="E82" s="5" t="s">
        <v>88</v>
      </c>
      <c r="F82" s="5" t="s">
        <v>21</v>
      </c>
      <c r="G82" s="12" t="s">
        <v>20</v>
      </c>
      <c r="H82" s="12"/>
      <c r="I82" s="6">
        <v>0</v>
      </c>
      <c r="J82" s="6">
        <v>0</v>
      </c>
      <c r="K82" s="6">
        <v>0</v>
      </c>
      <c r="L82" s="16">
        <v>0</v>
      </c>
      <c r="M82" s="5"/>
      <c r="N82" s="9">
        <v>0</v>
      </c>
      <c r="O82" s="6">
        <v>0</v>
      </c>
      <c r="P82" s="6">
        <v>0</v>
      </c>
      <c r="Q82" s="6">
        <v>0</v>
      </c>
      <c r="R82" s="16">
        <v>0</v>
      </c>
      <c r="S82" s="5"/>
      <c r="T82" s="17">
        <v>0</v>
      </c>
      <c r="U82" s="7">
        <v>291.27</v>
      </c>
      <c r="V82" s="7">
        <v>0</v>
      </c>
      <c r="W82" s="7">
        <v>291.27</v>
      </c>
      <c r="X82" s="7">
        <v>0</v>
      </c>
      <c r="Y82" s="7">
        <v>291.27</v>
      </c>
      <c r="Z82" s="10" t="str">
        <f t="shared" si="2"/>
        <v>ALL</v>
      </c>
      <c r="AA82" s="24" t="str">
        <f t="shared" si="3"/>
        <v xml:space="preserve"> 3971. LAX People Mover</v>
      </c>
    </row>
    <row r="83" spans="1:27" x14ac:dyDescent="0.2">
      <c r="A83" s="5" t="s">
        <v>217</v>
      </c>
      <c r="B83" s="5" t="s">
        <v>218</v>
      </c>
      <c r="C83" s="5" t="s">
        <v>16</v>
      </c>
      <c r="D83" s="5" t="s">
        <v>22</v>
      </c>
      <c r="E83" s="5" t="s">
        <v>88</v>
      </c>
      <c r="F83" s="5" t="s">
        <v>21</v>
      </c>
      <c r="G83" s="12" t="s">
        <v>20</v>
      </c>
      <c r="H83" s="12"/>
      <c r="I83" s="6">
        <v>0</v>
      </c>
      <c r="J83" s="6">
        <v>0</v>
      </c>
      <c r="K83" s="6">
        <v>0</v>
      </c>
      <c r="L83" s="16">
        <v>0</v>
      </c>
      <c r="M83" s="5"/>
      <c r="N83" s="9">
        <v>0</v>
      </c>
      <c r="O83" s="6">
        <v>0</v>
      </c>
      <c r="P83" s="6">
        <v>0</v>
      </c>
      <c r="Q83" s="6">
        <v>0</v>
      </c>
      <c r="R83" s="16">
        <v>0</v>
      </c>
      <c r="S83" s="5"/>
      <c r="T83" s="17">
        <v>0</v>
      </c>
      <c r="U83" s="7">
        <v>0</v>
      </c>
      <c r="V83" s="7">
        <v>0</v>
      </c>
      <c r="W83" s="7">
        <v>0</v>
      </c>
      <c r="X83" s="7">
        <v>0</v>
      </c>
      <c r="Y83" s="7">
        <v>0</v>
      </c>
      <c r="Z83" s="10" t="str">
        <f t="shared" si="2"/>
        <v>ALL</v>
      </c>
      <c r="AA83" s="24" t="str">
        <f t="shared" si="3"/>
        <v xml:space="preserve"> 3971. LAX People Mover</v>
      </c>
    </row>
    <row r="84" spans="1:27" x14ac:dyDescent="0.2">
      <c r="A84" s="5" t="s">
        <v>219</v>
      </c>
      <c r="B84" s="5" t="s">
        <v>220</v>
      </c>
      <c r="C84" s="5" t="s">
        <v>16</v>
      </c>
      <c r="D84" s="5" t="s">
        <v>22</v>
      </c>
      <c r="E84" s="5" t="s">
        <v>88</v>
      </c>
      <c r="F84" s="5" t="s">
        <v>21</v>
      </c>
      <c r="G84" s="12" t="s">
        <v>20</v>
      </c>
      <c r="H84" s="12"/>
      <c r="I84" s="6">
        <v>0</v>
      </c>
      <c r="J84" s="6">
        <v>0</v>
      </c>
      <c r="K84" s="6">
        <v>0</v>
      </c>
      <c r="L84" s="16">
        <v>0</v>
      </c>
      <c r="M84" s="5"/>
      <c r="N84" s="9">
        <v>0</v>
      </c>
      <c r="O84" s="6">
        <v>0</v>
      </c>
      <c r="P84" s="6">
        <v>0</v>
      </c>
      <c r="Q84" s="6">
        <v>0</v>
      </c>
      <c r="R84" s="16">
        <v>0</v>
      </c>
      <c r="S84" s="5"/>
      <c r="T84" s="17">
        <v>255773.05</v>
      </c>
      <c r="U84" s="7">
        <v>168462</v>
      </c>
      <c r="V84" s="7">
        <v>0</v>
      </c>
      <c r="W84" s="7">
        <v>209884</v>
      </c>
      <c r="X84" s="7">
        <v>41422</v>
      </c>
      <c r="Y84" s="7">
        <v>-45889.05</v>
      </c>
      <c r="Z84" s="10" t="str">
        <f t="shared" si="2"/>
        <v>ALL</v>
      </c>
      <c r="AA84" s="24" t="str">
        <f t="shared" si="3"/>
        <v xml:space="preserve"> 3971. LAX People Mover</v>
      </c>
    </row>
    <row r="85" spans="1:27" x14ac:dyDescent="0.2">
      <c r="A85" s="5" t="s">
        <v>221</v>
      </c>
      <c r="B85" s="5" t="s">
        <v>42</v>
      </c>
      <c r="C85" s="5" t="s">
        <v>16</v>
      </c>
      <c r="D85" s="5" t="s">
        <v>42</v>
      </c>
      <c r="E85" s="5" t="s">
        <v>88</v>
      </c>
      <c r="F85" s="5" t="s">
        <v>21</v>
      </c>
      <c r="G85" s="12" t="s">
        <v>20</v>
      </c>
      <c r="H85" s="12"/>
      <c r="I85" s="6">
        <v>0</v>
      </c>
      <c r="J85" s="6">
        <v>0</v>
      </c>
      <c r="K85" s="6">
        <v>0</v>
      </c>
      <c r="L85" s="16">
        <v>0</v>
      </c>
      <c r="M85" s="5"/>
      <c r="N85" s="9">
        <v>0</v>
      </c>
      <c r="O85" s="6">
        <v>0</v>
      </c>
      <c r="P85" s="6">
        <v>0</v>
      </c>
      <c r="Q85" s="6">
        <v>0</v>
      </c>
      <c r="R85" s="16">
        <v>0</v>
      </c>
      <c r="S85" s="5"/>
      <c r="T85" s="17">
        <v>60000</v>
      </c>
      <c r="U85" s="7">
        <v>0</v>
      </c>
      <c r="V85" s="7">
        <v>0</v>
      </c>
      <c r="W85" s="7">
        <v>0</v>
      </c>
      <c r="X85" s="7">
        <v>0</v>
      </c>
      <c r="Y85" s="7">
        <v>-60000</v>
      </c>
      <c r="Z85" s="10" t="str">
        <f t="shared" si="2"/>
        <v>ALL</v>
      </c>
      <c r="AA85" s="24" t="str">
        <f t="shared" si="3"/>
        <v xml:space="preserve"> 3971. LAX People Mover</v>
      </c>
    </row>
    <row r="86" spans="1:27" x14ac:dyDescent="0.2">
      <c r="A86" s="5" t="s">
        <v>222</v>
      </c>
      <c r="B86" s="5" t="s">
        <v>40</v>
      </c>
      <c r="C86" s="5" t="s">
        <v>16</v>
      </c>
      <c r="D86" s="5" t="s">
        <v>22</v>
      </c>
      <c r="E86" s="5" t="s">
        <v>88</v>
      </c>
      <c r="F86" s="5" t="s">
        <v>25</v>
      </c>
      <c r="G86" s="12" t="s">
        <v>20</v>
      </c>
      <c r="H86" s="12"/>
      <c r="I86" s="6">
        <v>0</v>
      </c>
      <c r="J86" s="6">
        <v>0</v>
      </c>
      <c r="K86" s="6">
        <v>0</v>
      </c>
      <c r="L86" s="16">
        <v>0</v>
      </c>
      <c r="M86" s="5"/>
      <c r="N86" s="9">
        <v>0</v>
      </c>
      <c r="O86" s="6">
        <v>0</v>
      </c>
      <c r="P86" s="6">
        <v>0</v>
      </c>
      <c r="Q86" s="6">
        <v>0</v>
      </c>
      <c r="R86" s="16">
        <v>0</v>
      </c>
      <c r="S86" s="5"/>
      <c r="T86" s="1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10" t="str">
        <f t="shared" si="2"/>
        <v>ALL</v>
      </c>
      <c r="AA86" s="24" t="str">
        <f t="shared" si="3"/>
        <v xml:space="preserve"> 3971. LAX People Mover</v>
      </c>
    </row>
    <row r="87" spans="1:27" x14ac:dyDescent="0.2">
      <c r="A87" s="5" t="s">
        <v>223</v>
      </c>
      <c r="B87" s="5" t="s">
        <v>49</v>
      </c>
      <c r="C87" s="5" t="s">
        <v>16</v>
      </c>
      <c r="D87" s="5" t="s">
        <v>125</v>
      </c>
      <c r="E87" s="5" t="s">
        <v>88</v>
      </c>
      <c r="F87" s="5" t="s">
        <v>18</v>
      </c>
      <c r="G87" s="12" t="s">
        <v>89</v>
      </c>
      <c r="H87" s="12"/>
      <c r="I87" s="6">
        <v>0</v>
      </c>
      <c r="J87" s="6">
        <v>0</v>
      </c>
      <c r="K87" s="6">
        <v>0</v>
      </c>
      <c r="L87" s="16">
        <v>0</v>
      </c>
      <c r="M87" s="5"/>
      <c r="N87" s="9">
        <v>0</v>
      </c>
      <c r="O87" s="6">
        <v>408</v>
      </c>
      <c r="P87" s="6">
        <v>408</v>
      </c>
      <c r="Q87" s="6">
        <v>0</v>
      </c>
      <c r="R87" s="16">
        <v>408</v>
      </c>
      <c r="S87" s="5"/>
      <c r="T87" s="17">
        <v>0</v>
      </c>
      <c r="U87" s="7">
        <v>39258.800000000003</v>
      </c>
      <c r="V87" s="7">
        <v>0</v>
      </c>
      <c r="W87" s="7">
        <v>39258.800000000003</v>
      </c>
      <c r="X87" s="7">
        <v>0</v>
      </c>
      <c r="Y87" s="7">
        <v>39258.800000000003</v>
      </c>
      <c r="Z87" s="10" t="str">
        <f t="shared" si="2"/>
        <v>Plumbing</v>
      </c>
      <c r="AA87" s="24" t="str">
        <f t="shared" si="3"/>
        <v xml:space="preserve"> 3971. LAX People Mover</v>
      </c>
    </row>
    <row r="88" spans="1:27" x14ac:dyDescent="0.2">
      <c r="A88" s="5" t="s">
        <v>223</v>
      </c>
      <c r="B88" s="5" t="s">
        <v>49</v>
      </c>
      <c r="C88" s="5" t="s">
        <v>16</v>
      </c>
      <c r="D88" s="5" t="s">
        <v>125</v>
      </c>
      <c r="E88" s="5" t="s">
        <v>88</v>
      </c>
      <c r="F88" s="5" t="s">
        <v>25</v>
      </c>
      <c r="G88" s="12" t="s">
        <v>89</v>
      </c>
      <c r="H88" s="12"/>
      <c r="I88" s="6">
        <v>0</v>
      </c>
      <c r="J88" s="6">
        <v>36</v>
      </c>
      <c r="K88" s="6">
        <v>0</v>
      </c>
      <c r="L88" s="16">
        <v>-36</v>
      </c>
      <c r="M88" s="5"/>
      <c r="N88" s="9">
        <v>0</v>
      </c>
      <c r="O88" s="6">
        <v>0</v>
      </c>
      <c r="P88" s="6">
        <v>0</v>
      </c>
      <c r="Q88" s="6">
        <v>0</v>
      </c>
      <c r="R88" s="16">
        <v>0</v>
      </c>
      <c r="S88" s="5"/>
      <c r="T88" s="17">
        <v>0</v>
      </c>
      <c r="U88" s="7">
        <v>49817.35</v>
      </c>
      <c r="V88" s="7">
        <v>664.58</v>
      </c>
      <c r="W88" s="7">
        <v>50481.93</v>
      </c>
      <c r="X88" s="7">
        <v>664.58</v>
      </c>
      <c r="Y88" s="7">
        <v>50481.93</v>
      </c>
      <c r="Z88" s="10" t="str">
        <f t="shared" si="2"/>
        <v>Plumbing</v>
      </c>
      <c r="AA88" s="24" t="str">
        <f t="shared" si="3"/>
        <v xml:space="preserve"> 3971. LAX People Mover</v>
      </c>
    </row>
    <row r="89" spans="1:27" x14ac:dyDescent="0.2">
      <c r="A89" s="5" t="s">
        <v>224</v>
      </c>
      <c r="B89" s="5" t="s">
        <v>125</v>
      </c>
      <c r="C89" s="5" t="s">
        <v>225</v>
      </c>
      <c r="D89" s="5" t="s">
        <v>125</v>
      </c>
      <c r="E89" s="5" t="s">
        <v>88</v>
      </c>
      <c r="F89" s="5" t="s">
        <v>18</v>
      </c>
      <c r="G89" s="12" t="s">
        <v>89</v>
      </c>
      <c r="H89" s="12"/>
      <c r="I89" s="6">
        <v>0</v>
      </c>
      <c r="J89" s="6">
        <v>0</v>
      </c>
      <c r="K89" s="6">
        <v>0</v>
      </c>
      <c r="L89" s="16">
        <v>0</v>
      </c>
      <c r="M89" s="5"/>
      <c r="N89" s="9">
        <v>233</v>
      </c>
      <c r="O89" s="6">
        <v>543</v>
      </c>
      <c r="P89" s="6">
        <v>543</v>
      </c>
      <c r="Q89" s="6">
        <v>0</v>
      </c>
      <c r="R89" s="16">
        <v>310</v>
      </c>
      <c r="S89" s="5"/>
      <c r="T89" s="17">
        <v>21167.4</v>
      </c>
      <c r="U89" s="7">
        <v>46828.43</v>
      </c>
      <c r="V89" s="7">
        <v>0</v>
      </c>
      <c r="W89" s="7">
        <v>46828.43</v>
      </c>
      <c r="X89" s="7">
        <v>0</v>
      </c>
      <c r="Y89" s="7">
        <v>25661.03</v>
      </c>
      <c r="Z89" s="10" t="str">
        <f t="shared" si="2"/>
        <v>Plumbing</v>
      </c>
      <c r="AA89" s="24" t="str">
        <f t="shared" si="3"/>
        <v xml:space="preserve"> 3971. LAX People Mover</v>
      </c>
    </row>
    <row r="90" spans="1:27" x14ac:dyDescent="0.2">
      <c r="A90" s="5" t="s">
        <v>224</v>
      </c>
      <c r="B90" s="5" t="s">
        <v>125</v>
      </c>
      <c r="C90" s="5" t="s">
        <v>225</v>
      </c>
      <c r="D90" s="5" t="s">
        <v>125</v>
      </c>
      <c r="E90" s="5" t="s">
        <v>88</v>
      </c>
      <c r="F90" s="5" t="s">
        <v>25</v>
      </c>
      <c r="G90" s="12" t="s">
        <v>89</v>
      </c>
      <c r="H90" s="12"/>
      <c r="I90" s="6">
        <v>0</v>
      </c>
      <c r="J90" s="6">
        <v>83</v>
      </c>
      <c r="K90" s="6">
        <v>0</v>
      </c>
      <c r="L90" s="16">
        <v>-83</v>
      </c>
      <c r="M90" s="5"/>
      <c r="N90" s="9">
        <v>0</v>
      </c>
      <c r="O90" s="6">
        <v>0</v>
      </c>
      <c r="P90" s="6">
        <v>0</v>
      </c>
      <c r="Q90" s="6">
        <v>0</v>
      </c>
      <c r="R90" s="16">
        <v>0</v>
      </c>
      <c r="S90" s="5"/>
      <c r="T90" s="17">
        <v>167250.29999999999</v>
      </c>
      <c r="U90" s="7">
        <v>70782.86</v>
      </c>
      <c r="V90" s="7">
        <v>0</v>
      </c>
      <c r="W90" s="7">
        <v>70782.86</v>
      </c>
      <c r="X90" s="7">
        <v>0</v>
      </c>
      <c r="Y90" s="7">
        <v>-96467.44</v>
      </c>
      <c r="Z90" s="10" t="str">
        <f t="shared" si="2"/>
        <v>Plumbing</v>
      </c>
      <c r="AA90" s="24" t="str">
        <f t="shared" si="3"/>
        <v xml:space="preserve"> 3971. LAX People Mover</v>
      </c>
    </row>
    <row r="91" spans="1:27" ht="25.5" x14ac:dyDescent="0.2">
      <c r="A91" s="5" t="s">
        <v>224</v>
      </c>
      <c r="B91" s="5" t="s">
        <v>125</v>
      </c>
      <c r="C91" s="5" t="s">
        <v>225</v>
      </c>
      <c r="D91" s="5" t="s">
        <v>125</v>
      </c>
      <c r="E91" s="5" t="s">
        <v>88</v>
      </c>
      <c r="F91" s="5" t="s">
        <v>38</v>
      </c>
      <c r="G91" s="12" t="s">
        <v>89</v>
      </c>
      <c r="H91" s="12"/>
      <c r="I91" s="6">
        <v>0</v>
      </c>
      <c r="J91" s="6">
        <v>0</v>
      </c>
      <c r="K91" s="6">
        <v>0</v>
      </c>
      <c r="L91" s="16">
        <v>0</v>
      </c>
      <c r="M91" s="5"/>
      <c r="N91" s="9">
        <v>0</v>
      </c>
      <c r="O91" s="6">
        <v>0</v>
      </c>
      <c r="P91" s="6">
        <v>0</v>
      </c>
      <c r="Q91" s="6">
        <v>0</v>
      </c>
      <c r="R91" s="16">
        <v>0</v>
      </c>
      <c r="S91" s="5"/>
      <c r="T91" s="17">
        <v>915</v>
      </c>
      <c r="U91" s="7">
        <v>0</v>
      </c>
      <c r="V91" s="7">
        <v>0</v>
      </c>
      <c r="W91" s="7">
        <v>0</v>
      </c>
      <c r="X91" s="7">
        <v>0</v>
      </c>
      <c r="Y91" s="7">
        <v>-915</v>
      </c>
      <c r="Z91" s="10" t="str">
        <f t="shared" si="2"/>
        <v>Plumbing</v>
      </c>
      <c r="AA91" s="24" t="str">
        <f t="shared" si="3"/>
        <v xml:space="preserve"> 3971. LAX People Mover</v>
      </c>
    </row>
    <row r="92" spans="1:27" x14ac:dyDescent="0.2">
      <c r="A92" s="5" t="s">
        <v>226</v>
      </c>
      <c r="B92" s="5" t="s">
        <v>125</v>
      </c>
      <c r="C92" s="5" t="s">
        <v>227</v>
      </c>
      <c r="D92" s="5" t="s">
        <v>125</v>
      </c>
      <c r="E92" s="5" t="s">
        <v>88</v>
      </c>
      <c r="F92" s="5" t="s">
        <v>18</v>
      </c>
      <c r="G92" s="12" t="s">
        <v>89</v>
      </c>
      <c r="H92" s="12"/>
      <c r="I92" s="6">
        <v>0</v>
      </c>
      <c r="J92" s="6">
        <v>0</v>
      </c>
      <c r="K92" s="6">
        <v>0</v>
      </c>
      <c r="L92" s="16">
        <v>0</v>
      </c>
      <c r="M92" s="5"/>
      <c r="N92" s="9">
        <v>46</v>
      </c>
      <c r="O92" s="6">
        <v>152</v>
      </c>
      <c r="P92" s="6">
        <v>152</v>
      </c>
      <c r="Q92" s="6">
        <v>0</v>
      </c>
      <c r="R92" s="16">
        <v>106</v>
      </c>
      <c r="S92" s="5"/>
      <c r="T92" s="17">
        <v>4140</v>
      </c>
      <c r="U92" s="7">
        <v>13585.64</v>
      </c>
      <c r="V92" s="7">
        <v>0</v>
      </c>
      <c r="W92" s="7">
        <v>13585.64</v>
      </c>
      <c r="X92" s="7">
        <v>0</v>
      </c>
      <c r="Y92" s="7">
        <v>9445.64</v>
      </c>
      <c r="Z92" s="10" t="str">
        <f t="shared" si="2"/>
        <v>Plumbing</v>
      </c>
      <c r="AA92" s="24" t="str">
        <f t="shared" si="3"/>
        <v xml:space="preserve"> 3971. LAX People Mover</v>
      </c>
    </row>
    <row r="93" spans="1:27" x14ac:dyDescent="0.2">
      <c r="A93" s="5" t="s">
        <v>226</v>
      </c>
      <c r="B93" s="5" t="s">
        <v>125</v>
      </c>
      <c r="C93" s="5" t="s">
        <v>227</v>
      </c>
      <c r="D93" s="5" t="s">
        <v>125</v>
      </c>
      <c r="E93" s="5" t="s">
        <v>88</v>
      </c>
      <c r="F93" s="5" t="s">
        <v>25</v>
      </c>
      <c r="G93" s="12" t="s">
        <v>89</v>
      </c>
      <c r="H93" s="12"/>
      <c r="I93" s="6">
        <v>0</v>
      </c>
      <c r="J93" s="6">
        <v>2</v>
      </c>
      <c r="K93" s="6">
        <v>0</v>
      </c>
      <c r="L93" s="16">
        <v>-2</v>
      </c>
      <c r="M93" s="5"/>
      <c r="N93" s="9">
        <v>0</v>
      </c>
      <c r="O93" s="6">
        <v>0</v>
      </c>
      <c r="P93" s="6">
        <v>0</v>
      </c>
      <c r="Q93" s="6">
        <v>0</v>
      </c>
      <c r="R93" s="16">
        <v>0</v>
      </c>
      <c r="S93" s="5"/>
      <c r="T93" s="17">
        <v>10732.1</v>
      </c>
      <c r="U93" s="7">
        <v>2114.62</v>
      </c>
      <c r="V93" s="7">
        <v>0</v>
      </c>
      <c r="W93" s="7">
        <v>2114.62</v>
      </c>
      <c r="X93" s="7">
        <v>0</v>
      </c>
      <c r="Y93" s="7">
        <v>-8617.48</v>
      </c>
      <c r="Z93" s="10" t="str">
        <f t="shared" si="2"/>
        <v>Plumbing</v>
      </c>
      <c r="AA93" s="24" t="str">
        <f t="shared" si="3"/>
        <v xml:space="preserve"> 3971. LAX People Mover</v>
      </c>
    </row>
    <row r="94" spans="1:27" x14ac:dyDescent="0.2">
      <c r="A94" s="5" t="s">
        <v>228</v>
      </c>
      <c r="B94" s="5" t="s">
        <v>125</v>
      </c>
      <c r="C94" s="5" t="s">
        <v>229</v>
      </c>
      <c r="D94" s="5" t="s">
        <v>125</v>
      </c>
      <c r="E94" s="5" t="s">
        <v>88</v>
      </c>
      <c r="F94" s="5" t="s">
        <v>18</v>
      </c>
      <c r="G94" s="12" t="s">
        <v>89</v>
      </c>
      <c r="H94" s="12"/>
      <c r="I94" s="6">
        <v>0</v>
      </c>
      <c r="J94" s="6">
        <v>0</v>
      </c>
      <c r="K94" s="6">
        <v>0</v>
      </c>
      <c r="L94" s="16">
        <v>0</v>
      </c>
      <c r="M94" s="5"/>
      <c r="N94" s="9">
        <v>50</v>
      </c>
      <c r="O94" s="6">
        <v>122</v>
      </c>
      <c r="P94" s="6">
        <v>122</v>
      </c>
      <c r="Q94" s="6">
        <v>0</v>
      </c>
      <c r="R94" s="16">
        <v>72</v>
      </c>
      <c r="S94" s="5"/>
      <c r="T94" s="17">
        <v>4500</v>
      </c>
      <c r="U94" s="7">
        <v>12179.4</v>
      </c>
      <c r="V94" s="7">
        <v>0</v>
      </c>
      <c r="W94" s="7">
        <v>12179.4</v>
      </c>
      <c r="X94" s="7">
        <v>0</v>
      </c>
      <c r="Y94" s="7">
        <v>7679.4</v>
      </c>
      <c r="Z94" s="10" t="str">
        <f t="shared" si="2"/>
        <v>Plumbing</v>
      </c>
      <c r="AA94" s="24" t="str">
        <f t="shared" si="3"/>
        <v xml:space="preserve"> 3971. LAX People Mover</v>
      </c>
    </row>
    <row r="95" spans="1:27" x14ac:dyDescent="0.2">
      <c r="A95" s="5" t="s">
        <v>228</v>
      </c>
      <c r="B95" s="5" t="s">
        <v>125</v>
      </c>
      <c r="C95" s="5" t="s">
        <v>229</v>
      </c>
      <c r="D95" s="5" t="s">
        <v>125</v>
      </c>
      <c r="E95" s="5" t="s">
        <v>88</v>
      </c>
      <c r="F95" s="5" t="s">
        <v>25</v>
      </c>
      <c r="G95" s="12" t="s">
        <v>89</v>
      </c>
      <c r="H95" s="12"/>
      <c r="I95" s="6">
        <v>0</v>
      </c>
      <c r="J95" s="6">
        <v>2</v>
      </c>
      <c r="K95" s="6">
        <v>0</v>
      </c>
      <c r="L95" s="16">
        <v>-2</v>
      </c>
      <c r="M95" s="5"/>
      <c r="N95" s="9">
        <v>0</v>
      </c>
      <c r="O95" s="6">
        <v>0</v>
      </c>
      <c r="P95" s="6">
        <v>0</v>
      </c>
      <c r="Q95" s="6">
        <v>0</v>
      </c>
      <c r="R95" s="16">
        <v>0</v>
      </c>
      <c r="S95" s="5"/>
      <c r="T95" s="17">
        <v>14272.23</v>
      </c>
      <c r="U95" s="7">
        <v>1708.2</v>
      </c>
      <c r="V95" s="7">
        <v>0</v>
      </c>
      <c r="W95" s="7">
        <v>1708.2</v>
      </c>
      <c r="X95" s="7">
        <v>0</v>
      </c>
      <c r="Y95" s="7">
        <v>-12564.03</v>
      </c>
      <c r="Z95" s="10" t="str">
        <f t="shared" si="2"/>
        <v>Plumbing</v>
      </c>
      <c r="AA95" s="24" t="str">
        <f t="shared" si="3"/>
        <v xml:space="preserve"> 3971. LAX People Mover</v>
      </c>
    </row>
    <row r="96" spans="1:27" x14ac:dyDescent="0.2">
      <c r="A96" s="5" t="s">
        <v>230</v>
      </c>
      <c r="B96" s="5" t="s">
        <v>125</v>
      </c>
      <c r="C96" s="5" t="s">
        <v>231</v>
      </c>
      <c r="D96" s="5" t="s">
        <v>125</v>
      </c>
      <c r="E96" s="5" t="s">
        <v>88</v>
      </c>
      <c r="F96" s="5" t="s">
        <v>18</v>
      </c>
      <c r="G96" s="12" t="s">
        <v>89</v>
      </c>
      <c r="H96" s="12"/>
      <c r="I96" s="6">
        <v>0</v>
      </c>
      <c r="J96" s="6">
        <v>0</v>
      </c>
      <c r="K96" s="6">
        <v>0</v>
      </c>
      <c r="L96" s="16">
        <v>0</v>
      </c>
      <c r="M96" s="5"/>
      <c r="N96" s="9">
        <v>68</v>
      </c>
      <c r="O96" s="6">
        <v>421</v>
      </c>
      <c r="P96" s="6">
        <v>444</v>
      </c>
      <c r="Q96" s="6">
        <v>23</v>
      </c>
      <c r="R96" s="16">
        <v>376</v>
      </c>
      <c r="S96" s="5"/>
      <c r="T96" s="17">
        <v>6120</v>
      </c>
      <c r="U96" s="7">
        <v>40533.949999999997</v>
      </c>
      <c r="V96" s="7">
        <v>0</v>
      </c>
      <c r="W96" s="7">
        <v>42990.59</v>
      </c>
      <c r="X96" s="7">
        <v>2456.64</v>
      </c>
      <c r="Y96" s="7">
        <v>36870.589999999997</v>
      </c>
      <c r="Z96" s="10" t="str">
        <f t="shared" si="2"/>
        <v>Plumbing</v>
      </c>
      <c r="AA96" s="24" t="str">
        <f t="shared" si="3"/>
        <v xml:space="preserve"> 3971. LAX People Mover</v>
      </c>
    </row>
    <row r="97" spans="1:27" x14ac:dyDescent="0.2">
      <c r="A97" s="5" t="s">
        <v>230</v>
      </c>
      <c r="B97" s="5" t="s">
        <v>125</v>
      </c>
      <c r="C97" s="5" t="s">
        <v>231</v>
      </c>
      <c r="D97" s="5" t="s">
        <v>125</v>
      </c>
      <c r="E97" s="5" t="s">
        <v>88</v>
      </c>
      <c r="F97" s="5" t="s">
        <v>25</v>
      </c>
      <c r="G97" s="12" t="s">
        <v>89</v>
      </c>
      <c r="H97" s="12"/>
      <c r="I97" s="6">
        <v>0</v>
      </c>
      <c r="J97" s="6">
        <v>16</v>
      </c>
      <c r="K97" s="6">
        <v>0</v>
      </c>
      <c r="L97" s="16">
        <v>-16</v>
      </c>
      <c r="M97" s="5"/>
      <c r="N97" s="9">
        <v>0</v>
      </c>
      <c r="O97" s="6">
        <v>0</v>
      </c>
      <c r="P97" s="6">
        <v>0</v>
      </c>
      <c r="Q97" s="6">
        <v>0</v>
      </c>
      <c r="R97" s="16">
        <v>0</v>
      </c>
      <c r="S97" s="5"/>
      <c r="T97" s="17">
        <v>52231.5</v>
      </c>
      <c r="U97" s="7">
        <v>54763.43</v>
      </c>
      <c r="V97" s="7">
        <v>0</v>
      </c>
      <c r="W97" s="7">
        <v>54632.03</v>
      </c>
      <c r="X97" s="7">
        <v>-131.4</v>
      </c>
      <c r="Y97" s="7">
        <v>2400.5300000000002</v>
      </c>
      <c r="Z97" s="10" t="str">
        <f t="shared" si="2"/>
        <v>Plumbing</v>
      </c>
      <c r="AA97" s="24" t="str">
        <f t="shared" si="3"/>
        <v xml:space="preserve"> 3971. LAX People Mover</v>
      </c>
    </row>
    <row r="98" spans="1:27" x14ac:dyDescent="0.2">
      <c r="A98" s="5" t="s">
        <v>232</v>
      </c>
      <c r="B98" s="5" t="s">
        <v>125</v>
      </c>
      <c r="C98" s="5" t="s">
        <v>233</v>
      </c>
      <c r="D98" s="5" t="s">
        <v>125</v>
      </c>
      <c r="E98" s="5" t="s">
        <v>88</v>
      </c>
      <c r="F98" s="5" t="s">
        <v>18</v>
      </c>
      <c r="G98" s="12" t="s">
        <v>89</v>
      </c>
      <c r="H98" s="12"/>
      <c r="I98" s="6">
        <v>0</v>
      </c>
      <c r="J98" s="6">
        <v>0</v>
      </c>
      <c r="K98" s="6">
        <v>0</v>
      </c>
      <c r="L98" s="16">
        <v>0</v>
      </c>
      <c r="M98" s="5"/>
      <c r="N98" s="9">
        <v>17</v>
      </c>
      <c r="O98" s="6">
        <v>68</v>
      </c>
      <c r="P98" s="6">
        <v>68</v>
      </c>
      <c r="Q98" s="6">
        <v>0</v>
      </c>
      <c r="R98" s="16">
        <v>51</v>
      </c>
      <c r="S98" s="5"/>
      <c r="T98" s="17">
        <v>1530</v>
      </c>
      <c r="U98" s="7">
        <v>6806.29</v>
      </c>
      <c r="V98" s="7">
        <v>0</v>
      </c>
      <c r="W98" s="7">
        <v>6806.29</v>
      </c>
      <c r="X98" s="7">
        <v>0</v>
      </c>
      <c r="Y98" s="7">
        <v>5276.29</v>
      </c>
      <c r="Z98" s="10" t="str">
        <f t="shared" si="2"/>
        <v>Plumbing</v>
      </c>
      <c r="AA98" s="24" t="str">
        <f t="shared" si="3"/>
        <v xml:space="preserve"> 3971. LAX People Mover</v>
      </c>
    </row>
    <row r="99" spans="1:27" x14ac:dyDescent="0.2">
      <c r="A99" s="5" t="s">
        <v>232</v>
      </c>
      <c r="B99" s="5" t="s">
        <v>125</v>
      </c>
      <c r="C99" s="5" t="s">
        <v>233</v>
      </c>
      <c r="D99" s="5" t="s">
        <v>125</v>
      </c>
      <c r="E99" s="5" t="s">
        <v>88</v>
      </c>
      <c r="F99" s="5" t="s">
        <v>25</v>
      </c>
      <c r="G99" s="12" t="s">
        <v>89</v>
      </c>
      <c r="H99" s="12"/>
      <c r="I99" s="6">
        <v>0</v>
      </c>
      <c r="J99" s="6">
        <v>0</v>
      </c>
      <c r="K99" s="6">
        <v>0</v>
      </c>
      <c r="L99" s="16">
        <v>0</v>
      </c>
      <c r="M99" s="5"/>
      <c r="N99" s="9">
        <v>0</v>
      </c>
      <c r="O99" s="6">
        <v>0</v>
      </c>
      <c r="P99" s="6">
        <v>0</v>
      </c>
      <c r="Q99" s="6">
        <v>0</v>
      </c>
      <c r="R99" s="16">
        <v>0</v>
      </c>
      <c r="S99" s="5"/>
      <c r="T99" s="17">
        <v>23965.17</v>
      </c>
      <c r="U99" s="7">
        <v>0</v>
      </c>
      <c r="V99" s="7">
        <v>0</v>
      </c>
      <c r="W99" s="7">
        <v>0</v>
      </c>
      <c r="X99" s="7">
        <v>0</v>
      </c>
      <c r="Y99" s="7">
        <v>-23965.17</v>
      </c>
      <c r="Z99" s="10" t="str">
        <f t="shared" si="2"/>
        <v>Plumbing</v>
      </c>
      <c r="AA99" s="24" t="str">
        <f t="shared" si="3"/>
        <v xml:space="preserve"> 3971. LAX People Mover</v>
      </c>
    </row>
    <row r="100" spans="1:27" x14ac:dyDescent="0.2">
      <c r="A100" s="5" t="s">
        <v>234</v>
      </c>
      <c r="B100" s="5" t="s">
        <v>125</v>
      </c>
      <c r="C100" s="5" t="s">
        <v>235</v>
      </c>
      <c r="D100" s="5" t="s">
        <v>125</v>
      </c>
      <c r="E100" s="5" t="s">
        <v>88</v>
      </c>
      <c r="F100" s="5" t="s">
        <v>18</v>
      </c>
      <c r="G100" s="12" t="s">
        <v>89</v>
      </c>
      <c r="H100" s="12"/>
      <c r="I100" s="6">
        <v>0</v>
      </c>
      <c r="J100" s="6">
        <v>0</v>
      </c>
      <c r="K100" s="6">
        <v>0</v>
      </c>
      <c r="L100" s="16">
        <v>0</v>
      </c>
      <c r="M100" s="5"/>
      <c r="N100" s="9">
        <v>3</v>
      </c>
      <c r="O100" s="6">
        <v>29</v>
      </c>
      <c r="P100" s="6">
        <v>29</v>
      </c>
      <c r="Q100" s="6">
        <v>0</v>
      </c>
      <c r="R100" s="16">
        <v>26</v>
      </c>
      <c r="S100" s="5"/>
      <c r="T100" s="17">
        <v>270</v>
      </c>
      <c r="U100" s="7">
        <v>2264.04</v>
      </c>
      <c r="V100" s="7">
        <v>0</v>
      </c>
      <c r="W100" s="7">
        <v>2264.04</v>
      </c>
      <c r="X100" s="7">
        <v>0</v>
      </c>
      <c r="Y100" s="7">
        <v>1994.04</v>
      </c>
      <c r="Z100" s="10" t="str">
        <f t="shared" si="2"/>
        <v>Plumbing</v>
      </c>
      <c r="AA100" s="24" t="str">
        <f t="shared" si="3"/>
        <v xml:space="preserve"> 3971. LAX People Mover</v>
      </c>
    </row>
    <row r="101" spans="1:27" x14ac:dyDescent="0.2">
      <c r="A101" s="5" t="s">
        <v>234</v>
      </c>
      <c r="B101" s="5" t="s">
        <v>125</v>
      </c>
      <c r="C101" s="5" t="s">
        <v>235</v>
      </c>
      <c r="D101" s="5" t="s">
        <v>125</v>
      </c>
      <c r="E101" s="5" t="s">
        <v>88</v>
      </c>
      <c r="F101" s="5" t="s">
        <v>25</v>
      </c>
      <c r="G101" s="12" t="s">
        <v>89</v>
      </c>
      <c r="H101" s="12"/>
      <c r="I101" s="6">
        <v>0</v>
      </c>
      <c r="J101" s="6">
        <v>1</v>
      </c>
      <c r="K101" s="6">
        <v>0</v>
      </c>
      <c r="L101" s="16">
        <v>-1</v>
      </c>
      <c r="M101" s="5"/>
      <c r="N101" s="9">
        <v>0</v>
      </c>
      <c r="O101" s="6">
        <v>0</v>
      </c>
      <c r="P101" s="6">
        <v>0</v>
      </c>
      <c r="Q101" s="6">
        <v>0</v>
      </c>
      <c r="R101" s="16">
        <v>0</v>
      </c>
      <c r="S101" s="5"/>
      <c r="T101" s="17">
        <v>6977.34</v>
      </c>
      <c r="U101" s="7">
        <v>3932.45</v>
      </c>
      <c r="V101" s="7">
        <v>0</v>
      </c>
      <c r="W101" s="7">
        <v>3932.45</v>
      </c>
      <c r="X101" s="7">
        <v>0</v>
      </c>
      <c r="Y101" s="7">
        <v>-3044.89</v>
      </c>
      <c r="Z101" s="10" t="str">
        <f t="shared" si="2"/>
        <v>Plumbing</v>
      </c>
      <c r="AA101" s="24" t="str">
        <f t="shared" si="3"/>
        <v xml:space="preserve"> 3971. LAX People Mover</v>
      </c>
    </row>
    <row r="102" spans="1:27" x14ac:dyDescent="0.2">
      <c r="A102" s="5" t="s">
        <v>236</v>
      </c>
      <c r="B102" s="5" t="s">
        <v>125</v>
      </c>
      <c r="C102" s="5" t="s">
        <v>237</v>
      </c>
      <c r="D102" s="5" t="s">
        <v>125</v>
      </c>
      <c r="E102" s="5" t="s">
        <v>88</v>
      </c>
      <c r="F102" s="5" t="s">
        <v>18</v>
      </c>
      <c r="G102" s="12" t="s">
        <v>89</v>
      </c>
      <c r="H102" s="12"/>
      <c r="I102" s="6">
        <v>0</v>
      </c>
      <c r="J102" s="6">
        <v>0</v>
      </c>
      <c r="K102" s="6">
        <v>0</v>
      </c>
      <c r="L102" s="16">
        <v>0</v>
      </c>
      <c r="M102" s="5"/>
      <c r="N102" s="9">
        <v>110</v>
      </c>
      <c r="O102" s="6">
        <v>329</v>
      </c>
      <c r="P102" s="6">
        <v>345</v>
      </c>
      <c r="Q102" s="6">
        <v>16</v>
      </c>
      <c r="R102" s="16">
        <v>235</v>
      </c>
      <c r="S102" s="5"/>
      <c r="T102" s="17">
        <v>9900</v>
      </c>
      <c r="U102" s="7">
        <v>28379.79</v>
      </c>
      <c r="V102" s="7">
        <v>0</v>
      </c>
      <c r="W102" s="7">
        <v>30059.79</v>
      </c>
      <c r="X102" s="7">
        <v>1680</v>
      </c>
      <c r="Y102" s="7">
        <v>20159.79</v>
      </c>
      <c r="Z102" s="10" t="str">
        <f t="shared" si="2"/>
        <v>Plumbing</v>
      </c>
      <c r="AA102" s="24" t="str">
        <f t="shared" si="3"/>
        <v xml:space="preserve"> 3971. LAX People Mover</v>
      </c>
    </row>
    <row r="103" spans="1:27" x14ac:dyDescent="0.2">
      <c r="A103" s="5" t="s">
        <v>236</v>
      </c>
      <c r="B103" s="5" t="s">
        <v>125</v>
      </c>
      <c r="C103" s="5" t="s">
        <v>237</v>
      </c>
      <c r="D103" s="5" t="s">
        <v>125</v>
      </c>
      <c r="E103" s="5" t="s">
        <v>88</v>
      </c>
      <c r="F103" s="5" t="s">
        <v>25</v>
      </c>
      <c r="G103" s="12" t="s">
        <v>89</v>
      </c>
      <c r="H103" s="12"/>
      <c r="I103" s="6">
        <v>0</v>
      </c>
      <c r="J103" s="6">
        <v>16</v>
      </c>
      <c r="K103" s="6">
        <v>0</v>
      </c>
      <c r="L103" s="16">
        <v>-16</v>
      </c>
      <c r="M103" s="5"/>
      <c r="N103" s="9">
        <v>0</v>
      </c>
      <c r="O103" s="6">
        <v>0</v>
      </c>
      <c r="P103" s="6">
        <v>0</v>
      </c>
      <c r="Q103" s="6">
        <v>0</v>
      </c>
      <c r="R103" s="16">
        <v>0</v>
      </c>
      <c r="S103" s="5"/>
      <c r="T103" s="17">
        <v>49926.53</v>
      </c>
      <c r="U103" s="7">
        <v>32453.55</v>
      </c>
      <c r="V103" s="7">
        <v>0</v>
      </c>
      <c r="W103" s="7">
        <v>32453.55</v>
      </c>
      <c r="X103" s="7">
        <v>0</v>
      </c>
      <c r="Y103" s="7">
        <v>-17472.98</v>
      </c>
      <c r="Z103" s="10" t="str">
        <f t="shared" si="2"/>
        <v>Plumbing</v>
      </c>
      <c r="AA103" s="24" t="str">
        <f t="shared" si="3"/>
        <v xml:space="preserve"> 3971. LAX People Mover</v>
      </c>
    </row>
    <row r="104" spans="1:27" x14ac:dyDescent="0.2">
      <c r="A104" s="5" t="s">
        <v>238</v>
      </c>
      <c r="B104" s="5" t="s">
        <v>125</v>
      </c>
      <c r="C104" s="5" t="s">
        <v>239</v>
      </c>
      <c r="D104" s="5" t="s">
        <v>125</v>
      </c>
      <c r="E104" s="5" t="s">
        <v>88</v>
      </c>
      <c r="F104" s="5" t="s">
        <v>18</v>
      </c>
      <c r="G104" s="12" t="s">
        <v>89</v>
      </c>
      <c r="H104" s="12"/>
      <c r="I104" s="6">
        <v>0</v>
      </c>
      <c r="J104" s="6">
        <v>0</v>
      </c>
      <c r="K104" s="6">
        <v>0</v>
      </c>
      <c r="L104" s="16">
        <v>0</v>
      </c>
      <c r="M104" s="5"/>
      <c r="N104" s="9">
        <v>67</v>
      </c>
      <c r="O104" s="6">
        <v>285</v>
      </c>
      <c r="P104" s="6">
        <v>293</v>
      </c>
      <c r="Q104" s="6">
        <v>8</v>
      </c>
      <c r="R104" s="16">
        <v>226</v>
      </c>
      <c r="S104" s="5"/>
      <c r="T104" s="17">
        <v>6030</v>
      </c>
      <c r="U104" s="7">
        <v>24882.68</v>
      </c>
      <c r="V104" s="7">
        <v>0</v>
      </c>
      <c r="W104" s="7">
        <v>25722.68</v>
      </c>
      <c r="X104" s="7">
        <v>840</v>
      </c>
      <c r="Y104" s="7">
        <v>19692.68</v>
      </c>
      <c r="Z104" s="10" t="str">
        <f t="shared" si="2"/>
        <v>Plumbing</v>
      </c>
      <c r="AA104" s="24" t="str">
        <f t="shared" si="3"/>
        <v xml:space="preserve"> 3971. LAX People Mover</v>
      </c>
    </row>
    <row r="105" spans="1:27" x14ac:dyDescent="0.2">
      <c r="A105" s="5" t="s">
        <v>238</v>
      </c>
      <c r="B105" s="5" t="s">
        <v>125</v>
      </c>
      <c r="C105" s="5" t="s">
        <v>239</v>
      </c>
      <c r="D105" s="5" t="s">
        <v>125</v>
      </c>
      <c r="E105" s="5" t="s">
        <v>88</v>
      </c>
      <c r="F105" s="5" t="s">
        <v>25</v>
      </c>
      <c r="G105" s="12" t="s">
        <v>89</v>
      </c>
      <c r="H105" s="12"/>
      <c r="I105" s="6">
        <v>0</v>
      </c>
      <c r="J105" s="6">
        <v>2</v>
      </c>
      <c r="K105" s="6">
        <v>0</v>
      </c>
      <c r="L105" s="16">
        <v>-2</v>
      </c>
      <c r="M105" s="5"/>
      <c r="N105" s="9">
        <v>0</v>
      </c>
      <c r="O105" s="6">
        <v>0</v>
      </c>
      <c r="P105" s="6">
        <v>0</v>
      </c>
      <c r="Q105" s="6">
        <v>0</v>
      </c>
      <c r="R105" s="16">
        <v>0</v>
      </c>
      <c r="S105" s="5"/>
      <c r="T105" s="17">
        <v>30412.53</v>
      </c>
      <c r="U105" s="7">
        <v>21121.08</v>
      </c>
      <c r="V105" s="7">
        <v>4907.29</v>
      </c>
      <c r="W105" s="7">
        <v>26028.39</v>
      </c>
      <c r="X105" s="7">
        <v>4907.3100000000004</v>
      </c>
      <c r="Y105" s="7">
        <v>-4384.1400000000003</v>
      </c>
      <c r="Z105" s="10" t="str">
        <f t="shared" si="2"/>
        <v>Plumbing</v>
      </c>
      <c r="AA105" s="24" t="str">
        <f t="shared" si="3"/>
        <v xml:space="preserve"> 3971. LAX People Mover</v>
      </c>
    </row>
    <row r="106" spans="1:27" x14ac:dyDescent="0.2">
      <c r="A106" s="5" t="s">
        <v>240</v>
      </c>
      <c r="B106" s="5" t="s">
        <v>241</v>
      </c>
      <c r="C106" s="5" t="s">
        <v>225</v>
      </c>
      <c r="D106" s="5" t="s">
        <v>125</v>
      </c>
      <c r="E106" s="5" t="s">
        <v>88</v>
      </c>
      <c r="F106" s="5" t="s">
        <v>18</v>
      </c>
      <c r="G106" s="12" t="s">
        <v>139</v>
      </c>
      <c r="H106" s="12"/>
      <c r="I106" s="6">
        <v>0</v>
      </c>
      <c r="J106" s="6">
        <v>0</v>
      </c>
      <c r="K106" s="6">
        <v>0</v>
      </c>
      <c r="L106" s="16">
        <v>0</v>
      </c>
      <c r="M106" s="5"/>
      <c r="N106" s="9">
        <v>670</v>
      </c>
      <c r="O106" s="6">
        <v>928</v>
      </c>
      <c r="P106" s="6">
        <v>928</v>
      </c>
      <c r="Q106" s="6">
        <v>0</v>
      </c>
      <c r="R106" s="16">
        <v>258</v>
      </c>
      <c r="S106" s="5"/>
      <c r="T106" s="17">
        <v>60300</v>
      </c>
      <c r="U106" s="7">
        <v>78853.95</v>
      </c>
      <c r="V106" s="7">
        <v>0</v>
      </c>
      <c r="W106" s="7">
        <v>78853.95</v>
      </c>
      <c r="X106" s="7">
        <v>0</v>
      </c>
      <c r="Y106" s="7">
        <v>18553.95</v>
      </c>
      <c r="Z106" s="10" t="str">
        <f t="shared" si="2"/>
        <v>Sheet Metal</v>
      </c>
      <c r="AA106" s="24" t="str">
        <f t="shared" si="3"/>
        <v xml:space="preserve"> 3971. LAX People Mover</v>
      </c>
    </row>
    <row r="107" spans="1:27" x14ac:dyDescent="0.2">
      <c r="A107" s="5" t="s">
        <v>240</v>
      </c>
      <c r="B107" s="5" t="s">
        <v>241</v>
      </c>
      <c r="C107" s="5" t="s">
        <v>225</v>
      </c>
      <c r="D107" s="5" t="s">
        <v>125</v>
      </c>
      <c r="E107" s="5" t="s">
        <v>88</v>
      </c>
      <c r="F107" s="5" t="s">
        <v>25</v>
      </c>
      <c r="G107" s="12" t="s">
        <v>139</v>
      </c>
      <c r="H107" s="12"/>
      <c r="I107" s="6">
        <v>0</v>
      </c>
      <c r="J107" s="6">
        <v>0</v>
      </c>
      <c r="K107" s="6">
        <v>0</v>
      </c>
      <c r="L107" s="16">
        <v>0</v>
      </c>
      <c r="M107" s="5"/>
      <c r="N107" s="9">
        <v>0</v>
      </c>
      <c r="O107" s="6">
        <v>0</v>
      </c>
      <c r="P107" s="6">
        <v>0</v>
      </c>
      <c r="Q107" s="6">
        <v>0</v>
      </c>
      <c r="R107" s="16">
        <v>0</v>
      </c>
      <c r="S107" s="5"/>
      <c r="T107" s="17">
        <v>325</v>
      </c>
      <c r="U107" s="7">
        <v>0</v>
      </c>
      <c r="V107" s="7">
        <v>0</v>
      </c>
      <c r="W107" s="7">
        <v>0</v>
      </c>
      <c r="X107" s="7">
        <v>0</v>
      </c>
      <c r="Y107" s="7">
        <v>-325</v>
      </c>
      <c r="Z107" s="10" t="str">
        <f t="shared" si="2"/>
        <v>Sheet Metal</v>
      </c>
      <c r="AA107" s="24" t="str">
        <f t="shared" si="3"/>
        <v xml:space="preserve"> 3971. LAX People Mover</v>
      </c>
    </row>
    <row r="108" spans="1:27" x14ac:dyDescent="0.2">
      <c r="A108" s="5" t="s">
        <v>242</v>
      </c>
      <c r="B108" s="5" t="s">
        <v>241</v>
      </c>
      <c r="C108" s="5" t="s">
        <v>122</v>
      </c>
      <c r="D108" s="5" t="s">
        <v>125</v>
      </c>
      <c r="E108" s="5" t="s">
        <v>88</v>
      </c>
      <c r="F108" s="5" t="s">
        <v>18</v>
      </c>
      <c r="G108" s="12" t="s">
        <v>139</v>
      </c>
      <c r="H108" s="12"/>
      <c r="I108" s="6">
        <v>0</v>
      </c>
      <c r="J108" s="6">
        <v>0</v>
      </c>
      <c r="K108" s="6">
        <v>0</v>
      </c>
      <c r="L108" s="16">
        <v>0</v>
      </c>
      <c r="M108" s="5"/>
      <c r="N108" s="9">
        <v>8</v>
      </c>
      <c r="O108" s="6">
        <v>25</v>
      </c>
      <c r="P108" s="6">
        <v>42</v>
      </c>
      <c r="Q108" s="6">
        <v>17</v>
      </c>
      <c r="R108" s="16">
        <v>34</v>
      </c>
      <c r="S108" s="5"/>
      <c r="T108" s="17">
        <v>720</v>
      </c>
      <c r="U108" s="7">
        <v>2335.63</v>
      </c>
      <c r="V108" s="7">
        <v>0</v>
      </c>
      <c r="W108" s="7">
        <v>4120.63</v>
      </c>
      <c r="X108" s="7">
        <v>1785</v>
      </c>
      <c r="Y108" s="7">
        <v>3400.63</v>
      </c>
      <c r="Z108" s="10" t="str">
        <f t="shared" si="2"/>
        <v>Sheet Metal</v>
      </c>
      <c r="AA108" s="24" t="str">
        <f t="shared" si="3"/>
        <v xml:space="preserve"> 3971. LAX People Mover</v>
      </c>
    </row>
    <row r="109" spans="1:27" x14ac:dyDescent="0.2">
      <c r="A109" s="5" t="s">
        <v>242</v>
      </c>
      <c r="B109" s="5" t="s">
        <v>241</v>
      </c>
      <c r="C109" s="5" t="s">
        <v>122</v>
      </c>
      <c r="D109" s="5" t="s">
        <v>125</v>
      </c>
      <c r="E109" s="5" t="s">
        <v>88</v>
      </c>
      <c r="F109" s="5" t="s">
        <v>25</v>
      </c>
      <c r="G109" s="12" t="s">
        <v>139</v>
      </c>
      <c r="H109" s="12"/>
      <c r="I109" s="6">
        <v>0</v>
      </c>
      <c r="J109" s="6">
        <v>0</v>
      </c>
      <c r="K109" s="6">
        <v>0</v>
      </c>
      <c r="L109" s="16">
        <v>0</v>
      </c>
      <c r="M109" s="5"/>
      <c r="N109" s="9">
        <v>0</v>
      </c>
      <c r="O109" s="6">
        <v>0</v>
      </c>
      <c r="P109" s="6">
        <v>0</v>
      </c>
      <c r="Q109" s="6">
        <v>0</v>
      </c>
      <c r="R109" s="16">
        <v>0</v>
      </c>
      <c r="S109" s="5"/>
      <c r="T109" s="17">
        <v>0</v>
      </c>
      <c r="U109" s="7">
        <v>0</v>
      </c>
      <c r="V109" s="7">
        <v>0</v>
      </c>
      <c r="W109" s="7">
        <v>1135.3499999999999</v>
      </c>
      <c r="X109" s="7">
        <v>1135.3499999999999</v>
      </c>
      <c r="Y109" s="7">
        <v>1135.3499999999999</v>
      </c>
      <c r="Z109" s="10" t="str">
        <f t="shared" si="2"/>
        <v>Sheet Metal</v>
      </c>
      <c r="AA109" s="24" t="str">
        <f t="shared" si="3"/>
        <v xml:space="preserve"> 3971. LAX People Mover</v>
      </c>
    </row>
    <row r="110" spans="1:27" x14ac:dyDescent="0.2">
      <c r="A110" s="5" t="s">
        <v>243</v>
      </c>
      <c r="B110" s="5" t="s">
        <v>241</v>
      </c>
      <c r="C110" s="5" t="s">
        <v>227</v>
      </c>
      <c r="D110" s="5" t="s">
        <v>125</v>
      </c>
      <c r="E110" s="5" t="s">
        <v>88</v>
      </c>
      <c r="F110" s="5" t="s">
        <v>18</v>
      </c>
      <c r="G110" s="12" t="s">
        <v>139</v>
      </c>
      <c r="H110" s="12"/>
      <c r="I110" s="6">
        <v>0</v>
      </c>
      <c r="J110" s="6">
        <v>0</v>
      </c>
      <c r="K110" s="6">
        <v>0</v>
      </c>
      <c r="L110" s="16">
        <v>0</v>
      </c>
      <c r="M110" s="5"/>
      <c r="N110" s="9">
        <v>77</v>
      </c>
      <c r="O110" s="6">
        <v>250</v>
      </c>
      <c r="P110" s="6">
        <v>250</v>
      </c>
      <c r="Q110" s="6">
        <v>0</v>
      </c>
      <c r="R110" s="16">
        <v>173</v>
      </c>
      <c r="S110" s="5"/>
      <c r="T110" s="17">
        <v>6930</v>
      </c>
      <c r="U110" s="7">
        <v>21716.42</v>
      </c>
      <c r="V110" s="7">
        <v>0</v>
      </c>
      <c r="W110" s="7">
        <v>21716.42</v>
      </c>
      <c r="X110" s="7">
        <v>0</v>
      </c>
      <c r="Y110" s="7">
        <v>14786.42</v>
      </c>
      <c r="Z110" s="10" t="str">
        <f t="shared" si="2"/>
        <v>Sheet Metal</v>
      </c>
      <c r="AA110" s="24" t="str">
        <f t="shared" si="3"/>
        <v xml:space="preserve"> 3971. LAX People Mover</v>
      </c>
    </row>
    <row r="111" spans="1:27" x14ac:dyDescent="0.2">
      <c r="A111" s="5" t="s">
        <v>244</v>
      </c>
      <c r="B111" s="5" t="s">
        <v>241</v>
      </c>
      <c r="C111" s="5" t="s">
        <v>245</v>
      </c>
      <c r="D111" s="5" t="s">
        <v>125</v>
      </c>
      <c r="E111" s="5" t="s">
        <v>88</v>
      </c>
      <c r="F111" s="5" t="s">
        <v>18</v>
      </c>
      <c r="G111" s="12" t="s">
        <v>139</v>
      </c>
      <c r="H111" s="12"/>
      <c r="I111" s="6">
        <v>0</v>
      </c>
      <c r="J111" s="6">
        <v>0</v>
      </c>
      <c r="K111" s="6">
        <v>0</v>
      </c>
      <c r="L111" s="16">
        <v>0</v>
      </c>
      <c r="M111" s="5"/>
      <c r="N111" s="9">
        <v>59</v>
      </c>
      <c r="O111" s="6">
        <v>63</v>
      </c>
      <c r="P111" s="6">
        <v>63</v>
      </c>
      <c r="Q111" s="6">
        <v>0</v>
      </c>
      <c r="R111" s="16">
        <v>4</v>
      </c>
      <c r="S111" s="5"/>
      <c r="T111" s="17">
        <v>5310</v>
      </c>
      <c r="U111" s="7">
        <v>4786.84</v>
      </c>
      <c r="V111" s="7">
        <v>0</v>
      </c>
      <c r="W111" s="7">
        <v>4786.84</v>
      </c>
      <c r="X111" s="7">
        <v>0</v>
      </c>
      <c r="Y111" s="7">
        <v>-523.16</v>
      </c>
      <c r="Z111" s="10" t="str">
        <f t="shared" si="2"/>
        <v>Sheet Metal</v>
      </c>
      <c r="AA111" s="24" t="str">
        <f t="shared" si="3"/>
        <v xml:space="preserve"> 3971. LAX People Mover</v>
      </c>
    </row>
    <row r="112" spans="1:27" x14ac:dyDescent="0.2">
      <c r="A112" s="5" t="s">
        <v>246</v>
      </c>
      <c r="B112" s="5" t="s">
        <v>241</v>
      </c>
      <c r="C112" s="5" t="s">
        <v>229</v>
      </c>
      <c r="D112" s="5" t="s">
        <v>125</v>
      </c>
      <c r="E112" s="5" t="s">
        <v>88</v>
      </c>
      <c r="F112" s="5" t="s">
        <v>18</v>
      </c>
      <c r="G112" s="12" t="s">
        <v>139</v>
      </c>
      <c r="H112" s="12"/>
      <c r="I112" s="6">
        <v>0</v>
      </c>
      <c r="J112" s="6">
        <v>0</v>
      </c>
      <c r="K112" s="6">
        <v>0</v>
      </c>
      <c r="L112" s="16">
        <v>0</v>
      </c>
      <c r="M112" s="5"/>
      <c r="N112" s="9">
        <v>100</v>
      </c>
      <c r="O112" s="6">
        <v>214</v>
      </c>
      <c r="P112" s="6">
        <v>214</v>
      </c>
      <c r="Q112" s="6">
        <v>0</v>
      </c>
      <c r="R112" s="16">
        <v>114</v>
      </c>
      <c r="S112" s="5"/>
      <c r="T112" s="17">
        <v>9000</v>
      </c>
      <c r="U112" s="7">
        <v>18076.419999999998</v>
      </c>
      <c r="V112" s="7">
        <v>0</v>
      </c>
      <c r="W112" s="7">
        <v>18076.419999999998</v>
      </c>
      <c r="X112" s="7">
        <v>0</v>
      </c>
      <c r="Y112" s="7">
        <v>9076.42</v>
      </c>
      <c r="Z112" s="10" t="str">
        <f t="shared" si="2"/>
        <v>Sheet Metal</v>
      </c>
      <c r="AA112" s="24" t="str">
        <f t="shared" si="3"/>
        <v xml:space="preserve"> 3971. LAX People Mover</v>
      </c>
    </row>
    <row r="113" spans="1:27" x14ac:dyDescent="0.2">
      <c r="A113" s="5" t="s">
        <v>247</v>
      </c>
      <c r="B113" s="5" t="s">
        <v>241</v>
      </c>
      <c r="C113" s="5" t="s">
        <v>231</v>
      </c>
      <c r="D113" s="5" t="s">
        <v>125</v>
      </c>
      <c r="E113" s="5" t="s">
        <v>88</v>
      </c>
      <c r="F113" s="5" t="s">
        <v>18</v>
      </c>
      <c r="G113" s="12" t="s">
        <v>139</v>
      </c>
      <c r="H113" s="12"/>
      <c r="I113" s="6">
        <v>0</v>
      </c>
      <c r="J113" s="6">
        <v>0</v>
      </c>
      <c r="K113" s="6">
        <v>0</v>
      </c>
      <c r="L113" s="16">
        <v>0</v>
      </c>
      <c r="M113" s="5"/>
      <c r="N113" s="9">
        <v>36</v>
      </c>
      <c r="O113" s="6">
        <v>366</v>
      </c>
      <c r="P113" s="6">
        <v>366</v>
      </c>
      <c r="Q113" s="6">
        <v>0</v>
      </c>
      <c r="R113" s="16">
        <v>330</v>
      </c>
      <c r="S113" s="5"/>
      <c r="T113" s="17">
        <v>3240</v>
      </c>
      <c r="U113" s="7">
        <v>32386.38</v>
      </c>
      <c r="V113" s="7">
        <v>0</v>
      </c>
      <c r="W113" s="7">
        <v>32386.38</v>
      </c>
      <c r="X113" s="7">
        <v>0</v>
      </c>
      <c r="Y113" s="7">
        <v>29146.38</v>
      </c>
      <c r="Z113" s="10" t="str">
        <f t="shared" si="2"/>
        <v>Sheet Metal</v>
      </c>
      <c r="AA113" s="24" t="str">
        <f t="shared" si="3"/>
        <v xml:space="preserve"> 3971. LAX People Mover</v>
      </c>
    </row>
    <row r="114" spans="1:27" x14ac:dyDescent="0.2">
      <c r="A114" s="5" t="s">
        <v>248</v>
      </c>
      <c r="B114" s="5" t="s">
        <v>241</v>
      </c>
      <c r="C114" s="5" t="s">
        <v>233</v>
      </c>
      <c r="D114" s="5" t="s">
        <v>125</v>
      </c>
      <c r="E114" s="5" t="s">
        <v>88</v>
      </c>
      <c r="F114" s="5" t="s">
        <v>18</v>
      </c>
      <c r="G114" s="12" t="s">
        <v>139</v>
      </c>
      <c r="H114" s="12"/>
      <c r="I114" s="6">
        <v>0</v>
      </c>
      <c r="J114" s="6">
        <v>0</v>
      </c>
      <c r="K114" s="6">
        <v>0</v>
      </c>
      <c r="L114" s="16">
        <v>0</v>
      </c>
      <c r="M114" s="5"/>
      <c r="N114" s="9">
        <v>32</v>
      </c>
      <c r="O114" s="6">
        <v>0</v>
      </c>
      <c r="P114" s="6">
        <v>0</v>
      </c>
      <c r="Q114" s="6">
        <v>0</v>
      </c>
      <c r="R114" s="16">
        <v>-32</v>
      </c>
      <c r="S114" s="5"/>
      <c r="T114" s="17">
        <v>2880</v>
      </c>
      <c r="U114" s="7">
        <v>0</v>
      </c>
      <c r="V114" s="7">
        <v>0</v>
      </c>
      <c r="W114" s="7">
        <v>0</v>
      </c>
      <c r="X114" s="7">
        <v>0</v>
      </c>
      <c r="Y114" s="7">
        <v>-2880</v>
      </c>
      <c r="Z114" s="10" t="str">
        <f t="shared" si="2"/>
        <v>Sheet Metal</v>
      </c>
      <c r="AA114" s="24" t="str">
        <f t="shared" si="3"/>
        <v xml:space="preserve"> 3971. LAX People Mover</v>
      </c>
    </row>
    <row r="115" spans="1:27" x14ac:dyDescent="0.2">
      <c r="A115" s="5" t="s">
        <v>249</v>
      </c>
      <c r="B115" s="5" t="s">
        <v>241</v>
      </c>
      <c r="C115" s="5" t="s">
        <v>235</v>
      </c>
      <c r="D115" s="5" t="s">
        <v>125</v>
      </c>
      <c r="E115" s="5" t="s">
        <v>88</v>
      </c>
      <c r="F115" s="5" t="s">
        <v>18</v>
      </c>
      <c r="G115" s="12" t="s">
        <v>139</v>
      </c>
      <c r="H115" s="12"/>
      <c r="I115" s="6">
        <v>0</v>
      </c>
      <c r="J115" s="6">
        <v>0</v>
      </c>
      <c r="K115" s="6">
        <v>0</v>
      </c>
      <c r="L115" s="16">
        <v>0</v>
      </c>
      <c r="M115" s="5"/>
      <c r="N115" s="9">
        <v>32</v>
      </c>
      <c r="O115" s="6">
        <v>40</v>
      </c>
      <c r="P115" s="6">
        <v>40</v>
      </c>
      <c r="Q115" s="6">
        <v>0</v>
      </c>
      <c r="R115" s="16">
        <v>8</v>
      </c>
      <c r="S115" s="5"/>
      <c r="T115" s="17">
        <v>2880</v>
      </c>
      <c r="U115" s="7">
        <v>2476.37</v>
      </c>
      <c r="V115" s="7">
        <v>0</v>
      </c>
      <c r="W115" s="7">
        <v>2476.37</v>
      </c>
      <c r="X115" s="7">
        <v>0</v>
      </c>
      <c r="Y115" s="7">
        <v>-403.63</v>
      </c>
      <c r="Z115" s="10" t="str">
        <f t="shared" si="2"/>
        <v>Sheet Metal</v>
      </c>
      <c r="AA115" s="24" t="str">
        <f t="shared" si="3"/>
        <v xml:space="preserve"> 3971. LAX People Mover</v>
      </c>
    </row>
    <row r="116" spans="1:27" x14ac:dyDescent="0.2">
      <c r="A116" s="5" t="s">
        <v>250</v>
      </c>
      <c r="B116" s="5" t="s">
        <v>241</v>
      </c>
      <c r="C116" s="5" t="s">
        <v>237</v>
      </c>
      <c r="D116" s="5" t="s">
        <v>125</v>
      </c>
      <c r="E116" s="5" t="s">
        <v>88</v>
      </c>
      <c r="F116" s="5" t="s">
        <v>18</v>
      </c>
      <c r="G116" s="12" t="s">
        <v>139</v>
      </c>
      <c r="H116" s="12"/>
      <c r="I116" s="6">
        <v>0</v>
      </c>
      <c r="J116" s="6">
        <v>0</v>
      </c>
      <c r="K116" s="6">
        <v>0</v>
      </c>
      <c r="L116" s="16">
        <v>0</v>
      </c>
      <c r="M116" s="5"/>
      <c r="N116" s="9">
        <v>682</v>
      </c>
      <c r="O116" s="6">
        <v>1197</v>
      </c>
      <c r="P116" s="6">
        <v>1197</v>
      </c>
      <c r="Q116" s="6">
        <v>0</v>
      </c>
      <c r="R116" s="16">
        <v>515</v>
      </c>
      <c r="S116" s="5"/>
      <c r="T116" s="17">
        <v>61380</v>
      </c>
      <c r="U116" s="7">
        <v>105463.92</v>
      </c>
      <c r="V116" s="7">
        <v>0</v>
      </c>
      <c r="W116" s="7">
        <v>105463.92</v>
      </c>
      <c r="X116" s="7">
        <v>0</v>
      </c>
      <c r="Y116" s="7">
        <v>44083.92</v>
      </c>
      <c r="Z116" s="10" t="str">
        <f t="shared" si="2"/>
        <v>Sheet Metal</v>
      </c>
      <c r="AA116" s="24" t="str">
        <f t="shared" si="3"/>
        <v xml:space="preserve"> 3971. LAX People Mover</v>
      </c>
    </row>
    <row r="117" spans="1:27" x14ac:dyDescent="0.2">
      <c r="A117" s="5" t="s">
        <v>251</v>
      </c>
      <c r="B117" s="5" t="s">
        <v>241</v>
      </c>
      <c r="C117" s="5" t="s">
        <v>239</v>
      </c>
      <c r="D117" s="5" t="s">
        <v>125</v>
      </c>
      <c r="E117" s="5" t="s">
        <v>88</v>
      </c>
      <c r="F117" s="5" t="s">
        <v>18</v>
      </c>
      <c r="G117" s="12" t="s">
        <v>139</v>
      </c>
      <c r="H117" s="12"/>
      <c r="I117" s="6">
        <v>0</v>
      </c>
      <c r="J117" s="6">
        <v>0</v>
      </c>
      <c r="K117" s="6">
        <v>0</v>
      </c>
      <c r="L117" s="16">
        <v>0</v>
      </c>
      <c r="M117" s="5"/>
      <c r="N117" s="9">
        <v>36</v>
      </c>
      <c r="O117" s="6">
        <v>252</v>
      </c>
      <c r="P117" s="6">
        <v>252</v>
      </c>
      <c r="Q117" s="6">
        <v>0</v>
      </c>
      <c r="R117" s="16">
        <v>216</v>
      </c>
      <c r="S117" s="5"/>
      <c r="T117" s="17">
        <v>3240</v>
      </c>
      <c r="U117" s="7">
        <v>20289.09</v>
      </c>
      <c r="V117" s="7">
        <v>0</v>
      </c>
      <c r="W117" s="7">
        <v>20289.09</v>
      </c>
      <c r="X117" s="7">
        <v>0</v>
      </c>
      <c r="Y117" s="7">
        <v>17049.09</v>
      </c>
      <c r="Z117" s="10" t="str">
        <f t="shared" si="2"/>
        <v>Sheet Metal</v>
      </c>
      <c r="AA117" s="24" t="str">
        <f t="shared" si="3"/>
        <v xml:space="preserve"> 3971. LAX People Mover</v>
      </c>
    </row>
    <row r="118" spans="1:27" x14ac:dyDescent="0.2">
      <c r="A118" s="5" t="s">
        <v>252</v>
      </c>
      <c r="B118" s="5" t="s">
        <v>253</v>
      </c>
      <c r="C118" s="5" t="s">
        <v>225</v>
      </c>
      <c r="D118" s="5" t="s">
        <v>125</v>
      </c>
      <c r="E118" s="5" t="s">
        <v>88</v>
      </c>
      <c r="F118" s="5" t="s">
        <v>25</v>
      </c>
      <c r="G118" s="12" t="s">
        <v>139</v>
      </c>
      <c r="H118" s="12"/>
      <c r="I118" s="6">
        <v>0</v>
      </c>
      <c r="J118" s="6">
        <v>2</v>
      </c>
      <c r="K118" s="6">
        <v>0</v>
      </c>
      <c r="L118" s="16">
        <v>-2</v>
      </c>
      <c r="M118" s="5"/>
      <c r="N118" s="9">
        <v>0</v>
      </c>
      <c r="O118" s="6">
        <v>0</v>
      </c>
      <c r="P118" s="6">
        <v>0</v>
      </c>
      <c r="Q118" s="6">
        <v>0</v>
      </c>
      <c r="R118" s="16">
        <v>0</v>
      </c>
      <c r="S118" s="5"/>
      <c r="T118" s="17">
        <v>102492</v>
      </c>
      <c r="U118" s="7">
        <v>179032.94</v>
      </c>
      <c r="V118" s="7">
        <v>0</v>
      </c>
      <c r="W118" s="7">
        <v>179045.16</v>
      </c>
      <c r="X118" s="7">
        <v>12.22</v>
      </c>
      <c r="Y118" s="7">
        <v>76553.16</v>
      </c>
      <c r="Z118" s="10" t="str">
        <f t="shared" si="2"/>
        <v>Sheet Metal</v>
      </c>
      <c r="AA118" s="24" t="str">
        <f t="shared" si="3"/>
        <v xml:space="preserve"> 3971. LAX People Mover</v>
      </c>
    </row>
    <row r="119" spans="1:27" x14ac:dyDescent="0.2">
      <c r="A119" s="5" t="s">
        <v>254</v>
      </c>
      <c r="B119" s="5" t="s">
        <v>253</v>
      </c>
      <c r="C119" s="5" t="s">
        <v>227</v>
      </c>
      <c r="D119" s="5" t="s">
        <v>125</v>
      </c>
      <c r="E119" s="5" t="s">
        <v>88</v>
      </c>
      <c r="F119" s="5" t="s">
        <v>25</v>
      </c>
      <c r="G119" s="12" t="s">
        <v>139</v>
      </c>
      <c r="H119" s="12"/>
      <c r="I119" s="6">
        <v>0</v>
      </c>
      <c r="J119" s="6">
        <v>3</v>
      </c>
      <c r="K119" s="6">
        <v>0</v>
      </c>
      <c r="L119" s="16">
        <v>-3</v>
      </c>
      <c r="M119" s="5"/>
      <c r="N119" s="9">
        <v>0</v>
      </c>
      <c r="O119" s="6">
        <v>0</v>
      </c>
      <c r="P119" s="6">
        <v>0</v>
      </c>
      <c r="Q119" s="6">
        <v>0</v>
      </c>
      <c r="R119" s="16">
        <v>0</v>
      </c>
      <c r="S119" s="5"/>
      <c r="T119" s="17">
        <v>45087</v>
      </c>
      <c r="U119" s="7">
        <v>47229.46</v>
      </c>
      <c r="V119" s="7">
        <v>0</v>
      </c>
      <c r="W119" s="7">
        <v>47229.46</v>
      </c>
      <c r="X119" s="7">
        <v>0</v>
      </c>
      <c r="Y119" s="7">
        <v>2142.46</v>
      </c>
      <c r="Z119" s="10" t="str">
        <f t="shared" si="2"/>
        <v>Sheet Metal</v>
      </c>
      <c r="AA119" s="24" t="str">
        <f t="shared" si="3"/>
        <v xml:space="preserve"> 3971. LAX People Mover</v>
      </c>
    </row>
    <row r="120" spans="1:27" x14ac:dyDescent="0.2">
      <c r="A120" s="5" t="s">
        <v>255</v>
      </c>
      <c r="B120" s="5" t="s">
        <v>253</v>
      </c>
      <c r="C120" s="5" t="s">
        <v>245</v>
      </c>
      <c r="D120" s="5" t="s">
        <v>125</v>
      </c>
      <c r="E120" s="5" t="s">
        <v>88</v>
      </c>
      <c r="F120" s="5" t="s">
        <v>25</v>
      </c>
      <c r="G120" s="12" t="s">
        <v>139</v>
      </c>
      <c r="H120" s="12"/>
      <c r="I120" s="6">
        <v>0</v>
      </c>
      <c r="J120" s="6">
        <v>0</v>
      </c>
      <c r="K120" s="6">
        <v>0</v>
      </c>
      <c r="L120" s="16">
        <v>0</v>
      </c>
      <c r="M120" s="5"/>
      <c r="N120" s="9">
        <v>0</v>
      </c>
      <c r="O120" s="6">
        <v>0</v>
      </c>
      <c r="P120" s="6">
        <v>0</v>
      </c>
      <c r="Q120" s="6">
        <v>0</v>
      </c>
      <c r="R120" s="16">
        <v>0</v>
      </c>
      <c r="S120" s="5"/>
      <c r="T120" s="17">
        <v>80554</v>
      </c>
      <c r="U120" s="7">
        <v>49050.53</v>
      </c>
      <c r="V120" s="7">
        <v>0</v>
      </c>
      <c r="W120" s="7">
        <v>49050.53</v>
      </c>
      <c r="X120" s="7">
        <v>0</v>
      </c>
      <c r="Y120" s="7">
        <v>-31503.47</v>
      </c>
      <c r="Z120" s="10" t="str">
        <f t="shared" si="2"/>
        <v>Sheet Metal</v>
      </c>
      <c r="AA120" s="24" t="str">
        <f t="shared" si="3"/>
        <v xml:space="preserve"> 3971. LAX People Mover</v>
      </c>
    </row>
    <row r="121" spans="1:27" x14ac:dyDescent="0.2">
      <c r="A121" s="5" t="s">
        <v>256</v>
      </c>
      <c r="B121" s="5" t="s">
        <v>253</v>
      </c>
      <c r="C121" s="5" t="s">
        <v>229</v>
      </c>
      <c r="D121" s="5" t="s">
        <v>125</v>
      </c>
      <c r="E121" s="5" t="s">
        <v>88</v>
      </c>
      <c r="F121" s="5" t="s">
        <v>25</v>
      </c>
      <c r="G121" s="12" t="s">
        <v>139</v>
      </c>
      <c r="H121" s="12"/>
      <c r="I121" s="6">
        <v>0</v>
      </c>
      <c r="J121" s="6">
        <v>1</v>
      </c>
      <c r="K121" s="6">
        <v>0</v>
      </c>
      <c r="L121" s="16">
        <v>-1</v>
      </c>
      <c r="M121" s="5"/>
      <c r="N121" s="9">
        <v>0</v>
      </c>
      <c r="O121" s="6">
        <v>0</v>
      </c>
      <c r="P121" s="6">
        <v>0</v>
      </c>
      <c r="Q121" s="6">
        <v>0</v>
      </c>
      <c r="R121" s="16">
        <v>0</v>
      </c>
      <c r="S121" s="5"/>
      <c r="T121" s="17">
        <v>44369</v>
      </c>
      <c r="U121" s="7">
        <v>45449.14</v>
      </c>
      <c r="V121" s="7">
        <v>0</v>
      </c>
      <c r="W121" s="7">
        <v>45449.14</v>
      </c>
      <c r="X121" s="7">
        <v>0</v>
      </c>
      <c r="Y121" s="7">
        <v>1080.1400000000001</v>
      </c>
      <c r="Z121" s="10" t="str">
        <f t="shared" si="2"/>
        <v>Sheet Metal</v>
      </c>
      <c r="AA121" s="24" t="str">
        <f t="shared" si="3"/>
        <v xml:space="preserve"> 3971. LAX People Mover</v>
      </c>
    </row>
    <row r="122" spans="1:27" x14ac:dyDescent="0.2">
      <c r="A122" s="5" t="s">
        <v>257</v>
      </c>
      <c r="B122" s="5" t="s">
        <v>253</v>
      </c>
      <c r="C122" s="5" t="s">
        <v>231</v>
      </c>
      <c r="D122" s="5" t="s">
        <v>125</v>
      </c>
      <c r="E122" s="5" t="s">
        <v>88</v>
      </c>
      <c r="F122" s="5" t="s">
        <v>25</v>
      </c>
      <c r="G122" s="12" t="s">
        <v>139</v>
      </c>
      <c r="H122" s="12"/>
      <c r="I122" s="6">
        <v>0</v>
      </c>
      <c r="J122" s="6">
        <v>1</v>
      </c>
      <c r="K122" s="6">
        <v>0</v>
      </c>
      <c r="L122" s="16">
        <v>-1</v>
      </c>
      <c r="M122" s="5"/>
      <c r="N122" s="9">
        <v>0</v>
      </c>
      <c r="O122" s="6">
        <v>0</v>
      </c>
      <c r="P122" s="6">
        <v>0</v>
      </c>
      <c r="Q122" s="6">
        <v>0</v>
      </c>
      <c r="R122" s="16">
        <v>0</v>
      </c>
      <c r="S122" s="5"/>
      <c r="T122" s="17">
        <v>40066</v>
      </c>
      <c r="U122" s="7">
        <v>64799.24</v>
      </c>
      <c r="V122" s="7">
        <v>0</v>
      </c>
      <c r="W122" s="7">
        <v>64799.24</v>
      </c>
      <c r="X122" s="7">
        <v>0</v>
      </c>
      <c r="Y122" s="7">
        <v>24733.24</v>
      </c>
      <c r="Z122" s="10" t="str">
        <f t="shared" si="2"/>
        <v>Sheet Metal</v>
      </c>
      <c r="AA122" s="24" t="str">
        <f t="shared" si="3"/>
        <v xml:space="preserve"> 3971. LAX People Mover</v>
      </c>
    </row>
    <row r="123" spans="1:27" x14ac:dyDescent="0.2">
      <c r="A123" s="5" t="s">
        <v>258</v>
      </c>
      <c r="B123" s="5" t="s">
        <v>253</v>
      </c>
      <c r="C123" s="5" t="s">
        <v>233</v>
      </c>
      <c r="D123" s="5" t="s">
        <v>125</v>
      </c>
      <c r="E123" s="5" t="s">
        <v>88</v>
      </c>
      <c r="F123" s="5" t="s">
        <v>25</v>
      </c>
      <c r="G123" s="12" t="s">
        <v>139</v>
      </c>
      <c r="H123" s="12"/>
      <c r="I123" s="6">
        <v>0</v>
      </c>
      <c r="J123" s="6">
        <v>0</v>
      </c>
      <c r="K123" s="6">
        <v>0</v>
      </c>
      <c r="L123" s="16">
        <v>0</v>
      </c>
      <c r="M123" s="5"/>
      <c r="N123" s="9">
        <v>0</v>
      </c>
      <c r="O123" s="6">
        <v>0</v>
      </c>
      <c r="P123" s="6">
        <v>0</v>
      </c>
      <c r="Q123" s="6">
        <v>0</v>
      </c>
      <c r="R123" s="16">
        <v>0</v>
      </c>
      <c r="S123" s="5"/>
      <c r="T123" s="17">
        <v>9937.1299999999992</v>
      </c>
      <c r="U123" s="7">
        <v>3557.68</v>
      </c>
      <c r="V123" s="7">
        <v>0</v>
      </c>
      <c r="W123" s="7">
        <v>3557.68</v>
      </c>
      <c r="X123" s="7">
        <v>0</v>
      </c>
      <c r="Y123" s="7">
        <v>-6379.45</v>
      </c>
      <c r="Z123" s="10" t="str">
        <f t="shared" si="2"/>
        <v>Sheet Metal</v>
      </c>
      <c r="AA123" s="24" t="str">
        <f t="shared" si="3"/>
        <v xml:space="preserve"> 3971. LAX People Mover</v>
      </c>
    </row>
    <row r="124" spans="1:27" x14ac:dyDescent="0.2">
      <c r="A124" s="5" t="s">
        <v>259</v>
      </c>
      <c r="B124" s="5" t="s">
        <v>253</v>
      </c>
      <c r="C124" s="5" t="s">
        <v>235</v>
      </c>
      <c r="D124" s="5" t="s">
        <v>125</v>
      </c>
      <c r="E124" s="5" t="s">
        <v>88</v>
      </c>
      <c r="F124" s="5" t="s">
        <v>25</v>
      </c>
      <c r="G124" s="12" t="s">
        <v>139</v>
      </c>
      <c r="H124" s="12"/>
      <c r="I124" s="6">
        <v>0</v>
      </c>
      <c r="J124" s="6">
        <v>0</v>
      </c>
      <c r="K124" s="6">
        <v>0</v>
      </c>
      <c r="L124" s="16">
        <v>0</v>
      </c>
      <c r="M124" s="5"/>
      <c r="N124" s="9">
        <v>0</v>
      </c>
      <c r="O124" s="6">
        <v>0</v>
      </c>
      <c r="P124" s="6">
        <v>0</v>
      </c>
      <c r="Q124" s="6">
        <v>0</v>
      </c>
      <c r="R124" s="16">
        <v>0</v>
      </c>
      <c r="S124" s="5"/>
      <c r="T124" s="17">
        <v>9937</v>
      </c>
      <c r="U124" s="7">
        <v>3224.77</v>
      </c>
      <c r="V124" s="7">
        <v>0</v>
      </c>
      <c r="W124" s="7">
        <v>3224.77</v>
      </c>
      <c r="X124" s="7">
        <v>0</v>
      </c>
      <c r="Y124" s="7">
        <v>-6712.23</v>
      </c>
      <c r="Z124" s="10" t="str">
        <f t="shared" si="2"/>
        <v>Sheet Metal</v>
      </c>
      <c r="AA124" s="24" t="str">
        <f t="shared" si="3"/>
        <v xml:space="preserve"> 3971. LAX People Mover</v>
      </c>
    </row>
    <row r="125" spans="1:27" x14ac:dyDescent="0.2">
      <c r="A125" s="5" t="s">
        <v>260</v>
      </c>
      <c r="B125" s="5" t="s">
        <v>253</v>
      </c>
      <c r="C125" s="5" t="s">
        <v>237</v>
      </c>
      <c r="D125" s="5" t="s">
        <v>125</v>
      </c>
      <c r="E125" s="5" t="s">
        <v>88</v>
      </c>
      <c r="F125" s="5" t="s">
        <v>25</v>
      </c>
      <c r="G125" s="12" t="s">
        <v>139</v>
      </c>
      <c r="H125" s="12"/>
      <c r="I125" s="6">
        <v>0</v>
      </c>
      <c r="J125" s="6">
        <v>1</v>
      </c>
      <c r="K125" s="6">
        <v>0</v>
      </c>
      <c r="L125" s="16">
        <v>-1</v>
      </c>
      <c r="M125" s="5"/>
      <c r="N125" s="9">
        <v>0</v>
      </c>
      <c r="O125" s="6">
        <v>0</v>
      </c>
      <c r="P125" s="6">
        <v>0</v>
      </c>
      <c r="Q125" s="6">
        <v>0</v>
      </c>
      <c r="R125" s="16">
        <v>0</v>
      </c>
      <c r="S125" s="5"/>
      <c r="T125" s="17">
        <v>55527</v>
      </c>
      <c r="U125" s="7">
        <v>72692.710000000006</v>
      </c>
      <c r="V125" s="7">
        <v>0</v>
      </c>
      <c r="W125" s="7">
        <v>72692.710000000006</v>
      </c>
      <c r="X125" s="7">
        <v>0</v>
      </c>
      <c r="Y125" s="7">
        <v>17165.71</v>
      </c>
      <c r="Z125" s="10" t="str">
        <f t="shared" si="2"/>
        <v>Sheet Metal</v>
      </c>
      <c r="AA125" s="24" t="str">
        <f t="shared" si="3"/>
        <v xml:space="preserve"> 3971. LAX People Mover</v>
      </c>
    </row>
    <row r="126" spans="1:27" x14ac:dyDescent="0.2">
      <c r="A126" s="5" t="s">
        <v>261</v>
      </c>
      <c r="B126" s="5" t="s">
        <v>253</v>
      </c>
      <c r="C126" s="5" t="s">
        <v>239</v>
      </c>
      <c r="D126" s="5" t="s">
        <v>125</v>
      </c>
      <c r="E126" s="5" t="s">
        <v>88</v>
      </c>
      <c r="F126" s="5" t="s">
        <v>25</v>
      </c>
      <c r="G126" s="12" t="s">
        <v>139</v>
      </c>
      <c r="H126" s="12"/>
      <c r="I126" s="6">
        <v>0</v>
      </c>
      <c r="J126" s="6">
        <v>0</v>
      </c>
      <c r="K126" s="6">
        <v>0</v>
      </c>
      <c r="L126" s="16">
        <v>0</v>
      </c>
      <c r="M126" s="5"/>
      <c r="N126" s="9">
        <v>0</v>
      </c>
      <c r="O126" s="6">
        <v>0</v>
      </c>
      <c r="P126" s="6">
        <v>0</v>
      </c>
      <c r="Q126" s="6">
        <v>0</v>
      </c>
      <c r="R126" s="16">
        <v>0</v>
      </c>
      <c r="S126" s="5"/>
      <c r="T126" s="17">
        <v>40696</v>
      </c>
      <c r="U126" s="7">
        <v>49673.58</v>
      </c>
      <c r="V126" s="7">
        <v>0</v>
      </c>
      <c r="W126" s="7">
        <v>49673.58</v>
      </c>
      <c r="X126" s="7">
        <v>0</v>
      </c>
      <c r="Y126" s="7">
        <v>8977.58</v>
      </c>
      <c r="Z126" s="10" t="str">
        <f t="shared" si="2"/>
        <v>Sheet Metal</v>
      </c>
      <c r="AA126" s="24" t="str">
        <f t="shared" si="3"/>
        <v xml:space="preserve"> 3971. LAX People Mover</v>
      </c>
    </row>
    <row r="127" spans="1:27" x14ac:dyDescent="0.2">
      <c r="A127" s="5" t="s">
        <v>262</v>
      </c>
      <c r="B127" s="5" t="s">
        <v>263</v>
      </c>
      <c r="C127" s="5" t="s">
        <v>225</v>
      </c>
      <c r="D127" s="5" t="s">
        <v>125</v>
      </c>
      <c r="E127" s="5" t="s">
        <v>88</v>
      </c>
      <c r="F127" s="5" t="s">
        <v>25</v>
      </c>
      <c r="G127" s="12" t="s">
        <v>139</v>
      </c>
      <c r="H127" s="12"/>
      <c r="I127" s="6">
        <v>0</v>
      </c>
      <c r="J127" s="6">
        <v>0</v>
      </c>
      <c r="K127" s="6">
        <v>0</v>
      </c>
      <c r="L127" s="16">
        <v>0</v>
      </c>
      <c r="M127" s="5"/>
      <c r="N127" s="9">
        <v>0</v>
      </c>
      <c r="O127" s="6">
        <v>0</v>
      </c>
      <c r="P127" s="6">
        <v>0</v>
      </c>
      <c r="Q127" s="6">
        <v>0</v>
      </c>
      <c r="R127" s="16">
        <v>0</v>
      </c>
      <c r="S127" s="5"/>
      <c r="T127" s="17">
        <v>32664</v>
      </c>
      <c r="U127" s="7">
        <v>21715.63</v>
      </c>
      <c r="V127" s="7">
        <v>0</v>
      </c>
      <c r="W127" s="7">
        <v>21715.63</v>
      </c>
      <c r="X127" s="7">
        <v>0</v>
      </c>
      <c r="Y127" s="7">
        <v>-10948.37</v>
      </c>
      <c r="Z127" s="10" t="str">
        <f t="shared" si="2"/>
        <v>Sheet Metal</v>
      </c>
      <c r="AA127" s="24" t="str">
        <f t="shared" si="3"/>
        <v xml:space="preserve"> 3971. LAX People Mover</v>
      </c>
    </row>
    <row r="128" spans="1:27" x14ac:dyDescent="0.2">
      <c r="A128" s="5" t="s">
        <v>264</v>
      </c>
      <c r="B128" s="5" t="s">
        <v>263</v>
      </c>
      <c r="C128" s="5" t="s">
        <v>227</v>
      </c>
      <c r="D128" s="5" t="s">
        <v>125</v>
      </c>
      <c r="E128" s="5" t="s">
        <v>88</v>
      </c>
      <c r="F128" s="5" t="s">
        <v>25</v>
      </c>
      <c r="G128" s="12" t="s">
        <v>139</v>
      </c>
      <c r="H128" s="12"/>
      <c r="I128" s="6">
        <v>0</v>
      </c>
      <c r="J128" s="6">
        <v>-1</v>
      </c>
      <c r="K128" s="6">
        <v>0</v>
      </c>
      <c r="L128" s="16">
        <v>1</v>
      </c>
      <c r="M128" s="5"/>
      <c r="N128" s="9">
        <v>0</v>
      </c>
      <c r="O128" s="6">
        <v>0</v>
      </c>
      <c r="P128" s="6">
        <v>0</v>
      </c>
      <c r="Q128" s="6">
        <v>0</v>
      </c>
      <c r="R128" s="16">
        <v>0</v>
      </c>
      <c r="S128" s="5"/>
      <c r="T128" s="17">
        <v>36000</v>
      </c>
      <c r="U128" s="7">
        <v>279458.39</v>
      </c>
      <c r="V128" s="7">
        <v>0</v>
      </c>
      <c r="W128" s="7">
        <v>279458.39</v>
      </c>
      <c r="X128" s="7">
        <v>0</v>
      </c>
      <c r="Y128" s="7">
        <v>243458.39</v>
      </c>
      <c r="Z128" s="10" t="str">
        <f t="shared" si="2"/>
        <v>Sheet Metal</v>
      </c>
      <c r="AA128" s="24" t="str">
        <f t="shared" si="3"/>
        <v xml:space="preserve"> 3971. LAX People Mover</v>
      </c>
    </row>
    <row r="129" spans="1:27" x14ac:dyDescent="0.2">
      <c r="A129" s="5" t="s">
        <v>265</v>
      </c>
      <c r="B129" s="5" t="s">
        <v>263</v>
      </c>
      <c r="C129" s="5" t="s">
        <v>245</v>
      </c>
      <c r="D129" s="5" t="s">
        <v>125</v>
      </c>
      <c r="E129" s="5" t="s">
        <v>88</v>
      </c>
      <c r="F129" s="5" t="s">
        <v>25</v>
      </c>
      <c r="G129" s="12" t="s">
        <v>139</v>
      </c>
      <c r="H129" s="12"/>
      <c r="I129" s="6">
        <v>0</v>
      </c>
      <c r="J129" s="6">
        <v>1</v>
      </c>
      <c r="K129" s="6">
        <v>0</v>
      </c>
      <c r="L129" s="16">
        <v>-1</v>
      </c>
      <c r="M129" s="5"/>
      <c r="N129" s="9">
        <v>0</v>
      </c>
      <c r="O129" s="6">
        <v>0</v>
      </c>
      <c r="P129" s="6">
        <v>0</v>
      </c>
      <c r="Q129" s="6">
        <v>0</v>
      </c>
      <c r="R129" s="16">
        <v>0</v>
      </c>
      <c r="S129" s="5"/>
      <c r="T129" s="17">
        <v>5400</v>
      </c>
      <c r="U129" s="7">
        <v>261</v>
      </c>
      <c r="V129" s="7">
        <v>0</v>
      </c>
      <c r="W129" s="7">
        <v>1100</v>
      </c>
      <c r="X129" s="7">
        <v>839</v>
      </c>
      <c r="Y129" s="7">
        <v>-4300</v>
      </c>
      <c r="Z129" s="10" t="str">
        <f t="shared" si="2"/>
        <v>Sheet Metal</v>
      </c>
      <c r="AA129" s="24" t="str">
        <f t="shared" si="3"/>
        <v xml:space="preserve"> 3971. LAX People Mover</v>
      </c>
    </row>
    <row r="130" spans="1:27" x14ac:dyDescent="0.2">
      <c r="A130" s="5" t="s">
        <v>266</v>
      </c>
      <c r="B130" s="5" t="s">
        <v>263</v>
      </c>
      <c r="C130" s="5" t="s">
        <v>229</v>
      </c>
      <c r="D130" s="5" t="s">
        <v>125</v>
      </c>
      <c r="E130" s="5" t="s">
        <v>88</v>
      </c>
      <c r="F130" s="5" t="s">
        <v>25</v>
      </c>
      <c r="G130" s="12" t="s">
        <v>139</v>
      </c>
      <c r="H130" s="12"/>
      <c r="I130" s="6">
        <v>0</v>
      </c>
      <c r="J130" s="6">
        <v>0</v>
      </c>
      <c r="K130" s="6">
        <v>0</v>
      </c>
      <c r="L130" s="16">
        <v>0</v>
      </c>
      <c r="M130" s="5"/>
      <c r="N130" s="9">
        <v>0</v>
      </c>
      <c r="O130" s="6">
        <v>0</v>
      </c>
      <c r="P130" s="6">
        <v>0</v>
      </c>
      <c r="Q130" s="6">
        <v>0</v>
      </c>
      <c r="R130" s="16">
        <v>0</v>
      </c>
      <c r="S130" s="5"/>
      <c r="T130" s="17">
        <v>68450</v>
      </c>
      <c r="U130" s="7">
        <v>0</v>
      </c>
      <c r="V130" s="7">
        <v>0</v>
      </c>
      <c r="W130" s="7">
        <v>0</v>
      </c>
      <c r="X130" s="7">
        <v>0</v>
      </c>
      <c r="Y130" s="7">
        <v>-68450</v>
      </c>
      <c r="Z130" s="10" t="str">
        <f t="shared" si="2"/>
        <v>Sheet Metal</v>
      </c>
      <c r="AA130" s="24" t="str">
        <f t="shared" si="3"/>
        <v xml:space="preserve"> 3971. LAX People Mover</v>
      </c>
    </row>
    <row r="131" spans="1:27" x14ac:dyDescent="0.2">
      <c r="A131" s="5" t="s">
        <v>267</v>
      </c>
      <c r="B131" s="5" t="s">
        <v>263</v>
      </c>
      <c r="C131" s="5" t="s">
        <v>231</v>
      </c>
      <c r="D131" s="5" t="s">
        <v>125</v>
      </c>
      <c r="E131" s="5" t="s">
        <v>88</v>
      </c>
      <c r="F131" s="5" t="s">
        <v>25</v>
      </c>
      <c r="G131" s="12" t="s">
        <v>139</v>
      </c>
      <c r="H131" s="12"/>
      <c r="I131" s="6">
        <v>0</v>
      </c>
      <c r="J131" s="6">
        <v>0</v>
      </c>
      <c r="K131" s="6">
        <v>0</v>
      </c>
      <c r="L131" s="16">
        <v>0</v>
      </c>
      <c r="M131" s="5"/>
      <c r="N131" s="9">
        <v>0</v>
      </c>
      <c r="O131" s="6">
        <v>0</v>
      </c>
      <c r="P131" s="6">
        <v>0</v>
      </c>
      <c r="Q131" s="6">
        <v>0</v>
      </c>
      <c r="R131" s="16">
        <v>0</v>
      </c>
      <c r="S131" s="5"/>
      <c r="T131" s="17">
        <v>63963</v>
      </c>
      <c r="U131" s="7">
        <v>78622.59</v>
      </c>
      <c r="V131" s="7">
        <v>0</v>
      </c>
      <c r="W131" s="7">
        <v>78622.59</v>
      </c>
      <c r="X131" s="7">
        <v>0</v>
      </c>
      <c r="Y131" s="7">
        <v>14659.59</v>
      </c>
      <c r="Z131" s="10" t="str">
        <f t="shared" si="2"/>
        <v>Sheet Metal</v>
      </c>
      <c r="AA131" s="24" t="str">
        <f t="shared" si="3"/>
        <v xml:space="preserve"> 3971. LAX People Mover</v>
      </c>
    </row>
    <row r="132" spans="1:27" x14ac:dyDescent="0.2">
      <c r="A132" s="5" t="s">
        <v>268</v>
      </c>
      <c r="B132" s="5" t="s">
        <v>263</v>
      </c>
      <c r="C132" s="5" t="s">
        <v>233</v>
      </c>
      <c r="D132" s="5" t="s">
        <v>125</v>
      </c>
      <c r="E132" s="5" t="s">
        <v>88</v>
      </c>
      <c r="F132" s="5" t="s">
        <v>25</v>
      </c>
      <c r="G132" s="12" t="s">
        <v>139</v>
      </c>
      <c r="H132" s="12"/>
      <c r="I132" s="6">
        <v>0</v>
      </c>
      <c r="J132" s="6">
        <v>3</v>
      </c>
      <c r="K132" s="6">
        <v>0</v>
      </c>
      <c r="L132" s="16">
        <v>-3</v>
      </c>
      <c r="M132" s="5"/>
      <c r="N132" s="9">
        <v>0</v>
      </c>
      <c r="O132" s="6">
        <v>0</v>
      </c>
      <c r="P132" s="6">
        <v>0</v>
      </c>
      <c r="Q132" s="6">
        <v>0</v>
      </c>
      <c r="R132" s="16">
        <v>0</v>
      </c>
      <c r="S132" s="5"/>
      <c r="T132" s="17">
        <v>1370</v>
      </c>
      <c r="U132" s="7">
        <v>1621.48</v>
      </c>
      <c r="V132" s="7">
        <v>0</v>
      </c>
      <c r="W132" s="7">
        <v>1621.48</v>
      </c>
      <c r="X132" s="7">
        <v>0</v>
      </c>
      <c r="Y132" s="7">
        <v>251.48</v>
      </c>
      <c r="Z132" s="10" t="str">
        <f t="shared" si="2"/>
        <v>Sheet Metal</v>
      </c>
      <c r="AA132" s="24" t="str">
        <f t="shared" si="3"/>
        <v xml:space="preserve"> 3971. LAX People Mover</v>
      </c>
    </row>
    <row r="133" spans="1:27" x14ac:dyDescent="0.2">
      <c r="A133" s="5" t="s">
        <v>269</v>
      </c>
      <c r="B133" s="5" t="s">
        <v>263</v>
      </c>
      <c r="C133" s="5" t="s">
        <v>235</v>
      </c>
      <c r="D133" s="5" t="s">
        <v>125</v>
      </c>
      <c r="E133" s="5" t="s">
        <v>88</v>
      </c>
      <c r="F133" s="5" t="s">
        <v>25</v>
      </c>
      <c r="G133" s="12" t="s">
        <v>139</v>
      </c>
      <c r="H133" s="12"/>
      <c r="I133" s="6">
        <v>0</v>
      </c>
      <c r="J133" s="6">
        <v>4</v>
      </c>
      <c r="K133" s="6">
        <v>0</v>
      </c>
      <c r="L133" s="16">
        <v>-4</v>
      </c>
      <c r="M133" s="5"/>
      <c r="N133" s="9">
        <v>0</v>
      </c>
      <c r="O133" s="6">
        <v>0</v>
      </c>
      <c r="P133" s="6">
        <v>0</v>
      </c>
      <c r="Q133" s="6">
        <v>0</v>
      </c>
      <c r="R133" s="16">
        <v>0</v>
      </c>
      <c r="S133" s="5"/>
      <c r="T133" s="17">
        <v>1410</v>
      </c>
      <c r="U133" s="7">
        <v>2006.52</v>
      </c>
      <c r="V133" s="7">
        <v>0</v>
      </c>
      <c r="W133" s="7">
        <v>2006.52</v>
      </c>
      <c r="X133" s="7">
        <v>0</v>
      </c>
      <c r="Y133" s="7">
        <v>596.52</v>
      </c>
      <c r="Z133" s="10" t="str">
        <f t="shared" ref="Z133:Z196" si="4">IF(G133="PLUM", "Plumbing", IF(G133="PIPE", "Piping", IF(G133="HVAC", "Sheet Metal", G133)))</f>
        <v>Sheet Metal</v>
      </c>
      <c r="AA133" s="24" t="str">
        <f t="shared" ref="AA133:AA196" si="5">IF(ISBLANK(B133), "", $A$2)</f>
        <v xml:space="preserve"> 3971. LAX People Mover</v>
      </c>
    </row>
    <row r="134" spans="1:27" x14ac:dyDescent="0.2">
      <c r="A134" s="5" t="s">
        <v>270</v>
      </c>
      <c r="B134" s="5" t="s">
        <v>263</v>
      </c>
      <c r="C134" s="5" t="s">
        <v>237</v>
      </c>
      <c r="D134" s="5" t="s">
        <v>125</v>
      </c>
      <c r="E134" s="5" t="s">
        <v>88</v>
      </c>
      <c r="F134" s="5" t="s">
        <v>25</v>
      </c>
      <c r="G134" s="12" t="s">
        <v>139</v>
      </c>
      <c r="H134" s="12"/>
      <c r="I134" s="6">
        <v>0</v>
      </c>
      <c r="J134" s="6">
        <v>2</v>
      </c>
      <c r="K134" s="6">
        <v>0</v>
      </c>
      <c r="L134" s="16">
        <v>-2</v>
      </c>
      <c r="M134" s="5"/>
      <c r="N134" s="9">
        <v>0</v>
      </c>
      <c r="O134" s="6">
        <v>0</v>
      </c>
      <c r="P134" s="6">
        <v>0</v>
      </c>
      <c r="Q134" s="6">
        <v>0</v>
      </c>
      <c r="R134" s="16">
        <v>0</v>
      </c>
      <c r="S134" s="5"/>
      <c r="T134" s="17">
        <v>0</v>
      </c>
      <c r="U134" s="7">
        <v>1005.48</v>
      </c>
      <c r="V134" s="7">
        <v>195.5</v>
      </c>
      <c r="W134" s="7">
        <v>1200.98</v>
      </c>
      <c r="X134" s="7">
        <v>195.5</v>
      </c>
      <c r="Y134" s="7">
        <v>1200.98</v>
      </c>
      <c r="Z134" s="10" t="str">
        <f t="shared" si="4"/>
        <v>Sheet Metal</v>
      </c>
      <c r="AA134" s="24" t="str">
        <f t="shared" si="5"/>
        <v xml:space="preserve"> 3971. LAX People Mover</v>
      </c>
    </row>
    <row r="135" spans="1:27" x14ac:dyDescent="0.2">
      <c r="A135" s="5" t="s">
        <v>271</v>
      </c>
      <c r="B135" s="5" t="s">
        <v>263</v>
      </c>
      <c r="C135" s="5" t="s">
        <v>239</v>
      </c>
      <c r="D135" s="5" t="s">
        <v>125</v>
      </c>
      <c r="E135" s="5" t="s">
        <v>88</v>
      </c>
      <c r="F135" s="5" t="s">
        <v>25</v>
      </c>
      <c r="G135" s="12" t="s">
        <v>139</v>
      </c>
      <c r="H135" s="12"/>
      <c r="I135" s="6">
        <v>0</v>
      </c>
      <c r="J135" s="6">
        <v>1</v>
      </c>
      <c r="K135" s="6">
        <v>0</v>
      </c>
      <c r="L135" s="16">
        <v>-1</v>
      </c>
      <c r="M135" s="5"/>
      <c r="N135" s="9">
        <v>0</v>
      </c>
      <c r="O135" s="6">
        <v>0</v>
      </c>
      <c r="P135" s="6">
        <v>0</v>
      </c>
      <c r="Q135" s="6">
        <v>0</v>
      </c>
      <c r="R135" s="16">
        <v>0</v>
      </c>
      <c r="S135" s="5"/>
      <c r="T135" s="17">
        <v>46449</v>
      </c>
      <c r="U135" s="7">
        <v>18494.97</v>
      </c>
      <c r="V135" s="7">
        <v>0</v>
      </c>
      <c r="W135" s="7">
        <v>18494.97</v>
      </c>
      <c r="X135" s="7">
        <v>0</v>
      </c>
      <c r="Y135" s="7">
        <v>-27954.03</v>
      </c>
      <c r="Z135" s="10" t="str">
        <f t="shared" si="4"/>
        <v>Sheet Metal</v>
      </c>
      <c r="AA135" s="24" t="str">
        <f t="shared" si="5"/>
        <v xml:space="preserve"> 3971. LAX People Mover</v>
      </c>
    </row>
    <row r="136" spans="1:27" x14ac:dyDescent="0.2">
      <c r="A136" s="5" t="s">
        <v>272</v>
      </c>
      <c r="B136" s="5" t="s">
        <v>273</v>
      </c>
      <c r="C136" s="5" t="s">
        <v>16</v>
      </c>
      <c r="D136" s="5" t="s">
        <v>125</v>
      </c>
      <c r="E136" s="5" t="s">
        <v>88</v>
      </c>
      <c r="F136" s="5" t="s">
        <v>25</v>
      </c>
      <c r="G136" s="12" t="s">
        <v>139</v>
      </c>
      <c r="H136" s="12"/>
      <c r="I136" s="6">
        <v>0</v>
      </c>
      <c r="J136" s="6">
        <v>0</v>
      </c>
      <c r="K136" s="6">
        <v>0</v>
      </c>
      <c r="L136" s="16">
        <v>0</v>
      </c>
      <c r="M136" s="5"/>
      <c r="N136" s="9">
        <v>0</v>
      </c>
      <c r="O136" s="6">
        <v>0</v>
      </c>
      <c r="P136" s="6">
        <v>0</v>
      </c>
      <c r="Q136" s="6">
        <v>0</v>
      </c>
      <c r="R136" s="16">
        <v>0</v>
      </c>
      <c r="S136" s="5"/>
      <c r="T136" s="17">
        <v>0</v>
      </c>
      <c r="U136" s="7">
        <v>9340.4</v>
      </c>
      <c r="V136" s="7">
        <v>0</v>
      </c>
      <c r="W136" s="7">
        <v>9340.4</v>
      </c>
      <c r="X136" s="7">
        <v>0</v>
      </c>
      <c r="Y136" s="7">
        <v>9340.4</v>
      </c>
      <c r="Z136" s="10" t="str">
        <f t="shared" si="4"/>
        <v>Sheet Metal</v>
      </c>
      <c r="AA136" s="24" t="str">
        <f t="shared" si="5"/>
        <v xml:space="preserve"> 3971. LAX People Mover</v>
      </c>
    </row>
    <row r="137" spans="1:27" x14ac:dyDescent="0.2">
      <c r="A137" s="5" t="s">
        <v>274</v>
      </c>
      <c r="B137" s="5" t="s">
        <v>273</v>
      </c>
      <c r="C137" s="5" t="s">
        <v>225</v>
      </c>
      <c r="D137" s="5" t="s">
        <v>125</v>
      </c>
      <c r="E137" s="5" t="s">
        <v>88</v>
      </c>
      <c r="F137" s="5" t="s">
        <v>25</v>
      </c>
      <c r="G137" s="12" t="s">
        <v>139</v>
      </c>
      <c r="H137" s="12"/>
      <c r="I137" s="6">
        <v>0</v>
      </c>
      <c r="J137" s="6">
        <v>0</v>
      </c>
      <c r="K137" s="6">
        <v>0</v>
      </c>
      <c r="L137" s="16">
        <v>0</v>
      </c>
      <c r="M137" s="5"/>
      <c r="N137" s="9">
        <v>0</v>
      </c>
      <c r="O137" s="6">
        <v>0</v>
      </c>
      <c r="P137" s="6">
        <v>0</v>
      </c>
      <c r="Q137" s="6">
        <v>0</v>
      </c>
      <c r="R137" s="16">
        <v>0</v>
      </c>
      <c r="S137" s="5"/>
      <c r="T137" s="17">
        <v>43395</v>
      </c>
      <c r="U137" s="7">
        <v>57487.75</v>
      </c>
      <c r="V137" s="7">
        <v>0</v>
      </c>
      <c r="W137" s="7">
        <v>57487.75</v>
      </c>
      <c r="X137" s="7">
        <v>0</v>
      </c>
      <c r="Y137" s="7">
        <v>14092.75</v>
      </c>
      <c r="Z137" s="10" t="str">
        <f t="shared" si="4"/>
        <v>Sheet Metal</v>
      </c>
      <c r="AA137" s="24" t="str">
        <f t="shared" si="5"/>
        <v xml:space="preserve"> 3971. LAX People Mover</v>
      </c>
    </row>
    <row r="138" spans="1:27" x14ac:dyDescent="0.2">
      <c r="A138" s="5" t="s">
        <v>275</v>
      </c>
      <c r="B138" s="5" t="s">
        <v>273</v>
      </c>
      <c r="C138" s="5" t="s">
        <v>122</v>
      </c>
      <c r="D138" s="5" t="s">
        <v>125</v>
      </c>
      <c r="E138" s="5" t="s">
        <v>88</v>
      </c>
      <c r="F138" s="5" t="s">
        <v>25</v>
      </c>
      <c r="G138" s="12" t="s">
        <v>139</v>
      </c>
      <c r="H138" s="12"/>
      <c r="I138" s="6">
        <v>0</v>
      </c>
      <c r="J138" s="6">
        <v>3</v>
      </c>
      <c r="K138" s="6">
        <v>0</v>
      </c>
      <c r="L138" s="16">
        <v>-3</v>
      </c>
      <c r="M138" s="5"/>
      <c r="N138" s="9">
        <v>0</v>
      </c>
      <c r="O138" s="6">
        <v>0</v>
      </c>
      <c r="P138" s="6">
        <v>0</v>
      </c>
      <c r="Q138" s="6">
        <v>0</v>
      </c>
      <c r="R138" s="16">
        <v>0</v>
      </c>
      <c r="S138" s="5"/>
      <c r="T138" s="17">
        <v>586.91999999999996</v>
      </c>
      <c r="U138" s="7">
        <v>5475</v>
      </c>
      <c r="V138" s="7">
        <v>0</v>
      </c>
      <c r="W138" s="7">
        <v>5475.01</v>
      </c>
      <c r="X138" s="7">
        <v>0.01</v>
      </c>
      <c r="Y138" s="7">
        <v>4888.09</v>
      </c>
      <c r="Z138" s="10" t="str">
        <f t="shared" si="4"/>
        <v>Sheet Metal</v>
      </c>
      <c r="AA138" s="24" t="str">
        <f t="shared" si="5"/>
        <v xml:space="preserve"> 3971. LAX People Mover</v>
      </c>
    </row>
    <row r="139" spans="1:27" x14ac:dyDescent="0.2">
      <c r="A139" s="5" t="s">
        <v>276</v>
      </c>
      <c r="B139" s="5" t="s">
        <v>273</v>
      </c>
      <c r="C139" s="5" t="s">
        <v>227</v>
      </c>
      <c r="D139" s="5" t="s">
        <v>125</v>
      </c>
      <c r="E139" s="5" t="s">
        <v>88</v>
      </c>
      <c r="F139" s="5" t="s">
        <v>25</v>
      </c>
      <c r="G139" s="12" t="s">
        <v>139</v>
      </c>
      <c r="H139" s="12"/>
      <c r="I139" s="6">
        <v>0</v>
      </c>
      <c r="J139" s="6">
        <v>0</v>
      </c>
      <c r="K139" s="6">
        <v>0</v>
      </c>
      <c r="L139" s="16">
        <v>0</v>
      </c>
      <c r="M139" s="5"/>
      <c r="N139" s="9">
        <v>0</v>
      </c>
      <c r="O139" s="6">
        <v>0</v>
      </c>
      <c r="P139" s="6">
        <v>0</v>
      </c>
      <c r="Q139" s="6">
        <v>0</v>
      </c>
      <c r="R139" s="16">
        <v>0</v>
      </c>
      <c r="S139" s="5"/>
      <c r="T139" s="17">
        <v>1785</v>
      </c>
      <c r="U139" s="7">
        <v>2712.15</v>
      </c>
      <c r="V139" s="7">
        <v>1554.9</v>
      </c>
      <c r="W139" s="7">
        <v>4267.05</v>
      </c>
      <c r="X139" s="7">
        <v>1554.9</v>
      </c>
      <c r="Y139" s="7">
        <v>2482.0500000000002</v>
      </c>
      <c r="Z139" s="10" t="str">
        <f t="shared" si="4"/>
        <v>Sheet Metal</v>
      </c>
      <c r="AA139" s="24" t="str">
        <f t="shared" si="5"/>
        <v xml:space="preserve"> 3971. LAX People Mover</v>
      </c>
    </row>
    <row r="140" spans="1:27" x14ac:dyDescent="0.2">
      <c r="A140" s="5" t="s">
        <v>277</v>
      </c>
      <c r="B140" s="5" t="s">
        <v>273</v>
      </c>
      <c r="C140" s="5" t="s">
        <v>245</v>
      </c>
      <c r="D140" s="5" t="s">
        <v>125</v>
      </c>
      <c r="E140" s="5" t="s">
        <v>88</v>
      </c>
      <c r="F140" s="5" t="s">
        <v>25</v>
      </c>
      <c r="G140" s="12" t="s">
        <v>139</v>
      </c>
      <c r="H140" s="12"/>
      <c r="I140" s="6">
        <v>0</v>
      </c>
      <c r="J140" s="6">
        <v>0</v>
      </c>
      <c r="K140" s="6">
        <v>0</v>
      </c>
      <c r="L140" s="16">
        <v>0</v>
      </c>
      <c r="M140" s="5"/>
      <c r="N140" s="9">
        <v>0</v>
      </c>
      <c r="O140" s="6">
        <v>0</v>
      </c>
      <c r="P140" s="6">
        <v>0</v>
      </c>
      <c r="Q140" s="6">
        <v>0</v>
      </c>
      <c r="R140" s="16">
        <v>0</v>
      </c>
      <c r="S140" s="5"/>
      <c r="T140" s="17">
        <v>1100</v>
      </c>
      <c r="U140" s="7">
        <v>5446.36</v>
      </c>
      <c r="V140" s="7">
        <v>0</v>
      </c>
      <c r="W140" s="7">
        <v>5446.36</v>
      </c>
      <c r="X140" s="7">
        <v>0</v>
      </c>
      <c r="Y140" s="7">
        <v>4346.3599999999997</v>
      </c>
      <c r="Z140" s="10" t="str">
        <f t="shared" si="4"/>
        <v>Sheet Metal</v>
      </c>
      <c r="AA140" s="24" t="str">
        <f t="shared" si="5"/>
        <v xml:space="preserve"> 3971. LAX People Mover</v>
      </c>
    </row>
    <row r="141" spans="1:27" x14ac:dyDescent="0.2">
      <c r="A141" s="5" t="s">
        <v>278</v>
      </c>
      <c r="B141" s="5" t="s">
        <v>273</v>
      </c>
      <c r="C141" s="5" t="s">
        <v>229</v>
      </c>
      <c r="D141" s="5" t="s">
        <v>125</v>
      </c>
      <c r="E141" s="5" t="s">
        <v>88</v>
      </c>
      <c r="F141" s="5" t="s">
        <v>25</v>
      </c>
      <c r="G141" s="12" t="s">
        <v>139</v>
      </c>
      <c r="H141" s="12"/>
      <c r="I141" s="6">
        <v>0</v>
      </c>
      <c r="J141" s="6">
        <v>0</v>
      </c>
      <c r="K141" s="6">
        <v>0</v>
      </c>
      <c r="L141" s="16">
        <v>0</v>
      </c>
      <c r="M141" s="5"/>
      <c r="N141" s="9">
        <v>0</v>
      </c>
      <c r="O141" s="6">
        <v>0</v>
      </c>
      <c r="P141" s="6">
        <v>0</v>
      </c>
      <c r="Q141" s="6">
        <v>0</v>
      </c>
      <c r="R141" s="16">
        <v>0</v>
      </c>
      <c r="S141" s="5"/>
      <c r="T141" s="17">
        <v>900</v>
      </c>
      <c r="U141" s="7">
        <v>3197.26</v>
      </c>
      <c r="V141" s="7">
        <v>0</v>
      </c>
      <c r="W141" s="7">
        <v>3197.26</v>
      </c>
      <c r="X141" s="7">
        <v>0</v>
      </c>
      <c r="Y141" s="7">
        <v>2297.2600000000002</v>
      </c>
      <c r="Z141" s="10" t="str">
        <f t="shared" si="4"/>
        <v>Sheet Metal</v>
      </c>
      <c r="AA141" s="24" t="str">
        <f t="shared" si="5"/>
        <v xml:space="preserve"> 3971. LAX People Mover</v>
      </c>
    </row>
    <row r="142" spans="1:27" x14ac:dyDescent="0.2">
      <c r="A142" s="5" t="s">
        <v>279</v>
      </c>
      <c r="B142" s="5" t="s">
        <v>273</v>
      </c>
      <c r="C142" s="5" t="s">
        <v>231</v>
      </c>
      <c r="D142" s="5" t="s">
        <v>125</v>
      </c>
      <c r="E142" s="5" t="s">
        <v>88</v>
      </c>
      <c r="F142" s="5" t="s">
        <v>25</v>
      </c>
      <c r="G142" s="12" t="s">
        <v>139</v>
      </c>
      <c r="H142" s="12"/>
      <c r="I142" s="6">
        <v>0</v>
      </c>
      <c r="J142" s="6">
        <v>0</v>
      </c>
      <c r="K142" s="6">
        <v>0</v>
      </c>
      <c r="L142" s="16">
        <v>0</v>
      </c>
      <c r="M142" s="5"/>
      <c r="N142" s="9">
        <v>0</v>
      </c>
      <c r="O142" s="6">
        <v>0</v>
      </c>
      <c r="P142" s="6">
        <v>0</v>
      </c>
      <c r="Q142" s="6">
        <v>0</v>
      </c>
      <c r="R142" s="16">
        <v>0</v>
      </c>
      <c r="S142" s="5"/>
      <c r="T142" s="17">
        <v>1368</v>
      </c>
      <c r="U142" s="7">
        <v>0</v>
      </c>
      <c r="V142" s="7">
        <v>0</v>
      </c>
      <c r="W142" s="7">
        <v>0</v>
      </c>
      <c r="X142" s="7">
        <v>0</v>
      </c>
      <c r="Y142" s="7">
        <v>-1368</v>
      </c>
      <c r="Z142" s="10" t="str">
        <f t="shared" si="4"/>
        <v>Sheet Metal</v>
      </c>
      <c r="AA142" s="24" t="str">
        <f t="shared" si="5"/>
        <v xml:space="preserve"> 3971. LAX People Mover</v>
      </c>
    </row>
    <row r="143" spans="1:27" x14ac:dyDescent="0.2">
      <c r="A143" s="5" t="s">
        <v>280</v>
      </c>
      <c r="B143" s="5" t="s">
        <v>273</v>
      </c>
      <c r="C143" s="5" t="s">
        <v>233</v>
      </c>
      <c r="D143" s="5" t="s">
        <v>125</v>
      </c>
      <c r="E143" s="5" t="s">
        <v>88</v>
      </c>
      <c r="F143" s="5" t="s">
        <v>25</v>
      </c>
      <c r="G143" s="12" t="s">
        <v>139</v>
      </c>
      <c r="H143" s="12"/>
      <c r="I143" s="6">
        <v>0</v>
      </c>
      <c r="J143" s="6">
        <v>0</v>
      </c>
      <c r="K143" s="6">
        <v>0</v>
      </c>
      <c r="L143" s="16">
        <v>0</v>
      </c>
      <c r="M143" s="5"/>
      <c r="N143" s="9">
        <v>0</v>
      </c>
      <c r="O143" s="6">
        <v>0</v>
      </c>
      <c r="P143" s="6">
        <v>0</v>
      </c>
      <c r="Q143" s="6">
        <v>0</v>
      </c>
      <c r="R143" s="16">
        <v>0</v>
      </c>
      <c r="S143" s="5"/>
      <c r="T143" s="17">
        <v>630</v>
      </c>
      <c r="U143" s="7">
        <v>0</v>
      </c>
      <c r="V143" s="7">
        <v>0</v>
      </c>
      <c r="W143" s="7">
        <v>0</v>
      </c>
      <c r="X143" s="7">
        <v>0</v>
      </c>
      <c r="Y143" s="7">
        <v>-630</v>
      </c>
      <c r="Z143" s="10" t="str">
        <f t="shared" si="4"/>
        <v>Sheet Metal</v>
      </c>
      <c r="AA143" s="24" t="str">
        <f t="shared" si="5"/>
        <v xml:space="preserve"> 3971. LAX People Mover</v>
      </c>
    </row>
    <row r="144" spans="1:27" x14ac:dyDescent="0.2">
      <c r="A144" s="5" t="s">
        <v>281</v>
      </c>
      <c r="B144" s="5" t="s">
        <v>273</v>
      </c>
      <c r="C144" s="5" t="s">
        <v>235</v>
      </c>
      <c r="D144" s="5" t="s">
        <v>125</v>
      </c>
      <c r="E144" s="5" t="s">
        <v>88</v>
      </c>
      <c r="F144" s="5" t="s">
        <v>25</v>
      </c>
      <c r="G144" s="12" t="s">
        <v>139</v>
      </c>
      <c r="H144" s="12"/>
      <c r="I144" s="6">
        <v>0</v>
      </c>
      <c r="J144" s="6">
        <v>0</v>
      </c>
      <c r="K144" s="6">
        <v>0</v>
      </c>
      <c r="L144" s="16">
        <v>0</v>
      </c>
      <c r="M144" s="5"/>
      <c r="N144" s="9">
        <v>0</v>
      </c>
      <c r="O144" s="6">
        <v>0</v>
      </c>
      <c r="P144" s="6">
        <v>0</v>
      </c>
      <c r="Q144" s="6">
        <v>0</v>
      </c>
      <c r="R144" s="16">
        <v>0</v>
      </c>
      <c r="S144" s="5"/>
      <c r="T144" s="17">
        <v>1050</v>
      </c>
      <c r="U144" s="7">
        <v>0</v>
      </c>
      <c r="V144" s="7">
        <v>0</v>
      </c>
      <c r="W144" s="7">
        <v>0</v>
      </c>
      <c r="X144" s="7">
        <v>0</v>
      </c>
      <c r="Y144" s="7">
        <v>-1050</v>
      </c>
      <c r="Z144" s="10" t="str">
        <f t="shared" si="4"/>
        <v>Sheet Metal</v>
      </c>
      <c r="AA144" s="24" t="str">
        <f t="shared" si="5"/>
        <v xml:space="preserve"> 3971. LAX People Mover</v>
      </c>
    </row>
    <row r="145" spans="1:27" x14ac:dyDescent="0.2">
      <c r="A145" s="5" t="s">
        <v>282</v>
      </c>
      <c r="B145" s="5" t="s">
        <v>273</v>
      </c>
      <c r="C145" s="5" t="s">
        <v>237</v>
      </c>
      <c r="D145" s="5" t="s">
        <v>125</v>
      </c>
      <c r="E145" s="5" t="s">
        <v>88</v>
      </c>
      <c r="F145" s="5" t="s">
        <v>25</v>
      </c>
      <c r="G145" s="12" t="s">
        <v>139</v>
      </c>
      <c r="H145" s="12"/>
      <c r="I145" s="6">
        <v>0</v>
      </c>
      <c r="J145" s="6">
        <v>7</v>
      </c>
      <c r="K145" s="6">
        <v>0</v>
      </c>
      <c r="L145" s="16">
        <v>-7</v>
      </c>
      <c r="M145" s="5"/>
      <c r="N145" s="9">
        <v>0</v>
      </c>
      <c r="O145" s="6">
        <v>0</v>
      </c>
      <c r="P145" s="6">
        <v>0</v>
      </c>
      <c r="Q145" s="6">
        <v>0</v>
      </c>
      <c r="R145" s="16">
        <v>0</v>
      </c>
      <c r="S145" s="5"/>
      <c r="T145" s="17">
        <v>4600</v>
      </c>
      <c r="U145" s="7">
        <v>6383.49</v>
      </c>
      <c r="V145" s="7">
        <v>744.6</v>
      </c>
      <c r="W145" s="7">
        <v>7128.09</v>
      </c>
      <c r="X145" s="7">
        <v>744.6</v>
      </c>
      <c r="Y145" s="7">
        <v>2528.09</v>
      </c>
      <c r="Z145" s="10" t="str">
        <f t="shared" si="4"/>
        <v>Sheet Metal</v>
      </c>
      <c r="AA145" s="24" t="str">
        <f t="shared" si="5"/>
        <v xml:space="preserve"> 3971. LAX People Mover</v>
      </c>
    </row>
    <row r="146" spans="1:27" x14ac:dyDescent="0.2">
      <c r="A146" s="5" t="s">
        <v>283</v>
      </c>
      <c r="B146" s="5" t="s">
        <v>273</v>
      </c>
      <c r="C146" s="5" t="s">
        <v>239</v>
      </c>
      <c r="D146" s="5" t="s">
        <v>125</v>
      </c>
      <c r="E146" s="5" t="s">
        <v>88</v>
      </c>
      <c r="F146" s="5" t="s">
        <v>25</v>
      </c>
      <c r="G146" s="12" t="s">
        <v>139</v>
      </c>
      <c r="H146" s="12"/>
      <c r="I146" s="6">
        <v>0</v>
      </c>
      <c r="J146" s="6">
        <v>0</v>
      </c>
      <c r="K146" s="6">
        <v>0</v>
      </c>
      <c r="L146" s="16">
        <v>0</v>
      </c>
      <c r="M146" s="5"/>
      <c r="N146" s="9">
        <v>0</v>
      </c>
      <c r="O146" s="6">
        <v>0</v>
      </c>
      <c r="P146" s="6">
        <v>0</v>
      </c>
      <c r="Q146" s="6">
        <v>0</v>
      </c>
      <c r="R146" s="16">
        <v>0</v>
      </c>
      <c r="S146" s="5"/>
      <c r="T146" s="17">
        <v>1660</v>
      </c>
      <c r="U146" s="7">
        <v>3279.94</v>
      </c>
      <c r="V146" s="7">
        <v>0</v>
      </c>
      <c r="W146" s="7">
        <v>3279.94</v>
      </c>
      <c r="X146" s="7">
        <v>0</v>
      </c>
      <c r="Y146" s="7">
        <v>1619.94</v>
      </c>
      <c r="Z146" s="10" t="str">
        <f t="shared" si="4"/>
        <v>Sheet Metal</v>
      </c>
      <c r="AA146" s="24" t="str">
        <f t="shared" si="5"/>
        <v xml:space="preserve"> 3971. LAX People Mover</v>
      </c>
    </row>
    <row r="147" spans="1:27" x14ac:dyDescent="0.2">
      <c r="A147" s="5" t="s">
        <v>284</v>
      </c>
      <c r="B147" s="5" t="s">
        <v>285</v>
      </c>
      <c r="C147" s="5" t="s">
        <v>225</v>
      </c>
      <c r="D147" s="5" t="s">
        <v>125</v>
      </c>
      <c r="E147" s="5" t="s">
        <v>88</v>
      </c>
      <c r="F147" s="5" t="s">
        <v>25</v>
      </c>
      <c r="G147" s="12" t="s">
        <v>139</v>
      </c>
      <c r="H147" s="12"/>
      <c r="I147" s="6">
        <v>0</v>
      </c>
      <c r="J147" s="6">
        <v>0</v>
      </c>
      <c r="K147" s="6">
        <v>0</v>
      </c>
      <c r="L147" s="16">
        <v>0</v>
      </c>
      <c r="M147" s="5"/>
      <c r="N147" s="9">
        <v>0</v>
      </c>
      <c r="O147" s="6">
        <v>0</v>
      </c>
      <c r="P147" s="6">
        <v>0</v>
      </c>
      <c r="Q147" s="6">
        <v>0</v>
      </c>
      <c r="R147" s="16">
        <v>0</v>
      </c>
      <c r="S147" s="5"/>
      <c r="T147" s="17">
        <v>4380</v>
      </c>
      <c r="U147" s="7">
        <v>875.91</v>
      </c>
      <c r="V147" s="7">
        <v>0</v>
      </c>
      <c r="W147" s="7">
        <v>875.91</v>
      </c>
      <c r="X147" s="7">
        <v>0</v>
      </c>
      <c r="Y147" s="7">
        <v>-3504.09</v>
      </c>
      <c r="Z147" s="10" t="str">
        <f t="shared" si="4"/>
        <v>Sheet Metal</v>
      </c>
      <c r="AA147" s="24" t="str">
        <f t="shared" si="5"/>
        <v xml:space="preserve"> 3971. LAX People Mover</v>
      </c>
    </row>
    <row r="148" spans="1:27" x14ac:dyDescent="0.2">
      <c r="A148" s="5" t="s">
        <v>286</v>
      </c>
      <c r="B148" s="5" t="s">
        <v>285</v>
      </c>
      <c r="C148" s="5" t="s">
        <v>227</v>
      </c>
      <c r="D148" s="5" t="s">
        <v>125</v>
      </c>
      <c r="E148" s="5" t="s">
        <v>88</v>
      </c>
      <c r="F148" s="5" t="s">
        <v>18</v>
      </c>
      <c r="G148" s="12" t="s">
        <v>139</v>
      </c>
      <c r="H148" s="12"/>
      <c r="I148" s="6">
        <v>0</v>
      </c>
      <c r="J148" s="6">
        <v>0</v>
      </c>
      <c r="K148" s="6">
        <v>0</v>
      </c>
      <c r="L148" s="16">
        <v>0</v>
      </c>
      <c r="M148" s="5"/>
      <c r="N148" s="9">
        <v>197</v>
      </c>
      <c r="O148" s="6">
        <v>417.5</v>
      </c>
      <c r="P148" s="6">
        <v>417.5</v>
      </c>
      <c r="Q148" s="6">
        <v>0</v>
      </c>
      <c r="R148" s="16">
        <v>220.5</v>
      </c>
      <c r="S148" s="5"/>
      <c r="T148" s="17">
        <v>17730</v>
      </c>
      <c r="U148" s="7">
        <v>39608.19</v>
      </c>
      <c r="V148" s="7">
        <v>0</v>
      </c>
      <c r="W148" s="7">
        <v>39608.19</v>
      </c>
      <c r="X148" s="7">
        <v>0</v>
      </c>
      <c r="Y148" s="7">
        <v>21878.19</v>
      </c>
      <c r="Z148" s="10" t="str">
        <f t="shared" si="4"/>
        <v>Sheet Metal</v>
      </c>
      <c r="AA148" s="24" t="str">
        <f t="shared" si="5"/>
        <v xml:space="preserve"> 3971. LAX People Mover</v>
      </c>
    </row>
    <row r="149" spans="1:27" x14ac:dyDescent="0.2">
      <c r="A149" s="5" t="s">
        <v>286</v>
      </c>
      <c r="B149" s="5" t="s">
        <v>285</v>
      </c>
      <c r="C149" s="5" t="s">
        <v>227</v>
      </c>
      <c r="D149" s="5" t="s">
        <v>125</v>
      </c>
      <c r="E149" s="5" t="s">
        <v>88</v>
      </c>
      <c r="F149" s="5" t="s">
        <v>25</v>
      </c>
      <c r="G149" s="12" t="s">
        <v>139</v>
      </c>
      <c r="H149" s="12"/>
      <c r="I149" s="6">
        <v>0</v>
      </c>
      <c r="J149" s="6">
        <v>0</v>
      </c>
      <c r="K149" s="6">
        <v>0</v>
      </c>
      <c r="L149" s="16">
        <v>0</v>
      </c>
      <c r="M149" s="5"/>
      <c r="N149" s="9">
        <v>0</v>
      </c>
      <c r="O149" s="6">
        <v>0</v>
      </c>
      <c r="P149" s="6">
        <v>0</v>
      </c>
      <c r="Q149" s="6">
        <v>0</v>
      </c>
      <c r="R149" s="16">
        <v>0</v>
      </c>
      <c r="S149" s="5"/>
      <c r="T149" s="17">
        <v>163379.25</v>
      </c>
      <c r="U149" s="7">
        <v>74407.570000000007</v>
      </c>
      <c r="V149" s="7">
        <v>0</v>
      </c>
      <c r="W149" s="7">
        <v>74407.570000000007</v>
      </c>
      <c r="X149" s="7">
        <v>0</v>
      </c>
      <c r="Y149" s="7">
        <v>-88971.68</v>
      </c>
      <c r="Z149" s="10" t="str">
        <f t="shared" si="4"/>
        <v>Sheet Metal</v>
      </c>
      <c r="AA149" s="24" t="str">
        <f t="shared" si="5"/>
        <v xml:space="preserve"> 3971. LAX People Mover</v>
      </c>
    </row>
    <row r="150" spans="1:27" x14ac:dyDescent="0.2">
      <c r="A150" s="5" t="s">
        <v>287</v>
      </c>
      <c r="B150" s="5" t="s">
        <v>285</v>
      </c>
      <c r="C150" s="5" t="s">
        <v>245</v>
      </c>
      <c r="D150" s="5" t="s">
        <v>125</v>
      </c>
      <c r="E150" s="5" t="s">
        <v>88</v>
      </c>
      <c r="F150" s="5" t="s">
        <v>25</v>
      </c>
      <c r="G150" s="12" t="s">
        <v>139</v>
      </c>
      <c r="H150" s="12"/>
      <c r="I150" s="6">
        <v>0</v>
      </c>
      <c r="J150" s="6">
        <v>0</v>
      </c>
      <c r="K150" s="6">
        <v>0</v>
      </c>
      <c r="L150" s="16">
        <v>0</v>
      </c>
      <c r="M150" s="5"/>
      <c r="N150" s="9">
        <v>0</v>
      </c>
      <c r="O150" s="6">
        <v>0</v>
      </c>
      <c r="P150" s="6">
        <v>0</v>
      </c>
      <c r="Q150" s="6">
        <v>0</v>
      </c>
      <c r="R150" s="16">
        <v>0</v>
      </c>
      <c r="S150" s="5"/>
      <c r="T150" s="17">
        <v>3500</v>
      </c>
      <c r="U150" s="7">
        <v>9351.2999999999993</v>
      </c>
      <c r="V150" s="7">
        <v>0</v>
      </c>
      <c r="W150" s="7">
        <v>9351.2999999999993</v>
      </c>
      <c r="X150" s="7">
        <v>0</v>
      </c>
      <c r="Y150" s="7">
        <v>5851.3</v>
      </c>
      <c r="Z150" s="10" t="str">
        <f t="shared" si="4"/>
        <v>Sheet Metal</v>
      </c>
      <c r="AA150" s="24" t="str">
        <f t="shared" si="5"/>
        <v xml:space="preserve"> 3971. LAX People Mover</v>
      </c>
    </row>
    <row r="151" spans="1:27" x14ac:dyDescent="0.2">
      <c r="A151" s="5" t="s">
        <v>288</v>
      </c>
      <c r="B151" s="5" t="s">
        <v>285</v>
      </c>
      <c r="C151" s="5" t="s">
        <v>229</v>
      </c>
      <c r="D151" s="5" t="s">
        <v>125</v>
      </c>
      <c r="E151" s="5" t="s">
        <v>88</v>
      </c>
      <c r="F151" s="5" t="s">
        <v>18</v>
      </c>
      <c r="G151" s="12" t="s">
        <v>139</v>
      </c>
      <c r="H151" s="12"/>
      <c r="I151" s="6">
        <v>0</v>
      </c>
      <c r="J151" s="6">
        <v>0</v>
      </c>
      <c r="K151" s="6">
        <v>0</v>
      </c>
      <c r="L151" s="16">
        <v>0</v>
      </c>
      <c r="M151" s="5"/>
      <c r="N151" s="9">
        <v>196</v>
      </c>
      <c r="O151" s="6">
        <v>1129.5</v>
      </c>
      <c r="P151" s="6">
        <v>1129.5</v>
      </c>
      <c r="Q151" s="6">
        <v>0</v>
      </c>
      <c r="R151" s="16">
        <v>933.5</v>
      </c>
      <c r="S151" s="5"/>
      <c r="T151" s="17">
        <v>17640</v>
      </c>
      <c r="U151" s="7">
        <v>102499.96</v>
      </c>
      <c r="V151" s="7">
        <v>0</v>
      </c>
      <c r="W151" s="7">
        <v>102499.96</v>
      </c>
      <c r="X151" s="7">
        <v>0</v>
      </c>
      <c r="Y151" s="7">
        <v>84859.96</v>
      </c>
      <c r="Z151" s="10" t="str">
        <f t="shared" si="4"/>
        <v>Sheet Metal</v>
      </c>
      <c r="AA151" s="24" t="str">
        <f t="shared" si="5"/>
        <v xml:space="preserve"> 3971. LAX People Mover</v>
      </c>
    </row>
    <row r="152" spans="1:27" x14ac:dyDescent="0.2">
      <c r="A152" s="5" t="s">
        <v>288</v>
      </c>
      <c r="B152" s="5" t="s">
        <v>285</v>
      </c>
      <c r="C152" s="5" t="s">
        <v>229</v>
      </c>
      <c r="D152" s="5" t="s">
        <v>125</v>
      </c>
      <c r="E152" s="5" t="s">
        <v>88</v>
      </c>
      <c r="F152" s="5" t="s">
        <v>25</v>
      </c>
      <c r="G152" s="12" t="s">
        <v>139</v>
      </c>
      <c r="H152" s="12"/>
      <c r="I152" s="6">
        <v>0</v>
      </c>
      <c r="J152" s="6">
        <v>0</v>
      </c>
      <c r="K152" s="6">
        <v>0</v>
      </c>
      <c r="L152" s="16">
        <v>0</v>
      </c>
      <c r="M152" s="5"/>
      <c r="N152" s="9">
        <v>0</v>
      </c>
      <c r="O152" s="6">
        <v>0</v>
      </c>
      <c r="P152" s="6">
        <v>0</v>
      </c>
      <c r="Q152" s="6">
        <v>0</v>
      </c>
      <c r="R152" s="16">
        <v>0</v>
      </c>
      <c r="S152" s="5"/>
      <c r="T152" s="17">
        <v>255258.9</v>
      </c>
      <c r="U152" s="7">
        <v>164451.34</v>
      </c>
      <c r="V152" s="7">
        <v>0</v>
      </c>
      <c r="W152" s="7">
        <v>165136.78</v>
      </c>
      <c r="X152" s="7">
        <v>685.44</v>
      </c>
      <c r="Y152" s="7">
        <v>-90122.12</v>
      </c>
      <c r="Z152" s="10" t="str">
        <f t="shared" si="4"/>
        <v>Sheet Metal</v>
      </c>
      <c r="AA152" s="24" t="str">
        <f t="shared" si="5"/>
        <v xml:space="preserve"> 3971. LAX People Mover</v>
      </c>
    </row>
    <row r="153" spans="1:27" x14ac:dyDescent="0.2">
      <c r="A153" s="5" t="s">
        <v>289</v>
      </c>
      <c r="B153" s="5" t="s">
        <v>285</v>
      </c>
      <c r="C153" s="5" t="s">
        <v>231</v>
      </c>
      <c r="D153" s="5" t="s">
        <v>125</v>
      </c>
      <c r="E153" s="5" t="s">
        <v>88</v>
      </c>
      <c r="F153" s="5" t="s">
        <v>18</v>
      </c>
      <c r="G153" s="12" t="s">
        <v>139</v>
      </c>
      <c r="H153" s="12"/>
      <c r="I153" s="6">
        <v>0</v>
      </c>
      <c r="J153" s="6">
        <v>0</v>
      </c>
      <c r="K153" s="6">
        <v>0</v>
      </c>
      <c r="L153" s="16">
        <v>0</v>
      </c>
      <c r="M153" s="5"/>
      <c r="N153" s="9">
        <v>245</v>
      </c>
      <c r="O153" s="6">
        <v>428</v>
      </c>
      <c r="P153" s="6">
        <v>428</v>
      </c>
      <c r="Q153" s="6">
        <v>0</v>
      </c>
      <c r="R153" s="16">
        <v>183</v>
      </c>
      <c r="S153" s="5"/>
      <c r="T153" s="17">
        <v>22050</v>
      </c>
      <c r="U153" s="7">
        <v>42173.64</v>
      </c>
      <c r="V153" s="7">
        <v>0</v>
      </c>
      <c r="W153" s="7">
        <v>42173.64</v>
      </c>
      <c r="X153" s="7">
        <v>0</v>
      </c>
      <c r="Y153" s="7">
        <v>20123.64</v>
      </c>
      <c r="Z153" s="10" t="str">
        <f t="shared" si="4"/>
        <v>Sheet Metal</v>
      </c>
      <c r="AA153" s="24" t="str">
        <f t="shared" si="5"/>
        <v xml:space="preserve"> 3971. LAX People Mover</v>
      </c>
    </row>
    <row r="154" spans="1:27" x14ac:dyDescent="0.2">
      <c r="A154" s="5" t="s">
        <v>289</v>
      </c>
      <c r="B154" s="5" t="s">
        <v>285</v>
      </c>
      <c r="C154" s="5" t="s">
        <v>231</v>
      </c>
      <c r="D154" s="5" t="s">
        <v>125</v>
      </c>
      <c r="E154" s="5" t="s">
        <v>88</v>
      </c>
      <c r="F154" s="5" t="s">
        <v>25</v>
      </c>
      <c r="G154" s="12" t="s">
        <v>139</v>
      </c>
      <c r="H154" s="12"/>
      <c r="I154" s="6">
        <v>0</v>
      </c>
      <c r="J154" s="6">
        <v>0</v>
      </c>
      <c r="K154" s="6">
        <v>0</v>
      </c>
      <c r="L154" s="16">
        <v>0</v>
      </c>
      <c r="M154" s="5"/>
      <c r="N154" s="9">
        <v>0</v>
      </c>
      <c r="O154" s="6">
        <v>0</v>
      </c>
      <c r="P154" s="6">
        <v>0</v>
      </c>
      <c r="Q154" s="6">
        <v>0</v>
      </c>
      <c r="R154" s="16">
        <v>0</v>
      </c>
      <c r="S154" s="5"/>
      <c r="T154" s="17">
        <v>173715.41</v>
      </c>
      <c r="U154" s="7">
        <v>105009.3</v>
      </c>
      <c r="V154" s="7">
        <v>0</v>
      </c>
      <c r="W154" s="7">
        <v>105009.3</v>
      </c>
      <c r="X154" s="7">
        <v>0</v>
      </c>
      <c r="Y154" s="7">
        <v>-68706.11</v>
      </c>
      <c r="Z154" s="10" t="str">
        <f t="shared" si="4"/>
        <v>Sheet Metal</v>
      </c>
      <c r="AA154" s="24" t="str">
        <f t="shared" si="5"/>
        <v xml:space="preserve"> 3971. LAX People Mover</v>
      </c>
    </row>
    <row r="155" spans="1:27" x14ac:dyDescent="0.2">
      <c r="A155" s="5" t="s">
        <v>290</v>
      </c>
      <c r="B155" s="5" t="s">
        <v>285</v>
      </c>
      <c r="C155" s="5" t="s">
        <v>233</v>
      </c>
      <c r="D155" s="5" t="s">
        <v>125</v>
      </c>
      <c r="E155" s="5" t="s">
        <v>88</v>
      </c>
      <c r="F155" s="5" t="s">
        <v>25</v>
      </c>
      <c r="G155" s="12" t="s">
        <v>139</v>
      </c>
      <c r="H155" s="12"/>
      <c r="I155" s="6">
        <v>0</v>
      </c>
      <c r="J155" s="6">
        <v>0</v>
      </c>
      <c r="K155" s="6">
        <v>0</v>
      </c>
      <c r="L155" s="16">
        <v>0</v>
      </c>
      <c r="M155" s="5"/>
      <c r="N155" s="9">
        <v>0</v>
      </c>
      <c r="O155" s="6">
        <v>0</v>
      </c>
      <c r="P155" s="6">
        <v>0</v>
      </c>
      <c r="Q155" s="6">
        <v>0</v>
      </c>
      <c r="R155" s="16">
        <v>0</v>
      </c>
      <c r="S155" s="5"/>
      <c r="T155" s="17">
        <v>1170</v>
      </c>
      <c r="U155" s="7">
        <v>0</v>
      </c>
      <c r="V155" s="7">
        <v>0</v>
      </c>
      <c r="W155" s="7">
        <v>0</v>
      </c>
      <c r="X155" s="7">
        <v>0</v>
      </c>
      <c r="Y155" s="7">
        <v>-1170</v>
      </c>
      <c r="Z155" s="10" t="str">
        <f t="shared" si="4"/>
        <v>Sheet Metal</v>
      </c>
      <c r="AA155" s="24" t="str">
        <f t="shared" si="5"/>
        <v xml:space="preserve"> 3971. LAX People Mover</v>
      </c>
    </row>
    <row r="156" spans="1:27" x14ac:dyDescent="0.2">
      <c r="A156" s="5" t="s">
        <v>291</v>
      </c>
      <c r="B156" s="5" t="s">
        <v>285</v>
      </c>
      <c r="C156" s="5" t="s">
        <v>235</v>
      </c>
      <c r="D156" s="5" t="s">
        <v>125</v>
      </c>
      <c r="E156" s="5" t="s">
        <v>88</v>
      </c>
      <c r="F156" s="5" t="s">
        <v>25</v>
      </c>
      <c r="G156" s="12" t="s">
        <v>139</v>
      </c>
      <c r="H156" s="12"/>
      <c r="I156" s="6">
        <v>0</v>
      </c>
      <c r="J156" s="6">
        <v>0</v>
      </c>
      <c r="K156" s="6">
        <v>0</v>
      </c>
      <c r="L156" s="16">
        <v>0</v>
      </c>
      <c r="M156" s="5"/>
      <c r="N156" s="9">
        <v>0</v>
      </c>
      <c r="O156" s="6">
        <v>0</v>
      </c>
      <c r="P156" s="6">
        <v>0</v>
      </c>
      <c r="Q156" s="6">
        <v>0</v>
      </c>
      <c r="R156" s="16">
        <v>0</v>
      </c>
      <c r="S156" s="5"/>
      <c r="T156" s="17">
        <v>1640</v>
      </c>
      <c r="U156" s="7">
        <v>0</v>
      </c>
      <c r="V156" s="7">
        <v>0</v>
      </c>
      <c r="W156" s="7">
        <v>0</v>
      </c>
      <c r="X156" s="7">
        <v>0</v>
      </c>
      <c r="Y156" s="7">
        <v>-1640</v>
      </c>
      <c r="Z156" s="10" t="str">
        <f t="shared" si="4"/>
        <v>Sheet Metal</v>
      </c>
      <c r="AA156" s="24" t="str">
        <f t="shared" si="5"/>
        <v xml:space="preserve"> 3971. LAX People Mover</v>
      </c>
    </row>
    <row r="157" spans="1:27" x14ac:dyDescent="0.2">
      <c r="A157" s="5" t="s">
        <v>292</v>
      </c>
      <c r="B157" s="5" t="s">
        <v>285</v>
      </c>
      <c r="C157" s="5" t="s">
        <v>237</v>
      </c>
      <c r="D157" s="5" t="s">
        <v>125</v>
      </c>
      <c r="E157" s="5" t="s">
        <v>88</v>
      </c>
      <c r="F157" s="5" t="s">
        <v>18</v>
      </c>
      <c r="G157" s="12" t="s">
        <v>139</v>
      </c>
      <c r="H157" s="12"/>
      <c r="I157" s="6">
        <v>0</v>
      </c>
      <c r="J157" s="6">
        <v>0</v>
      </c>
      <c r="K157" s="6">
        <v>0</v>
      </c>
      <c r="L157" s="16">
        <v>0</v>
      </c>
      <c r="M157" s="5"/>
      <c r="N157" s="9">
        <v>70</v>
      </c>
      <c r="O157" s="6">
        <v>159</v>
      </c>
      <c r="P157" s="6">
        <v>159</v>
      </c>
      <c r="Q157" s="6">
        <v>0</v>
      </c>
      <c r="R157" s="16">
        <v>89</v>
      </c>
      <c r="S157" s="5"/>
      <c r="T157" s="17">
        <v>6300</v>
      </c>
      <c r="U157" s="7">
        <v>13399.5</v>
      </c>
      <c r="V157" s="7">
        <v>0</v>
      </c>
      <c r="W157" s="7">
        <v>13399.5</v>
      </c>
      <c r="X157" s="7">
        <v>0</v>
      </c>
      <c r="Y157" s="7">
        <v>7099.5</v>
      </c>
      <c r="Z157" s="10" t="str">
        <f t="shared" si="4"/>
        <v>Sheet Metal</v>
      </c>
      <c r="AA157" s="24" t="str">
        <f t="shared" si="5"/>
        <v xml:space="preserve"> 3971. LAX People Mover</v>
      </c>
    </row>
    <row r="158" spans="1:27" x14ac:dyDescent="0.2">
      <c r="A158" s="5" t="s">
        <v>292</v>
      </c>
      <c r="B158" s="5" t="s">
        <v>285</v>
      </c>
      <c r="C158" s="5" t="s">
        <v>237</v>
      </c>
      <c r="D158" s="5" t="s">
        <v>125</v>
      </c>
      <c r="E158" s="5" t="s">
        <v>88</v>
      </c>
      <c r="F158" s="5" t="s">
        <v>25</v>
      </c>
      <c r="G158" s="12" t="s">
        <v>139</v>
      </c>
      <c r="H158" s="12"/>
      <c r="I158" s="6">
        <v>0</v>
      </c>
      <c r="J158" s="6">
        <v>0</v>
      </c>
      <c r="K158" s="6">
        <v>0</v>
      </c>
      <c r="L158" s="16">
        <v>0</v>
      </c>
      <c r="M158" s="5"/>
      <c r="N158" s="9">
        <v>0</v>
      </c>
      <c r="O158" s="6">
        <v>0</v>
      </c>
      <c r="P158" s="6">
        <v>0</v>
      </c>
      <c r="Q158" s="6">
        <v>0</v>
      </c>
      <c r="R158" s="16">
        <v>0</v>
      </c>
      <c r="S158" s="5"/>
      <c r="T158" s="17">
        <v>28389.88</v>
      </c>
      <c r="U158" s="7">
        <v>25479.49</v>
      </c>
      <c r="V158" s="7">
        <v>6578.76</v>
      </c>
      <c r="W158" s="7">
        <v>25479.49</v>
      </c>
      <c r="X158" s="7">
        <v>0</v>
      </c>
      <c r="Y158" s="7">
        <v>-2910.39</v>
      </c>
      <c r="Z158" s="10" t="str">
        <f t="shared" si="4"/>
        <v>Sheet Metal</v>
      </c>
      <c r="AA158" s="24" t="str">
        <f t="shared" si="5"/>
        <v xml:space="preserve"> 3971. LAX People Mover</v>
      </c>
    </row>
    <row r="159" spans="1:27" x14ac:dyDescent="0.2">
      <c r="A159" s="5" t="s">
        <v>293</v>
      </c>
      <c r="B159" s="5" t="s">
        <v>285</v>
      </c>
      <c r="C159" s="5" t="s">
        <v>239</v>
      </c>
      <c r="D159" s="5" t="s">
        <v>125</v>
      </c>
      <c r="E159" s="5" t="s">
        <v>88</v>
      </c>
      <c r="F159" s="5" t="s">
        <v>18</v>
      </c>
      <c r="G159" s="12" t="s">
        <v>139</v>
      </c>
      <c r="H159" s="12"/>
      <c r="I159" s="6">
        <v>0</v>
      </c>
      <c r="J159" s="6">
        <v>0</v>
      </c>
      <c r="K159" s="6">
        <v>0</v>
      </c>
      <c r="L159" s="16">
        <v>0</v>
      </c>
      <c r="M159" s="5"/>
      <c r="N159" s="9">
        <v>147</v>
      </c>
      <c r="O159" s="6">
        <v>473</v>
      </c>
      <c r="P159" s="6">
        <v>473</v>
      </c>
      <c r="Q159" s="6">
        <v>0</v>
      </c>
      <c r="R159" s="16">
        <v>326</v>
      </c>
      <c r="S159" s="5"/>
      <c r="T159" s="17">
        <v>13230</v>
      </c>
      <c r="U159" s="7">
        <v>43412.34</v>
      </c>
      <c r="V159" s="7">
        <v>0</v>
      </c>
      <c r="W159" s="7">
        <v>43412.34</v>
      </c>
      <c r="X159" s="7">
        <v>0</v>
      </c>
      <c r="Y159" s="7">
        <v>30182.34</v>
      </c>
      <c r="Z159" s="10" t="str">
        <f t="shared" si="4"/>
        <v>Sheet Metal</v>
      </c>
      <c r="AA159" s="24" t="str">
        <f t="shared" si="5"/>
        <v xml:space="preserve"> 3971. LAX People Mover</v>
      </c>
    </row>
    <row r="160" spans="1:27" x14ac:dyDescent="0.2">
      <c r="A160" s="5" t="s">
        <v>293</v>
      </c>
      <c r="B160" s="5" t="s">
        <v>285</v>
      </c>
      <c r="C160" s="5" t="s">
        <v>239</v>
      </c>
      <c r="D160" s="5" t="s">
        <v>125</v>
      </c>
      <c r="E160" s="5" t="s">
        <v>88</v>
      </c>
      <c r="F160" s="5" t="s">
        <v>25</v>
      </c>
      <c r="G160" s="12" t="s">
        <v>139</v>
      </c>
      <c r="H160" s="12"/>
      <c r="I160" s="6">
        <v>0</v>
      </c>
      <c r="J160" s="6">
        <v>0</v>
      </c>
      <c r="K160" s="6">
        <v>0</v>
      </c>
      <c r="L160" s="16">
        <v>0</v>
      </c>
      <c r="M160" s="5"/>
      <c r="N160" s="9">
        <v>0</v>
      </c>
      <c r="O160" s="6">
        <v>0</v>
      </c>
      <c r="P160" s="6">
        <v>0</v>
      </c>
      <c r="Q160" s="6">
        <v>0</v>
      </c>
      <c r="R160" s="16">
        <v>0</v>
      </c>
      <c r="S160" s="5"/>
      <c r="T160" s="17">
        <v>116405.96</v>
      </c>
      <c r="U160" s="7">
        <v>73333.5</v>
      </c>
      <c r="V160" s="7">
        <v>0</v>
      </c>
      <c r="W160" s="7">
        <v>73333.5</v>
      </c>
      <c r="X160" s="7">
        <v>0</v>
      </c>
      <c r="Y160" s="7">
        <v>-43072.46</v>
      </c>
      <c r="Z160" s="10" t="str">
        <f t="shared" si="4"/>
        <v>Sheet Metal</v>
      </c>
      <c r="AA160" s="24" t="str">
        <f t="shared" si="5"/>
        <v xml:space="preserve"> 3971. LAX People Mover</v>
      </c>
    </row>
    <row r="161" spans="1:27" x14ac:dyDescent="0.2">
      <c r="A161" s="5" t="s">
        <v>294</v>
      </c>
      <c r="B161" s="5" t="s">
        <v>27</v>
      </c>
      <c r="C161" s="5" t="s">
        <v>225</v>
      </c>
      <c r="D161" s="5" t="s">
        <v>125</v>
      </c>
      <c r="E161" s="5" t="s">
        <v>88</v>
      </c>
      <c r="F161" s="5" t="s">
        <v>18</v>
      </c>
      <c r="G161" s="12" t="s">
        <v>164</v>
      </c>
      <c r="H161" s="12"/>
      <c r="I161" s="6">
        <v>0</v>
      </c>
      <c r="J161" s="6">
        <v>0</v>
      </c>
      <c r="K161" s="6">
        <v>0</v>
      </c>
      <c r="L161" s="16">
        <v>0</v>
      </c>
      <c r="M161" s="5"/>
      <c r="N161" s="9">
        <v>460</v>
      </c>
      <c r="O161" s="6">
        <v>662</v>
      </c>
      <c r="P161" s="6">
        <v>662</v>
      </c>
      <c r="Q161" s="6">
        <v>0</v>
      </c>
      <c r="R161" s="16">
        <v>202</v>
      </c>
      <c r="S161" s="5"/>
      <c r="T161" s="17">
        <v>41400</v>
      </c>
      <c r="U161" s="7">
        <v>56422.25</v>
      </c>
      <c r="V161" s="7">
        <v>0</v>
      </c>
      <c r="W161" s="7">
        <v>56422.25</v>
      </c>
      <c r="X161" s="7">
        <v>0</v>
      </c>
      <c r="Y161" s="7">
        <v>15022.25</v>
      </c>
      <c r="Z161" s="10" t="str">
        <f t="shared" si="4"/>
        <v>Piping</v>
      </c>
      <c r="AA161" s="24" t="str">
        <f t="shared" si="5"/>
        <v xml:space="preserve"> 3971. LAX People Mover</v>
      </c>
    </row>
    <row r="162" spans="1:27" x14ac:dyDescent="0.2">
      <c r="A162" s="5" t="s">
        <v>294</v>
      </c>
      <c r="B162" s="5" t="s">
        <v>27</v>
      </c>
      <c r="C162" s="5" t="s">
        <v>225</v>
      </c>
      <c r="D162" s="5" t="s">
        <v>125</v>
      </c>
      <c r="E162" s="5" t="s">
        <v>88</v>
      </c>
      <c r="F162" s="5" t="s">
        <v>25</v>
      </c>
      <c r="G162" s="12" t="s">
        <v>164</v>
      </c>
      <c r="H162" s="12"/>
      <c r="I162" s="6">
        <v>0</v>
      </c>
      <c r="J162" s="6">
        <v>10</v>
      </c>
      <c r="K162" s="6">
        <v>0</v>
      </c>
      <c r="L162" s="16">
        <v>-10</v>
      </c>
      <c r="M162" s="5"/>
      <c r="N162" s="9">
        <v>0</v>
      </c>
      <c r="O162" s="6">
        <v>0</v>
      </c>
      <c r="P162" s="6">
        <v>0</v>
      </c>
      <c r="Q162" s="6">
        <v>0</v>
      </c>
      <c r="R162" s="16">
        <v>0</v>
      </c>
      <c r="S162" s="5"/>
      <c r="T162" s="17">
        <v>300810</v>
      </c>
      <c r="U162" s="7">
        <v>25773.91</v>
      </c>
      <c r="V162" s="7">
        <v>31.06</v>
      </c>
      <c r="W162" s="7">
        <v>25804.98</v>
      </c>
      <c r="X162" s="7">
        <v>31.07</v>
      </c>
      <c r="Y162" s="7">
        <v>-275005.02</v>
      </c>
      <c r="Z162" s="10" t="str">
        <f t="shared" si="4"/>
        <v>Piping</v>
      </c>
      <c r="AA162" s="24" t="str">
        <f t="shared" si="5"/>
        <v xml:space="preserve"> 3971. LAX People Mover</v>
      </c>
    </row>
    <row r="163" spans="1:27" x14ac:dyDescent="0.2">
      <c r="A163" s="5" t="s">
        <v>295</v>
      </c>
      <c r="B163" s="5" t="s">
        <v>27</v>
      </c>
      <c r="C163" s="5" t="s">
        <v>122</v>
      </c>
      <c r="D163" s="5" t="s">
        <v>125</v>
      </c>
      <c r="E163" s="5" t="s">
        <v>88</v>
      </c>
      <c r="F163" s="5" t="s">
        <v>18</v>
      </c>
      <c r="G163" s="12" t="s">
        <v>164</v>
      </c>
      <c r="H163" s="12"/>
      <c r="I163" s="6">
        <v>0</v>
      </c>
      <c r="J163" s="6">
        <v>0</v>
      </c>
      <c r="K163" s="6">
        <v>0</v>
      </c>
      <c r="L163" s="16">
        <v>0</v>
      </c>
      <c r="M163" s="5"/>
      <c r="N163" s="9">
        <v>8</v>
      </c>
      <c r="O163" s="6">
        <v>24</v>
      </c>
      <c r="P163" s="6">
        <v>24</v>
      </c>
      <c r="Q163" s="6">
        <v>0</v>
      </c>
      <c r="R163" s="16">
        <v>16</v>
      </c>
      <c r="S163" s="5"/>
      <c r="T163" s="17">
        <v>720</v>
      </c>
      <c r="U163" s="7">
        <v>1389.03</v>
      </c>
      <c r="V163" s="7">
        <v>0</v>
      </c>
      <c r="W163" s="7">
        <v>1389.03</v>
      </c>
      <c r="X163" s="7">
        <v>0</v>
      </c>
      <c r="Y163" s="7">
        <v>669.03</v>
      </c>
      <c r="Z163" s="10" t="str">
        <f t="shared" si="4"/>
        <v>Piping</v>
      </c>
      <c r="AA163" s="24" t="str">
        <f t="shared" si="5"/>
        <v xml:space="preserve"> 3971. LAX People Mover</v>
      </c>
    </row>
    <row r="164" spans="1:27" x14ac:dyDescent="0.2">
      <c r="A164" s="5" t="s">
        <v>296</v>
      </c>
      <c r="B164" s="5" t="s">
        <v>27</v>
      </c>
      <c r="C164" s="5" t="s">
        <v>227</v>
      </c>
      <c r="D164" s="5" t="s">
        <v>125</v>
      </c>
      <c r="E164" s="5" t="s">
        <v>88</v>
      </c>
      <c r="F164" s="5" t="s">
        <v>18</v>
      </c>
      <c r="G164" s="12" t="s">
        <v>164</v>
      </c>
      <c r="H164" s="12"/>
      <c r="I164" s="6">
        <v>0</v>
      </c>
      <c r="J164" s="6">
        <v>0</v>
      </c>
      <c r="K164" s="6">
        <v>0</v>
      </c>
      <c r="L164" s="16">
        <v>0</v>
      </c>
      <c r="M164" s="5"/>
      <c r="N164" s="9">
        <v>222</v>
      </c>
      <c r="O164" s="6">
        <v>402.5</v>
      </c>
      <c r="P164" s="6">
        <v>402.5</v>
      </c>
      <c r="Q164" s="6">
        <v>0</v>
      </c>
      <c r="R164" s="16">
        <v>180.5</v>
      </c>
      <c r="S164" s="5"/>
      <c r="T164" s="17">
        <v>19980</v>
      </c>
      <c r="U164" s="7">
        <v>31901.35</v>
      </c>
      <c r="V164" s="7">
        <v>0</v>
      </c>
      <c r="W164" s="7">
        <v>31901.35</v>
      </c>
      <c r="X164" s="7">
        <v>0</v>
      </c>
      <c r="Y164" s="7">
        <v>11921.35</v>
      </c>
      <c r="Z164" s="10" t="str">
        <f t="shared" si="4"/>
        <v>Piping</v>
      </c>
      <c r="AA164" s="24" t="str">
        <f t="shared" si="5"/>
        <v xml:space="preserve"> 3971. LAX People Mover</v>
      </c>
    </row>
    <row r="165" spans="1:27" x14ac:dyDescent="0.2">
      <c r="A165" s="5" t="s">
        <v>296</v>
      </c>
      <c r="B165" s="5" t="s">
        <v>27</v>
      </c>
      <c r="C165" s="5" t="s">
        <v>227</v>
      </c>
      <c r="D165" s="5" t="s">
        <v>125</v>
      </c>
      <c r="E165" s="5" t="s">
        <v>88</v>
      </c>
      <c r="F165" s="5" t="s">
        <v>25</v>
      </c>
      <c r="G165" s="12" t="s">
        <v>164</v>
      </c>
      <c r="H165" s="12"/>
      <c r="I165" s="6">
        <v>0</v>
      </c>
      <c r="J165" s="6">
        <v>39</v>
      </c>
      <c r="K165" s="6">
        <v>0</v>
      </c>
      <c r="L165" s="16">
        <v>-39</v>
      </c>
      <c r="M165" s="5"/>
      <c r="N165" s="9">
        <v>0</v>
      </c>
      <c r="O165" s="6">
        <v>0</v>
      </c>
      <c r="P165" s="6">
        <v>0</v>
      </c>
      <c r="Q165" s="6">
        <v>0</v>
      </c>
      <c r="R165" s="16">
        <v>0</v>
      </c>
      <c r="S165" s="5"/>
      <c r="T165" s="17">
        <v>371954</v>
      </c>
      <c r="U165" s="7">
        <v>287210.90000000002</v>
      </c>
      <c r="V165" s="7">
        <v>0</v>
      </c>
      <c r="W165" s="7">
        <v>287667.84999999998</v>
      </c>
      <c r="X165" s="7">
        <v>456.95</v>
      </c>
      <c r="Y165" s="7">
        <v>-84286.15</v>
      </c>
      <c r="Z165" s="10" t="str">
        <f t="shared" si="4"/>
        <v>Piping</v>
      </c>
      <c r="AA165" s="24" t="str">
        <f t="shared" si="5"/>
        <v xml:space="preserve"> 3971. LAX People Mover</v>
      </c>
    </row>
    <row r="166" spans="1:27" x14ac:dyDescent="0.2">
      <c r="A166" s="5" t="s">
        <v>297</v>
      </c>
      <c r="B166" s="5" t="s">
        <v>27</v>
      </c>
      <c r="C166" s="5" t="s">
        <v>245</v>
      </c>
      <c r="D166" s="5" t="s">
        <v>125</v>
      </c>
      <c r="E166" s="5" t="s">
        <v>88</v>
      </c>
      <c r="F166" s="5" t="s">
        <v>18</v>
      </c>
      <c r="G166" s="12" t="s">
        <v>164</v>
      </c>
      <c r="H166" s="12"/>
      <c r="I166" s="6">
        <v>0</v>
      </c>
      <c r="J166" s="6">
        <v>0</v>
      </c>
      <c r="K166" s="6">
        <v>0</v>
      </c>
      <c r="L166" s="16">
        <v>0</v>
      </c>
      <c r="M166" s="5"/>
      <c r="N166" s="9">
        <v>100</v>
      </c>
      <c r="O166" s="6">
        <v>136</v>
      </c>
      <c r="P166" s="6">
        <v>136</v>
      </c>
      <c r="Q166" s="6">
        <v>0</v>
      </c>
      <c r="R166" s="16">
        <v>36</v>
      </c>
      <c r="S166" s="5"/>
      <c r="T166" s="17">
        <v>9000</v>
      </c>
      <c r="U166" s="7">
        <v>10743.61</v>
      </c>
      <c r="V166" s="7">
        <v>0</v>
      </c>
      <c r="W166" s="7">
        <v>10743.61</v>
      </c>
      <c r="X166" s="7">
        <v>0</v>
      </c>
      <c r="Y166" s="7">
        <v>1743.61</v>
      </c>
      <c r="Z166" s="10" t="str">
        <f t="shared" si="4"/>
        <v>Piping</v>
      </c>
      <c r="AA166" s="24" t="str">
        <f t="shared" si="5"/>
        <v xml:space="preserve"> 3971. LAX People Mover</v>
      </c>
    </row>
    <row r="167" spans="1:27" x14ac:dyDescent="0.2">
      <c r="A167" s="5" t="s">
        <v>297</v>
      </c>
      <c r="B167" s="5" t="s">
        <v>27</v>
      </c>
      <c r="C167" s="5" t="s">
        <v>245</v>
      </c>
      <c r="D167" s="5" t="s">
        <v>125</v>
      </c>
      <c r="E167" s="5" t="s">
        <v>88</v>
      </c>
      <c r="F167" s="5" t="s">
        <v>25</v>
      </c>
      <c r="G167" s="12" t="s">
        <v>164</v>
      </c>
      <c r="H167" s="12"/>
      <c r="I167" s="6">
        <v>0</v>
      </c>
      <c r="J167" s="6">
        <v>0</v>
      </c>
      <c r="K167" s="6">
        <v>0</v>
      </c>
      <c r="L167" s="16">
        <v>0</v>
      </c>
      <c r="M167" s="5"/>
      <c r="N167" s="9">
        <v>0</v>
      </c>
      <c r="O167" s="6">
        <v>0</v>
      </c>
      <c r="P167" s="6">
        <v>0</v>
      </c>
      <c r="Q167" s="6">
        <v>0</v>
      </c>
      <c r="R167" s="16">
        <v>0</v>
      </c>
      <c r="S167" s="5"/>
      <c r="T167" s="17">
        <v>183873</v>
      </c>
      <c r="U167" s="7">
        <v>154148.68</v>
      </c>
      <c r="V167" s="7">
        <v>0</v>
      </c>
      <c r="W167" s="7">
        <v>154148.68</v>
      </c>
      <c r="X167" s="7">
        <v>0</v>
      </c>
      <c r="Y167" s="7">
        <v>-29724.32</v>
      </c>
      <c r="Z167" s="10" t="str">
        <f t="shared" si="4"/>
        <v>Piping</v>
      </c>
      <c r="AA167" s="24" t="str">
        <f t="shared" si="5"/>
        <v xml:space="preserve"> 3971. LAX People Mover</v>
      </c>
    </row>
    <row r="168" spans="1:27" x14ac:dyDescent="0.2">
      <c r="A168" s="5" t="s">
        <v>298</v>
      </c>
      <c r="B168" s="5" t="s">
        <v>27</v>
      </c>
      <c r="C168" s="5" t="s">
        <v>229</v>
      </c>
      <c r="D168" s="5" t="s">
        <v>125</v>
      </c>
      <c r="E168" s="5" t="s">
        <v>88</v>
      </c>
      <c r="F168" s="5" t="s">
        <v>18</v>
      </c>
      <c r="G168" s="12" t="s">
        <v>164</v>
      </c>
      <c r="H168" s="12"/>
      <c r="I168" s="6">
        <v>0</v>
      </c>
      <c r="J168" s="6">
        <v>0</v>
      </c>
      <c r="K168" s="6">
        <v>0</v>
      </c>
      <c r="L168" s="16">
        <v>0</v>
      </c>
      <c r="M168" s="5"/>
      <c r="N168" s="9">
        <v>140</v>
      </c>
      <c r="O168" s="6">
        <v>234</v>
      </c>
      <c r="P168" s="6">
        <v>234</v>
      </c>
      <c r="Q168" s="6">
        <v>0</v>
      </c>
      <c r="R168" s="16">
        <v>94</v>
      </c>
      <c r="S168" s="5"/>
      <c r="T168" s="17">
        <v>12600</v>
      </c>
      <c r="U168" s="7">
        <v>20012.54</v>
      </c>
      <c r="V168" s="7">
        <v>0</v>
      </c>
      <c r="W168" s="7">
        <v>20220.25</v>
      </c>
      <c r="X168" s="7">
        <v>207.71</v>
      </c>
      <c r="Y168" s="7">
        <v>7620.25</v>
      </c>
      <c r="Z168" s="10" t="str">
        <f t="shared" si="4"/>
        <v>Piping</v>
      </c>
      <c r="AA168" s="24" t="str">
        <f t="shared" si="5"/>
        <v xml:space="preserve"> 3971. LAX People Mover</v>
      </c>
    </row>
    <row r="169" spans="1:27" x14ac:dyDescent="0.2">
      <c r="A169" s="5" t="s">
        <v>298</v>
      </c>
      <c r="B169" s="5" t="s">
        <v>27</v>
      </c>
      <c r="C169" s="5" t="s">
        <v>229</v>
      </c>
      <c r="D169" s="5" t="s">
        <v>125</v>
      </c>
      <c r="E169" s="5" t="s">
        <v>88</v>
      </c>
      <c r="F169" s="5" t="s">
        <v>25</v>
      </c>
      <c r="G169" s="12" t="s">
        <v>164</v>
      </c>
      <c r="H169" s="12"/>
      <c r="I169" s="6">
        <v>0</v>
      </c>
      <c r="J169" s="6">
        <v>25</v>
      </c>
      <c r="K169" s="6">
        <v>0</v>
      </c>
      <c r="L169" s="16">
        <v>-25</v>
      </c>
      <c r="M169" s="5"/>
      <c r="N169" s="9">
        <v>0</v>
      </c>
      <c r="O169" s="6">
        <v>0</v>
      </c>
      <c r="P169" s="6">
        <v>0</v>
      </c>
      <c r="Q169" s="6">
        <v>0</v>
      </c>
      <c r="R169" s="16">
        <v>0</v>
      </c>
      <c r="S169" s="5"/>
      <c r="T169" s="17">
        <v>282002</v>
      </c>
      <c r="U169" s="7">
        <v>204127.96</v>
      </c>
      <c r="V169" s="7">
        <v>0</v>
      </c>
      <c r="W169" s="7">
        <v>204531.71</v>
      </c>
      <c r="X169" s="7">
        <v>403.75</v>
      </c>
      <c r="Y169" s="7">
        <v>-77470.289999999994</v>
      </c>
      <c r="Z169" s="10" t="str">
        <f t="shared" si="4"/>
        <v>Piping</v>
      </c>
      <c r="AA169" s="24" t="str">
        <f t="shared" si="5"/>
        <v xml:space="preserve"> 3971. LAX People Mover</v>
      </c>
    </row>
    <row r="170" spans="1:27" x14ac:dyDescent="0.2">
      <c r="A170" s="5" t="s">
        <v>299</v>
      </c>
      <c r="B170" s="5" t="s">
        <v>27</v>
      </c>
      <c r="C170" s="5" t="s">
        <v>231</v>
      </c>
      <c r="D170" s="5" t="s">
        <v>125</v>
      </c>
      <c r="E170" s="5" t="s">
        <v>88</v>
      </c>
      <c r="F170" s="5" t="s">
        <v>18</v>
      </c>
      <c r="G170" s="12" t="s">
        <v>164</v>
      </c>
      <c r="H170" s="12"/>
      <c r="I170" s="6">
        <v>0</v>
      </c>
      <c r="J170" s="6">
        <v>0</v>
      </c>
      <c r="K170" s="6">
        <v>0</v>
      </c>
      <c r="L170" s="16">
        <v>0</v>
      </c>
      <c r="M170" s="5"/>
      <c r="N170" s="9">
        <v>126</v>
      </c>
      <c r="O170" s="6">
        <v>573</v>
      </c>
      <c r="P170" s="6">
        <v>573</v>
      </c>
      <c r="Q170" s="6">
        <v>0</v>
      </c>
      <c r="R170" s="16">
        <v>447</v>
      </c>
      <c r="S170" s="5"/>
      <c r="T170" s="17">
        <v>11340</v>
      </c>
      <c r="U170" s="7">
        <v>41578.57</v>
      </c>
      <c r="V170" s="7">
        <v>0</v>
      </c>
      <c r="W170" s="7">
        <v>41578.57</v>
      </c>
      <c r="X170" s="7">
        <v>0</v>
      </c>
      <c r="Y170" s="7">
        <v>30238.57</v>
      </c>
      <c r="Z170" s="10" t="str">
        <f t="shared" si="4"/>
        <v>Piping</v>
      </c>
      <c r="AA170" s="24" t="str">
        <f t="shared" si="5"/>
        <v xml:space="preserve"> 3971. LAX People Mover</v>
      </c>
    </row>
    <row r="171" spans="1:27" x14ac:dyDescent="0.2">
      <c r="A171" s="5" t="s">
        <v>299</v>
      </c>
      <c r="B171" s="5" t="s">
        <v>27</v>
      </c>
      <c r="C171" s="5" t="s">
        <v>231</v>
      </c>
      <c r="D171" s="5" t="s">
        <v>125</v>
      </c>
      <c r="E171" s="5" t="s">
        <v>88</v>
      </c>
      <c r="F171" s="5" t="s">
        <v>25</v>
      </c>
      <c r="G171" s="12" t="s">
        <v>164</v>
      </c>
      <c r="H171" s="12"/>
      <c r="I171" s="6">
        <v>0</v>
      </c>
      <c r="J171" s="6">
        <v>0</v>
      </c>
      <c r="K171" s="6">
        <v>0</v>
      </c>
      <c r="L171" s="16">
        <v>0</v>
      </c>
      <c r="M171" s="5"/>
      <c r="N171" s="9">
        <v>0</v>
      </c>
      <c r="O171" s="6">
        <v>0</v>
      </c>
      <c r="P171" s="6">
        <v>0</v>
      </c>
      <c r="Q171" s="6">
        <v>0</v>
      </c>
      <c r="R171" s="16">
        <v>0</v>
      </c>
      <c r="S171" s="5"/>
      <c r="T171" s="17">
        <v>282002</v>
      </c>
      <c r="U171" s="7">
        <v>166809.82999999999</v>
      </c>
      <c r="V171" s="7">
        <v>6337.94</v>
      </c>
      <c r="W171" s="7">
        <v>174311.28</v>
      </c>
      <c r="X171" s="7">
        <v>7501.45</v>
      </c>
      <c r="Y171" s="7">
        <v>-107690.72</v>
      </c>
      <c r="Z171" s="10" t="str">
        <f t="shared" si="4"/>
        <v>Piping</v>
      </c>
      <c r="AA171" s="24" t="str">
        <f t="shared" si="5"/>
        <v xml:space="preserve"> 3971. LAX People Mover</v>
      </c>
    </row>
    <row r="172" spans="1:27" x14ac:dyDescent="0.2">
      <c r="A172" s="5" t="s">
        <v>300</v>
      </c>
      <c r="B172" s="5" t="s">
        <v>27</v>
      </c>
      <c r="C172" s="5" t="s">
        <v>233</v>
      </c>
      <c r="D172" s="5" t="s">
        <v>125</v>
      </c>
      <c r="E172" s="5" t="s">
        <v>88</v>
      </c>
      <c r="F172" s="5" t="s">
        <v>18</v>
      </c>
      <c r="G172" s="12" t="s">
        <v>164</v>
      </c>
      <c r="H172" s="12"/>
      <c r="I172" s="6">
        <v>0</v>
      </c>
      <c r="J172" s="6">
        <v>0</v>
      </c>
      <c r="K172" s="6">
        <v>0</v>
      </c>
      <c r="L172" s="16">
        <v>0</v>
      </c>
      <c r="M172" s="5"/>
      <c r="N172" s="9">
        <v>27</v>
      </c>
      <c r="O172" s="6">
        <v>149</v>
      </c>
      <c r="P172" s="6">
        <v>173</v>
      </c>
      <c r="Q172" s="6">
        <v>24</v>
      </c>
      <c r="R172" s="16">
        <v>146</v>
      </c>
      <c r="S172" s="5"/>
      <c r="T172" s="17">
        <v>2430</v>
      </c>
      <c r="U172" s="7">
        <v>13416.4</v>
      </c>
      <c r="V172" s="7">
        <v>0</v>
      </c>
      <c r="W172" s="7">
        <v>15577.43</v>
      </c>
      <c r="X172" s="7">
        <v>2161.0300000000002</v>
      </c>
      <c r="Y172" s="7">
        <v>13147.43</v>
      </c>
      <c r="Z172" s="10" t="str">
        <f t="shared" si="4"/>
        <v>Piping</v>
      </c>
      <c r="AA172" s="24" t="str">
        <f t="shared" si="5"/>
        <v xml:space="preserve"> 3971. LAX People Mover</v>
      </c>
    </row>
    <row r="173" spans="1:27" x14ac:dyDescent="0.2">
      <c r="A173" s="5" t="s">
        <v>300</v>
      </c>
      <c r="B173" s="5" t="s">
        <v>27</v>
      </c>
      <c r="C173" s="5" t="s">
        <v>233</v>
      </c>
      <c r="D173" s="5" t="s">
        <v>125</v>
      </c>
      <c r="E173" s="5" t="s">
        <v>88</v>
      </c>
      <c r="F173" s="5" t="s">
        <v>25</v>
      </c>
      <c r="G173" s="12" t="s">
        <v>164</v>
      </c>
      <c r="H173" s="12"/>
      <c r="I173" s="6">
        <v>0</v>
      </c>
      <c r="J173" s="6">
        <v>0</v>
      </c>
      <c r="K173" s="6">
        <v>0</v>
      </c>
      <c r="L173" s="16">
        <v>0</v>
      </c>
      <c r="M173" s="5"/>
      <c r="N173" s="9">
        <v>0</v>
      </c>
      <c r="O173" s="6">
        <v>0</v>
      </c>
      <c r="P173" s="6">
        <v>0</v>
      </c>
      <c r="Q173" s="6">
        <v>0</v>
      </c>
      <c r="R173" s="16">
        <v>0</v>
      </c>
      <c r="S173" s="5"/>
      <c r="T173" s="17">
        <v>69286.13</v>
      </c>
      <c r="U173" s="7">
        <v>50146.84</v>
      </c>
      <c r="V173" s="7">
        <v>0</v>
      </c>
      <c r="W173" s="7">
        <v>50146.84</v>
      </c>
      <c r="X173" s="7">
        <v>0</v>
      </c>
      <c r="Y173" s="7">
        <v>-19139.29</v>
      </c>
      <c r="Z173" s="10" t="str">
        <f t="shared" si="4"/>
        <v>Piping</v>
      </c>
      <c r="AA173" s="24" t="str">
        <f t="shared" si="5"/>
        <v xml:space="preserve"> 3971. LAX People Mover</v>
      </c>
    </row>
    <row r="174" spans="1:27" x14ac:dyDescent="0.2">
      <c r="A174" s="5" t="s">
        <v>301</v>
      </c>
      <c r="B174" s="5" t="s">
        <v>27</v>
      </c>
      <c r="C174" s="5" t="s">
        <v>235</v>
      </c>
      <c r="D174" s="5" t="s">
        <v>125</v>
      </c>
      <c r="E174" s="5" t="s">
        <v>88</v>
      </c>
      <c r="F174" s="5" t="s">
        <v>18</v>
      </c>
      <c r="G174" s="12" t="s">
        <v>164</v>
      </c>
      <c r="H174" s="12"/>
      <c r="I174" s="6">
        <v>0</v>
      </c>
      <c r="J174" s="6">
        <v>0</v>
      </c>
      <c r="K174" s="6">
        <v>0</v>
      </c>
      <c r="L174" s="16">
        <v>0</v>
      </c>
      <c r="M174" s="5"/>
      <c r="N174" s="9">
        <v>27</v>
      </c>
      <c r="O174" s="6">
        <v>134</v>
      </c>
      <c r="P174" s="6">
        <v>158</v>
      </c>
      <c r="Q174" s="6">
        <v>24</v>
      </c>
      <c r="R174" s="16">
        <v>131</v>
      </c>
      <c r="S174" s="5"/>
      <c r="T174" s="17">
        <v>2430</v>
      </c>
      <c r="U174" s="7">
        <v>11832.87</v>
      </c>
      <c r="V174" s="7">
        <v>0</v>
      </c>
      <c r="W174" s="7">
        <v>13952.19</v>
      </c>
      <c r="X174" s="7">
        <v>2119.3200000000002</v>
      </c>
      <c r="Y174" s="7">
        <v>11522.19</v>
      </c>
      <c r="Z174" s="10" t="str">
        <f t="shared" si="4"/>
        <v>Piping</v>
      </c>
      <c r="AA174" s="24" t="str">
        <f t="shared" si="5"/>
        <v xml:space="preserve"> 3971. LAX People Mover</v>
      </c>
    </row>
    <row r="175" spans="1:27" x14ac:dyDescent="0.2">
      <c r="A175" s="5" t="s">
        <v>301</v>
      </c>
      <c r="B175" s="5" t="s">
        <v>27</v>
      </c>
      <c r="C175" s="5" t="s">
        <v>235</v>
      </c>
      <c r="D175" s="5" t="s">
        <v>125</v>
      </c>
      <c r="E175" s="5" t="s">
        <v>88</v>
      </c>
      <c r="F175" s="5" t="s">
        <v>25</v>
      </c>
      <c r="G175" s="12" t="s">
        <v>164</v>
      </c>
      <c r="H175" s="12"/>
      <c r="I175" s="6">
        <v>0</v>
      </c>
      <c r="J175" s="6">
        <v>0</v>
      </c>
      <c r="K175" s="6">
        <v>0</v>
      </c>
      <c r="L175" s="16">
        <v>0</v>
      </c>
      <c r="M175" s="5"/>
      <c r="N175" s="9">
        <v>0</v>
      </c>
      <c r="O175" s="6">
        <v>0</v>
      </c>
      <c r="P175" s="6">
        <v>0</v>
      </c>
      <c r="Q175" s="6">
        <v>0</v>
      </c>
      <c r="R175" s="16">
        <v>0</v>
      </c>
      <c r="S175" s="5"/>
      <c r="T175" s="17">
        <v>69286</v>
      </c>
      <c r="U175" s="7">
        <v>49652.28</v>
      </c>
      <c r="V175" s="7">
        <v>0</v>
      </c>
      <c r="W175" s="7">
        <v>49652.28</v>
      </c>
      <c r="X175" s="7">
        <v>0</v>
      </c>
      <c r="Y175" s="7">
        <v>-19633.72</v>
      </c>
      <c r="Z175" s="10" t="str">
        <f t="shared" si="4"/>
        <v>Piping</v>
      </c>
      <c r="AA175" s="24" t="str">
        <f t="shared" si="5"/>
        <v xml:space="preserve"> 3971. LAX People Mover</v>
      </c>
    </row>
    <row r="176" spans="1:27" x14ac:dyDescent="0.2">
      <c r="A176" s="5" t="s">
        <v>302</v>
      </c>
      <c r="B176" s="5" t="s">
        <v>27</v>
      </c>
      <c r="C176" s="5" t="s">
        <v>237</v>
      </c>
      <c r="D176" s="5" t="s">
        <v>125</v>
      </c>
      <c r="E176" s="5" t="s">
        <v>88</v>
      </c>
      <c r="F176" s="5" t="s">
        <v>18</v>
      </c>
      <c r="G176" s="12" t="s">
        <v>164</v>
      </c>
      <c r="H176" s="12"/>
      <c r="I176" s="6">
        <v>0</v>
      </c>
      <c r="J176" s="6">
        <v>0</v>
      </c>
      <c r="K176" s="6">
        <v>0</v>
      </c>
      <c r="L176" s="16">
        <v>0</v>
      </c>
      <c r="M176" s="5"/>
      <c r="N176" s="9">
        <v>581</v>
      </c>
      <c r="O176" s="6">
        <v>1187</v>
      </c>
      <c r="P176" s="6">
        <v>1187</v>
      </c>
      <c r="Q176" s="6">
        <v>0</v>
      </c>
      <c r="R176" s="16">
        <v>606</v>
      </c>
      <c r="S176" s="5"/>
      <c r="T176" s="17">
        <v>52290</v>
      </c>
      <c r="U176" s="7">
        <v>104673.49</v>
      </c>
      <c r="V176" s="7">
        <v>0</v>
      </c>
      <c r="W176" s="7">
        <v>104673.49</v>
      </c>
      <c r="X176" s="7">
        <v>0</v>
      </c>
      <c r="Y176" s="7">
        <v>52383.49</v>
      </c>
      <c r="Z176" s="10" t="str">
        <f t="shared" si="4"/>
        <v>Piping</v>
      </c>
      <c r="AA176" s="24" t="str">
        <f t="shared" si="5"/>
        <v xml:space="preserve"> 3971. LAX People Mover</v>
      </c>
    </row>
    <row r="177" spans="1:27" x14ac:dyDescent="0.2">
      <c r="A177" s="5" t="s">
        <v>302</v>
      </c>
      <c r="B177" s="5" t="s">
        <v>27</v>
      </c>
      <c r="C177" s="5" t="s">
        <v>237</v>
      </c>
      <c r="D177" s="5" t="s">
        <v>125</v>
      </c>
      <c r="E177" s="5" t="s">
        <v>88</v>
      </c>
      <c r="F177" s="5" t="s">
        <v>25</v>
      </c>
      <c r="G177" s="12" t="s">
        <v>164</v>
      </c>
      <c r="H177" s="12"/>
      <c r="I177" s="6">
        <v>0</v>
      </c>
      <c r="J177" s="6">
        <v>53</v>
      </c>
      <c r="K177" s="6">
        <v>0</v>
      </c>
      <c r="L177" s="16">
        <v>-53</v>
      </c>
      <c r="M177" s="5"/>
      <c r="N177" s="9">
        <v>0</v>
      </c>
      <c r="O177" s="6">
        <v>0</v>
      </c>
      <c r="P177" s="6">
        <v>0</v>
      </c>
      <c r="Q177" s="6">
        <v>0</v>
      </c>
      <c r="R177" s="16">
        <v>0</v>
      </c>
      <c r="S177" s="5"/>
      <c r="T177" s="17">
        <v>887679</v>
      </c>
      <c r="U177" s="7">
        <v>843201.15</v>
      </c>
      <c r="V177" s="7">
        <v>23560.74</v>
      </c>
      <c r="W177" s="7">
        <v>869960.74</v>
      </c>
      <c r="X177" s="7">
        <v>26759.59</v>
      </c>
      <c r="Y177" s="7">
        <v>-17718.259999999998</v>
      </c>
      <c r="Z177" s="10" t="str">
        <f t="shared" si="4"/>
        <v>Piping</v>
      </c>
      <c r="AA177" s="24" t="str">
        <f t="shared" si="5"/>
        <v xml:space="preserve"> 3971. LAX People Mover</v>
      </c>
    </row>
    <row r="178" spans="1:27" x14ac:dyDescent="0.2">
      <c r="A178" s="5" t="s">
        <v>303</v>
      </c>
      <c r="B178" s="5" t="s">
        <v>27</v>
      </c>
      <c r="C178" s="5" t="s">
        <v>239</v>
      </c>
      <c r="D178" s="5" t="s">
        <v>125</v>
      </c>
      <c r="E178" s="5" t="s">
        <v>88</v>
      </c>
      <c r="F178" s="5" t="s">
        <v>18</v>
      </c>
      <c r="G178" s="12" t="s">
        <v>164</v>
      </c>
      <c r="H178" s="12"/>
      <c r="I178" s="6">
        <v>0</v>
      </c>
      <c r="J178" s="6">
        <v>0</v>
      </c>
      <c r="K178" s="6">
        <v>0</v>
      </c>
      <c r="L178" s="16">
        <v>0</v>
      </c>
      <c r="M178" s="5"/>
      <c r="N178" s="9">
        <v>168</v>
      </c>
      <c r="O178" s="6">
        <v>269</v>
      </c>
      <c r="P178" s="6">
        <v>269</v>
      </c>
      <c r="Q178" s="6">
        <v>0</v>
      </c>
      <c r="R178" s="16">
        <v>101</v>
      </c>
      <c r="S178" s="5"/>
      <c r="T178" s="17">
        <v>15120</v>
      </c>
      <c r="U178" s="7">
        <v>23218.880000000001</v>
      </c>
      <c r="V178" s="7">
        <v>0</v>
      </c>
      <c r="W178" s="7">
        <v>23218.880000000001</v>
      </c>
      <c r="X178" s="7">
        <v>0</v>
      </c>
      <c r="Y178" s="7">
        <v>8098.88</v>
      </c>
      <c r="Z178" s="10" t="str">
        <f t="shared" si="4"/>
        <v>Piping</v>
      </c>
      <c r="AA178" s="24" t="str">
        <f t="shared" si="5"/>
        <v xml:space="preserve"> 3971. LAX People Mover</v>
      </c>
    </row>
    <row r="179" spans="1:27" x14ac:dyDescent="0.2">
      <c r="A179" s="5" t="s">
        <v>303</v>
      </c>
      <c r="B179" s="5" t="s">
        <v>27</v>
      </c>
      <c r="C179" s="5" t="s">
        <v>239</v>
      </c>
      <c r="D179" s="5" t="s">
        <v>125</v>
      </c>
      <c r="E179" s="5" t="s">
        <v>88</v>
      </c>
      <c r="F179" s="5" t="s">
        <v>25</v>
      </c>
      <c r="G179" s="12" t="s">
        <v>164</v>
      </c>
      <c r="H179" s="12"/>
      <c r="I179" s="6">
        <v>0</v>
      </c>
      <c r="J179" s="6">
        <v>0</v>
      </c>
      <c r="K179" s="6">
        <v>0</v>
      </c>
      <c r="L179" s="16">
        <v>0</v>
      </c>
      <c r="M179" s="5"/>
      <c r="N179" s="9">
        <v>0</v>
      </c>
      <c r="O179" s="6">
        <v>0</v>
      </c>
      <c r="P179" s="6">
        <v>0</v>
      </c>
      <c r="Q179" s="6">
        <v>0</v>
      </c>
      <c r="R179" s="16">
        <v>0</v>
      </c>
      <c r="S179" s="5"/>
      <c r="T179" s="17">
        <v>371954</v>
      </c>
      <c r="U179" s="7">
        <v>222038.05</v>
      </c>
      <c r="V179" s="7">
        <v>16.16</v>
      </c>
      <c r="W179" s="7">
        <v>222054.21</v>
      </c>
      <c r="X179" s="7">
        <v>16.16</v>
      </c>
      <c r="Y179" s="7">
        <v>-149899.79</v>
      </c>
      <c r="Z179" s="10" t="str">
        <f t="shared" si="4"/>
        <v>Piping</v>
      </c>
      <c r="AA179" s="24" t="str">
        <f t="shared" si="5"/>
        <v xml:space="preserve"> 3971. LAX People Mover</v>
      </c>
    </row>
    <row r="180" spans="1:27" x14ac:dyDescent="0.2">
      <c r="A180" s="5" t="s">
        <v>304</v>
      </c>
      <c r="B180" s="5" t="s">
        <v>305</v>
      </c>
      <c r="C180" s="5" t="s">
        <v>225</v>
      </c>
      <c r="D180" s="5" t="s">
        <v>125</v>
      </c>
      <c r="E180" s="5" t="s">
        <v>88</v>
      </c>
      <c r="F180" s="5" t="s">
        <v>25</v>
      </c>
      <c r="G180" s="12" t="s">
        <v>164</v>
      </c>
      <c r="H180" s="12"/>
      <c r="I180" s="6">
        <v>0</v>
      </c>
      <c r="J180" s="6">
        <v>2</v>
      </c>
      <c r="K180" s="6">
        <v>0</v>
      </c>
      <c r="L180" s="16">
        <v>-2</v>
      </c>
      <c r="M180" s="5"/>
      <c r="N180" s="9">
        <v>0</v>
      </c>
      <c r="O180" s="6">
        <v>0</v>
      </c>
      <c r="P180" s="6">
        <v>0</v>
      </c>
      <c r="Q180" s="6">
        <v>0</v>
      </c>
      <c r="R180" s="16">
        <v>0</v>
      </c>
      <c r="S180" s="5"/>
      <c r="T180" s="17">
        <v>50869.27</v>
      </c>
      <c r="U180" s="7">
        <v>31454.98</v>
      </c>
      <c r="V180" s="7">
        <v>0</v>
      </c>
      <c r="W180" s="7">
        <v>31454.98</v>
      </c>
      <c r="X180" s="7">
        <v>0</v>
      </c>
      <c r="Y180" s="7">
        <v>-19414.29</v>
      </c>
      <c r="Z180" s="10" t="str">
        <f t="shared" si="4"/>
        <v>Piping</v>
      </c>
      <c r="AA180" s="24" t="str">
        <f t="shared" si="5"/>
        <v xml:space="preserve"> 3971. LAX People Mover</v>
      </c>
    </row>
    <row r="181" spans="1:27" x14ac:dyDescent="0.2">
      <c r="A181" s="5" t="s">
        <v>306</v>
      </c>
      <c r="B181" s="5" t="s">
        <v>305</v>
      </c>
      <c r="C181" s="5" t="s">
        <v>237</v>
      </c>
      <c r="D181" s="5" t="s">
        <v>125</v>
      </c>
      <c r="E181" s="5" t="s">
        <v>88</v>
      </c>
      <c r="F181" s="5" t="s">
        <v>25</v>
      </c>
      <c r="G181" s="12" t="s">
        <v>164</v>
      </c>
      <c r="H181" s="12"/>
      <c r="I181" s="6">
        <v>0</v>
      </c>
      <c r="J181" s="6">
        <v>2</v>
      </c>
      <c r="K181" s="6">
        <v>0</v>
      </c>
      <c r="L181" s="16">
        <v>-2</v>
      </c>
      <c r="M181" s="5"/>
      <c r="N181" s="9">
        <v>0</v>
      </c>
      <c r="O181" s="6">
        <v>0</v>
      </c>
      <c r="P181" s="6">
        <v>0</v>
      </c>
      <c r="Q181" s="6">
        <v>0</v>
      </c>
      <c r="R181" s="16">
        <v>0</v>
      </c>
      <c r="S181" s="5"/>
      <c r="T181" s="17">
        <v>9855</v>
      </c>
      <c r="U181" s="7">
        <v>8774.0300000000007</v>
      </c>
      <c r="V181" s="7">
        <v>0</v>
      </c>
      <c r="W181" s="7">
        <v>8774.0300000000007</v>
      </c>
      <c r="X181" s="7">
        <v>0</v>
      </c>
      <c r="Y181" s="7">
        <v>-1080.97</v>
      </c>
      <c r="Z181" s="10" t="str">
        <f t="shared" si="4"/>
        <v>Piping</v>
      </c>
      <c r="AA181" s="24" t="str">
        <f t="shared" si="5"/>
        <v xml:space="preserve"> 3971. LAX People Mover</v>
      </c>
    </row>
    <row r="182" spans="1:27" x14ac:dyDescent="0.2">
      <c r="A182" s="5" t="s">
        <v>307</v>
      </c>
      <c r="B182" s="5" t="s">
        <v>308</v>
      </c>
      <c r="C182" s="5" t="s">
        <v>225</v>
      </c>
      <c r="D182" s="5" t="s">
        <v>125</v>
      </c>
      <c r="E182" s="5" t="s">
        <v>88</v>
      </c>
      <c r="F182" s="5" t="s">
        <v>25</v>
      </c>
      <c r="G182" s="12" t="s">
        <v>164</v>
      </c>
      <c r="H182" s="12"/>
      <c r="I182" s="6">
        <v>0</v>
      </c>
      <c r="J182" s="6">
        <v>24</v>
      </c>
      <c r="K182" s="6">
        <v>0</v>
      </c>
      <c r="L182" s="16">
        <v>-24</v>
      </c>
      <c r="M182" s="5"/>
      <c r="N182" s="9">
        <v>0</v>
      </c>
      <c r="O182" s="6">
        <v>0</v>
      </c>
      <c r="P182" s="6">
        <v>0</v>
      </c>
      <c r="Q182" s="6">
        <v>0</v>
      </c>
      <c r="R182" s="16">
        <v>0</v>
      </c>
      <c r="S182" s="5"/>
      <c r="T182" s="17">
        <v>94527</v>
      </c>
      <c r="U182" s="7">
        <v>29220.52</v>
      </c>
      <c r="V182" s="7">
        <v>0</v>
      </c>
      <c r="W182" s="7">
        <v>29220.52</v>
      </c>
      <c r="X182" s="7">
        <v>0</v>
      </c>
      <c r="Y182" s="7">
        <v>-65306.48</v>
      </c>
      <c r="Z182" s="10" t="str">
        <f t="shared" si="4"/>
        <v>Piping</v>
      </c>
      <c r="AA182" s="24" t="str">
        <f t="shared" si="5"/>
        <v xml:space="preserve"> 3971. LAX People Mover</v>
      </c>
    </row>
    <row r="183" spans="1:27" x14ac:dyDescent="0.2">
      <c r="A183" s="5" t="s">
        <v>309</v>
      </c>
      <c r="B183" s="5" t="s">
        <v>308</v>
      </c>
      <c r="C183" s="5" t="s">
        <v>122</v>
      </c>
      <c r="D183" s="5" t="s">
        <v>125</v>
      </c>
      <c r="E183" s="5" t="s">
        <v>88</v>
      </c>
      <c r="F183" s="5" t="s">
        <v>25</v>
      </c>
      <c r="G183" s="12" t="s">
        <v>164</v>
      </c>
      <c r="H183" s="12"/>
      <c r="I183" s="6">
        <v>0</v>
      </c>
      <c r="J183" s="6">
        <v>0</v>
      </c>
      <c r="K183" s="6">
        <v>0</v>
      </c>
      <c r="L183" s="16">
        <v>0</v>
      </c>
      <c r="M183" s="5"/>
      <c r="N183" s="9">
        <v>0</v>
      </c>
      <c r="O183" s="6">
        <v>0</v>
      </c>
      <c r="P183" s="6">
        <v>0</v>
      </c>
      <c r="Q183" s="6">
        <v>0</v>
      </c>
      <c r="R183" s="16">
        <v>0</v>
      </c>
      <c r="S183" s="5"/>
      <c r="T183" s="17">
        <v>12619.88</v>
      </c>
      <c r="U183" s="7">
        <v>11188.21</v>
      </c>
      <c r="V183" s="7">
        <v>0</v>
      </c>
      <c r="W183" s="7">
        <v>11188.21</v>
      </c>
      <c r="X183" s="7">
        <v>0</v>
      </c>
      <c r="Y183" s="7">
        <v>-1431.67</v>
      </c>
      <c r="Z183" s="10" t="str">
        <f t="shared" si="4"/>
        <v>Piping</v>
      </c>
      <c r="AA183" s="24" t="str">
        <f t="shared" si="5"/>
        <v xml:space="preserve"> 3971. LAX People Mover</v>
      </c>
    </row>
    <row r="184" spans="1:27" x14ac:dyDescent="0.2">
      <c r="A184" s="5" t="s">
        <v>310</v>
      </c>
      <c r="B184" s="5" t="s">
        <v>308</v>
      </c>
      <c r="C184" s="5" t="s">
        <v>227</v>
      </c>
      <c r="D184" s="5" t="s">
        <v>125</v>
      </c>
      <c r="E184" s="5" t="s">
        <v>88</v>
      </c>
      <c r="F184" s="5" t="s">
        <v>25</v>
      </c>
      <c r="G184" s="12" t="s">
        <v>164</v>
      </c>
      <c r="H184" s="12"/>
      <c r="I184" s="6">
        <v>0</v>
      </c>
      <c r="J184" s="6">
        <v>5</v>
      </c>
      <c r="K184" s="6">
        <v>0</v>
      </c>
      <c r="L184" s="16">
        <v>-5</v>
      </c>
      <c r="M184" s="5"/>
      <c r="N184" s="9">
        <v>0</v>
      </c>
      <c r="O184" s="6">
        <v>0</v>
      </c>
      <c r="P184" s="6">
        <v>0</v>
      </c>
      <c r="Q184" s="6">
        <v>0</v>
      </c>
      <c r="R184" s="16">
        <v>0</v>
      </c>
      <c r="S184" s="5"/>
      <c r="T184" s="17">
        <v>57738</v>
      </c>
      <c r="U184" s="7">
        <v>1345.63</v>
      </c>
      <c r="V184" s="7">
        <v>0</v>
      </c>
      <c r="W184" s="7">
        <v>1345.63</v>
      </c>
      <c r="X184" s="7">
        <v>0</v>
      </c>
      <c r="Y184" s="7">
        <v>-56392.37</v>
      </c>
      <c r="Z184" s="10" t="str">
        <f t="shared" si="4"/>
        <v>Piping</v>
      </c>
      <c r="AA184" s="24" t="str">
        <f t="shared" si="5"/>
        <v xml:space="preserve"> 3971. LAX People Mover</v>
      </c>
    </row>
    <row r="185" spans="1:27" x14ac:dyDescent="0.2">
      <c r="A185" s="5" t="s">
        <v>311</v>
      </c>
      <c r="B185" s="5" t="s">
        <v>308</v>
      </c>
      <c r="C185" s="5" t="s">
        <v>245</v>
      </c>
      <c r="D185" s="5" t="s">
        <v>125</v>
      </c>
      <c r="E185" s="5" t="s">
        <v>88</v>
      </c>
      <c r="F185" s="5" t="s">
        <v>25</v>
      </c>
      <c r="G185" s="12" t="s">
        <v>164</v>
      </c>
      <c r="H185" s="12"/>
      <c r="I185" s="6">
        <v>0</v>
      </c>
      <c r="J185" s="6">
        <v>17</v>
      </c>
      <c r="K185" s="6">
        <v>0</v>
      </c>
      <c r="L185" s="16">
        <v>-17</v>
      </c>
      <c r="M185" s="5"/>
      <c r="N185" s="9">
        <v>0</v>
      </c>
      <c r="O185" s="6">
        <v>0</v>
      </c>
      <c r="P185" s="6">
        <v>0</v>
      </c>
      <c r="Q185" s="6">
        <v>0</v>
      </c>
      <c r="R185" s="16">
        <v>0</v>
      </c>
      <c r="S185" s="5"/>
      <c r="T185" s="17">
        <v>24178</v>
      </c>
      <c r="U185" s="7">
        <v>1857.52</v>
      </c>
      <c r="V185" s="7">
        <v>383.25</v>
      </c>
      <c r="W185" s="7">
        <v>2240.77</v>
      </c>
      <c r="X185" s="7">
        <v>383.25</v>
      </c>
      <c r="Y185" s="7">
        <v>-21937.23</v>
      </c>
      <c r="Z185" s="10" t="str">
        <f t="shared" si="4"/>
        <v>Piping</v>
      </c>
      <c r="AA185" s="24" t="str">
        <f t="shared" si="5"/>
        <v xml:space="preserve"> 3971. LAX People Mover</v>
      </c>
    </row>
    <row r="186" spans="1:27" x14ac:dyDescent="0.2">
      <c r="A186" s="5" t="s">
        <v>312</v>
      </c>
      <c r="B186" s="5" t="s">
        <v>308</v>
      </c>
      <c r="C186" s="5" t="s">
        <v>229</v>
      </c>
      <c r="D186" s="5" t="s">
        <v>125</v>
      </c>
      <c r="E186" s="5" t="s">
        <v>88</v>
      </c>
      <c r="F186" s="5" t="s">
        <v>25</v>
      </c>
      <c r="G186" s="12" t="s">
        <v>164</v>
      </c>
      <c r="H186" s="12"/>
      <c r="I186" s="6">
        <v>0</v>
      </c>
      <c r="J186" s="6">
        <v>0</v>
      </c>
      <c r="K186" s="6">
        <v>0</v>
      </c>
      <c r="L186" s="16">
        <v>0</v>
      </c>
      <c r="M186" s="5"/>
      <c r="N186" s="9">
        <v>0</v>
      </c>
      <c r="O186" s="6">
        <v>0</v>
      </c>
      <c r="P186" s="6">
        <v>0</v>
      </c>
      <c r="Q186" s="6">
        <v>0</v>
      </c>
      <c r="R186" s="16">
        <v>0</v>
      </c>
      <c r="S186" s="5"/>
      <c r="T186" s="17">
        <v>40404</v>
      </c>
      <c r="U186" s="7">
        <v>33143</v>
      </c>
      <c r="V186" s="7">
        <v>697.56</v>
      </c>
      <c r="W186" s="7">
        <v>33840.559999999998</v>
      </c>
      <c r="X186" s="7">
        <v>697.56</v>
      </c>
      <c r="Y186" s="7">
        <v>-6563.44</v>
      </c>
      <c r="Z186" s="10" t="str">
        <f t="shared" si="4"/>
        <v>Piping</v>
      </c>
      <c r="AA186" s="24" t="str">
        <f t="shared" si="5"/>
        <v xml:space="preserve"> 3971. LAX People Mover</v>
      </c>
    </row>
    <row r="187" spans="1:27" x14ac:dyDescent="0.2">
      <c r="A187" s="5" t="s">
        <v>313</v>
      </c>
      <c r="B187" s="5" t="s">
        <v>308</v>
      </c>
      <c r="C187" s="5" t="s">
        <v>231</v>
      </c>
      <c r="D187" s="5" t="s">
        <v>125</v>
      </c>
      <c r="E187" s="5" t="s">
        <v>88</v>
      </c>
      <c r="F187" s="5" t="s">
        <v>25</v>
      </c>
      <c r="G187" s="12" t="s">
        <v>164</v>
      </c>
      <c r="H187" s="12"/>
      <c r="I187" s="6">
        <v>0</v>
      </c>
      <c r="J187" s="6">
        <v>0</v>
      </c>
      <c r="K187" s="6">
        <v>0</v>
      </c>
      <c r="L187" s="16">
        <v>0</v>
      </c>
      <c r="M187" s="5"/>
      <c r="N187" s="9">
        <v>0</v>
      </c>
      <c r="O187" s="6">
        <v>0</v>
      </c>
      <c r="P187" s="6">
        <v>0</v>
      </c>
      <c r="Q187" s="6">
        <v>0</v>
      </c>
      <c r="R187" s="16">
        <v>0</v>
      </c>
      <c r="S187" s="5"/>
      <c r="T187" s="17">
        <v>30674</v>
      </c>
      <c r="U187" s="7">
        <v>61007.97</v>
      </c>
      <c r="V187" s="7">
        <v>0</v>
      </c>
      <c r="W187" s="7">
        <v>61007.97</v>
      </c>
      <c r="X187" s="7">
        <v>0</v>
      </c>
      <c r="Y187" s="7">
        <v>30333.97</v>
      </c>
      <c r="Z187" s="10" t="str">
        <f t="shared" si="4"/>
        <v>Piping</v>
      </c>
      <c r="AA187" s="24" t="str">
        <f t="shared" si="5"/>
        <v xml:space="preserve"> 3971. LAX People Mover</v>
      </c>
    </row>
    <row r="188" spans="1:27" x14ac:dyDescent="0.2">
      <c r="A188" s="5" t="s">
        <v>314</v>
      </c>
      <c r="B188" s="5" t="s">
        <v>308</v>
      </c>
      <c r="C188" s="5" t="s">
        <v>233</v>
      </c>
      <c r="D188" s="5" t="s">
        <v>125</v>
      </c>
      <c r="E188" s="5" t="s">
        <v>88</v>
      </c>
      <c r="F188" s="5" t="s">
        <v>25</v>
      </c>
      <c r="G188" s="12" t="s">
        <v>164</v>
      </c>
      <c r="H188" s="12"/>
      <c r="I188" s="6">
        <v>0</v>
      </c>
      <c r="J188" s="6">
        <v>0</v>
      </c>
      <c r="K188" s="6">
        <v>0</v>
      </c>
      <c r="L188" s="16">
        <v>0</v>
      </c>
      <c r="M188" s="5"/>
      <c r="N188" s="9">
        <v>0</v>
      </c>
      <c r="O188" s="6">
        <v>0</v>
      </c>
      <c r="P188" s="6">
        <v>0</v>
      </c>
      <c r="Q188" s="6">
        <v>0</v>
      </c>
      <c r="R188" s="16">
        <v>0</v>
      </c>
      <c r="S188" s="5"/>
      <c r="T188" s="17">
        <v>3175.5</v>
      </c>
      <c r="U188" s="7">
        <v>2843.27</v>
      </c>
      <c r="V188" s="7">
        <v>0</v>
      </c>
      <c r="W188" s="7">
        <v>2843.27</v>
      </c>
      <c r="X188" s="7">
        <v>0</v>
      </c>
      <c r="Y188" s="7">
        <v>-332.23</v>
      </c>
      <c r="Z188" s="10" t="str">
        <f t="shared" si="4"/>
        <v>Piping</v>
      </c>
      <c r="AA188" s="24" t="str">
        <f t="shared" si="5"/>
        <v xml:space="preserve"> 3971. LAX People Mover</v>
      </c>
    </row>
    <row r="189" spans="1:27" x14ac:dyDescent="0.2">
      <c r="A189" s="5" t="s">
        <v>315</v>
      </c>
      <c r="B189" s="5" t="s">
        <v>308</v>
      </c>
      <c r="C189" s="5" t="s">
        <v>235</v>
      </c>
      <c r="D189" s="5" t="s">
        <v>125</v>
      </c>
      <c r="E189" s="5" t="s">
        <v>88</v>
      </c>
      <c r="F189" s="5" t="s">
        <v>25</v>
      </c>
      <c r="G189" s="12" t="s">
        <v>164</v>
      </c>
      <c r="H189" s="12"/>
      <c r="I189" s="6">
        <v>0</v>
      </c>
      <c r="J189" s="6">
        <v>0</v>
      </c>
      <c r="K189" s="6">
        <v>0</v>
      </c>
      <c r="L189" s="16">
        <v>0</v>
      </c>
      <c r="M189" s="5"/>
      <c r="N189" s="9">
        <v>0</v>
      </c>
      <c r="O189" s="6">
        <v>0</v>
      </c>
      <c r="P189" s="6">
        <v>0</v>
      </c>
      <c r="Q189" s="6">
        <v>0</v>
      </c>
      <c r="R189" s="16">
        <v>0</v>
      </c>
      <c r="S189" s="5"/>
      <c r="T189" s="17">
        <v>3244</v>
      </c>
      <c r="U189" s="7">
        <v>13596.58</v>
      </c>
      <c r="V189" s="7">
        <v>830.56</v>
      </c>
      <c r="W189" s="7">
        <v>14427.14</v>
      </c>
      <c r="X189" s="7">
        <v>830.56</v>
      </c>
      <c r="Y189" s="7">
        <v>11183.14</v>
      </c>
      <c r="Z189" s="10" t="str">
        <f t="shared" si="4"/>
        <v>Piping</v>
      </c>
      <c r="AA189" s="24" t="str">
        <f t="shared" si="5"/>
        <v xml:space="preserve"> 3971. LAX People Mover</v>
      </c>
    </row>
    <row r="190" spans="1:27" x14ac:dyDescent="0.2">
      <c r="A190" s="5" t="s">
        <v>316</v>
      </c>
      <c r="B190" s="5" t="s">
        <v>308</v>
      </c>
      <c r="C190" s="5" t="s">
        <v>237</v>
      </c>
      <c r="D190" s="5" t="s">
        <v>125</v>
      </c>
      <c r="E190" s="5" t="s">
        <v>88</v>
      </c>
      <c r="F190" s="5" t="s">
        <v>25</v>
      </c>
      <c r="G190" s="12" t="s">
        <v>164</v>
      </c>
      <c r="H190" s="12"/>
      <c r="I190" s="6">
        <v>0</v>
      </c>
      <c r="J190" s="6">
        <v>1</v>
      </c>
      <c r="K190" s="6">
        <v>0</v>
      </c>
      <c r="L190" s="16">
        <v>-1</v>
      </c>
      <c r="M190" s="5"/>
      <c r="N190" s="9">
        <v>0</v>
      </c>
      <c r="O190" s="6">
        <v>0</v>
      </c>
      <c r="P190" s="6">
        <v>0</v>
      </c>
      <c r="Q190" s="6">
        <v>0</v>
      </c>
      <c r="R190" s="16">
        <v>0</v>
      </c>
      <c r="S190" s="5"/>
      <c r="T190" s="17">
        <v>120912</v>
      </c>
      <c r="U190" s="7">
        <v>39188.86</v>
      </c>
      <c r="V190" s="7">
        <v>0</v>
      </c>
      <c r="W190" s="7">
        <v>39197.300000000003</v>
      </c>
      <c r="X190" s="7">
        <v>8.44</v>
      </c>
      <c r="Y190" s="7">
        <v>-81714.7</v>
      </c>
      <c r="Z190" s="10" t="str">
        <f t="shared" si="4"/>
        <v>Piping</v>
      </c>
      <c r="AA190" s="24" t="str">
        <f t="shared" si="5"/>
        <v xml:space="preserve"> 3971. LAX People Mover</v>
      </c>
    </row>
    <row r="191" spans="1:27" x14ac:dyDescent="0.2">
      <c r="A191" s="5" t="s">
        <v>317</v>
      </c>
      <c r="B191" s="5" t="s">
        <v>308</v>
      </c>
      <c r="C191" s="5" t="s">
        <v>239</v>
      </c>
      <c r="D191" s="5" t="s">
        <v>125</v>
      </c>
      <c r="E191" s="5" t="s">
        <v>88</v>
      </c>
      <c r="F191" s="5" t="s">
        <v>25</v>
      </c>
      <c r="G191" s="12" t="s">
        <v>164</v>
      </c>
      <c r="H191" s="12"/>
      <c r="I191" s="6">
        <v>0</v>
      </c>
      <c r="J191" s="6">
        <v>1</v>
      </c>
      <c r="K191" s="6">
        <v>0</v>
      </c>
      <c r="L191" s="16">
        <v>-1</v>
      </c>
      <c r="M191" s="5"/>
      <c r="N191" s="9">
        <v>0</v>
      </c>
      <c r="O191" s="6">
        <v>0</v>
      </c>
      <c r="P191" s="6">
        <v>0</v>
      </c>
      <c r="Q191" s="6">
        <v>0</v>
      </c>
      <c r="R191" s="16">
        <v>0</v>
      </c>
      <c r="S191" s="5"/>
      <c r="T191" s="17">
        <v>44708</v>
      </c>
      <c r="U191" s="7">
        <v>31436.95</v>
      </c>
      <c r="V191" s="7">
        <v>0</v>
      </c>
      <c r="W191" s="7">
        <v>31436.95</v>
      </c>
      <c r="X191" s="7">
        <v>0</v>
      </c>
      <c r="Y191" s="7">
        <v>-13271.05</v>
      </c>
      <c r="Z191" s="10" t="str">
        <f t="shared" si="4"/>
        <v>Piping</v>
      </c>
      <c r="AA191" s="24" t="str">
        <f t="shared" si="5"/>
        <v xml:space="preserve"> 3971. LAX People Mover</v>
      </c>
    </row>
    <row r="192" spans="1:27" x14ac:dyDescent="0.2">
      <c r="A192" s="5" t="s">
        <v>318</v>
      </c>
      <c r="B192" s="5" t="s">
        <v>319</v>
      </c>
      <c r="C192" s="5" t="s">
        <v>225</v>
      </c>
      <c r="D192" s="5" t="s">
        <v>125</v>
      </c>
      <c r="E192" s="5" t="s">
        <v>88</v>
      </c>
      <c r="F192" s="5" t="s">
        <v>25</v>
      </c>
      <c r="G192" s="12" t="s">
        <v>164</v>
      </c>
      <c r="H192" s="12"/>
      <c r="I192" s="6">
        <v>0</v>
      </c>
      <c r="J192" s="6">
        <v>15</v>
      </c>
      <c r="K192" s="6">
        <v>0</v>
      </c>
      <c r="L192" s="16">
        <v>-15</v>
      </c>
      <c r="M192" s="5"/>
      <c r="N192" s="9">
        <v>0</v>
      </c>
      <c r="O192" s="6">
        <v>0</v>
      </c>
      <c r="P192" s="6">
        <v>0</v>
      </c>
      <c r="Q192" s="6">
        <v>0</v>
      </c>
      <c r="R192" s="16">
        <v>0</v>
      </c>
      <c r="S192" s="5"/>
      <c r="T192" s="17">
        <v>700472</v>
      </c>
      <c r="U192" s="7">
        <v>926945.76</v>
      </c>
      <c r="V192" s="7">
        <v>1683.86</v>
      </c>
      <c r="W192" s="7">
        <v>928629.62</v>
      </c>
      <c r="X192" s="7">
        <v>1683.86</v>
      </c>
      <c r="Y192" s="7">
        <v>228157.62</v>
      </c>
      <c r="Z192" s="10" t="str">
        <f t="shared" si="4"/>
        <v>Piping</v>
      </c>
      <c r="AA192" s="24" t="str">
        <f t="shared" si="5"/>
        <v xml:space="preserve"> 3971. LAX People Mover</v>
      </c>
    </row>
    <row r="193" spans="1:27" x14ac:dyDescent="0.2">
      <c r="A193" s="5" t="s">
        <v>320</v>
      </c>
      <c r="B193" s="5" t="s">
        <v>319</v>
      </c>
      <c r="C193" s="5" t="s">
        <v>237</v>
      </c>
      <c r="D193" s="5" t="s">
        <v>125</v>
      </c>
      <c r="E193" s="5" t="s">
        <v>88</v>
      </c>
      <c r="F193" s="5" t="s">
        <v>25</v>
      </c>
      <c r="G193" s="12" t="s">
        <v>164</v>
      </c>
      <c r="H193" s="12"/>
      <c r="I193" s="6">
        <v>0</v>
      </c>
      <c r="J193" s="6">
        <v>0</v>
      </c>
      <c r="K193" s="6">
        <v>0</v>
      </c>
      <c r="L193" s="16">
        <v>0</v>
      </c>
      <c r="M193" s="5"/>
      <c r="N193" s="9">
        <v>0</v>
      </c>
      <c r="O193" s="6">
        <v>0</v>
      </c>
      <c r="P193" s="6">
        <v>0</v>
      </c>
      <c r="Q193" s="6">
        <v>0</v>
      </c>
      <c r="R193" s="16">
        <v>0</v>
      </c>
      <c r="S193" s="5"/>
      <c r="T193" s="17">
        <v>1366451</v>
      </c>
      <c r="U193" s="7">
        <v>1160280.02</v>
      </c>
      <c r="V193" s="7">
        <v>0</v>
      </c>
      <c r="W193" s="7">
        <v>1164565.3500000001</v>
      </c>
      <c r="X193" s="7">
        <v>4285.33</v>
      </c>
      <c r="Y193" s="7">
        <v>-201885.65</v>
      </c>
      <c r="Z193" s="10" t="str">
        <f t="shared" si="4"/>
        <v>Piping</v>
      </c>
      <c r="AA193" s="24" t="str">
        <f t="shared" si="5"/>
        <v xml:space="preserve"> 3971. LAX People Mover</v>
      </c>
    </row>
    <row r="194" spans="1:27" x14ac:dyDescent="0.2">
      <c r="A194" s="5" t="s">
        <v>321</v>
      </c>
      <c r="B194" s="5" t="s">
        <v>74</v>
      </c>
      <c r="C194" s="5" t="s">
        <v>225</v>
      </c>
      <c r="D194" s="5" t="s">
        <v>125</v>
      </c>
      <c r="E194" s="5" t="s">
        <v>88</v>
      </c>
      <c r="F194" s="5" t="s">
        <v>25</v>
      </c>
      <c r="G194" s="12" t="s">
        <v>164</v>
      </c>
      <c r="H194" s="12"/>
      <c r="I194" s="6">
        <v>0</v>
      </c>
      <c r="J194" s="6">
        <v>0</v>
      </c>
      <c r="K194" s="6">
        <v>0</v>
      </c>
      <c r="L194" s="16">
        <v>0</v>
      </c>
      <c r="M194" s="5"/>
      <c r="N194" s="9">
        <v>0</v>
      </c>
      <c r="O194" s="6">
        <v>0</v>
      </c>
      <c r="P194" s="6">
        <v>0</v>
      </c>
      <c r="Q194" s="6">
        <v>0</v>
      </c>
      <c r="R194" s="16">
        <v>0</v>
      </c>
      <c r="S194" s="5"/>
      <c r="T194" s="1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10" t="str">
        <f t="shared" si="4"/>
        <v>Piping</v>
      </c>
      <c r="AA194" s="24" t="str">
        <f t="shared" si="5"/>
        <v xml:space="preserve"> 3971. LAX People Mover</v>
      </c>
    </row>
    <row r="195" spans="1:27" x14ac:dyDescent="0.2">
      <c r="A195" s="5" t="s">
        <v>322</v>
      </c>
      <c r="B195" s="5" t="s">
        <v>74</v>
      </c>
      <c r="C195" s="5" t="s">
        <v>237</v>
      </c>
      <c r="D195" s="5" t="s">
        <v>125</v>
      </c>
      <c r="E195" s="5" t="s">
        <v>88</v>
      </c>
      <c r="F195" s="5" t="s">
        <v>25</v>
      </c>
      <c r="G195" s="12" t="s">
        <v>164</v>
      </c>
      <c r="H195" s="12"/>
      <c r="I195" s="6">
        <v>0</v>
      </c>
      <c r="J195" s="6">
        <v>3</v>
      </c>
      <c r="K195" s="6">
        <v>0</v>
      </c>
      <c r="L195" s="16">
        <v>-3</v>
      </c>
      <c r="M195" s="5"/>
      <c r="N195" s="9">
        <v>0</v>
      </c>
      <c r="O195" s="6">
        <v>0</v>
      </c>
      <c r="P195" s="6">
        <v>0</v>
      </c>
      <c r="Q195" s="6">
        <v>0</v>
      </c>
      <c r="R195" s="16">
        <v>0</v>
      </c>
      <c r="S195" s="5"/>
      <c r="T195" s="17">
        <v>102123</v>
      </c>
      <c r="U195" s="7">
        <v>62392.67</v>
      </c>
      <c r="V195" s="7">
        <v>0</v>
      </c>
      <c r="W195" s="7">
        <v>62392.67</v>
      </c>
      <c r="X195" s="7">
        <v>0</v>
      </c>
      <c r="Y195" s="7">
        <v>-39730.33</v>
      </c>
      <c r="Z195" s="10" t="str">
        <f t="shared" si="4"/>
        <v>Piping</v>
      </c>
      <c r="AA195" s="24" t="str">
        <f t="shared" si="5"/>
        <v xml:space="preserve"> 3971. LAX People Mover</v>
      </c>
    </row>
    <row r="196" spans="1:27" x14ac:dyDescent="0.2">
      <c r="A196" s="5" t="s">
        <v>323</v>
      </c>
      <c r="B196" s="5" t="s">
        <v>75</v>
      </c>
      <c r="C196" s="5" t="s">
        <v>225</v>
      </c>
      <c r="D196" s="5" t="s">
        <v>125</v>
      </c>
      <c r="E196" s="5" t="s">
        <v>88</v>
      </c>
      <c r="F196" s="5" t="s">
        <v>25</v>
      </c>
      <c r="G196" s="12" t="s">
        <v>164</v>
      </c>
      <c r="H196" s="12"/>
      <c r="I196" s="6">
        <v>0</v>
      </c>
      <c r="J196" s="6">
        <v>0</v>
      </c>
      <c r="K196" s="6">
        <v>0</v>
      </c>
      <c r="L196" s="16">
        <v>0</v>
      </c>
      <c r="M196" s="5"/>
      <c r="N196" s="9">
        <v>0</v>
      </c>
      <c r="O196" s="6">
        <v>0</v>
      </c>
      <c r="P196" s="6">
        <v>0</v>
      </c>
      <c r="Q196" s="6">
        <v>0</v>
      </c>
      <c r="R196" s="16">
        <v>0</v>
      </c>
      <c r="S196" s="5"/>
      <c r="T196" s="17">
        <v>2452800</v>
      </c>
      <c r="U196" s="7">
        <v>2221201.02</v>
      </c>
      <c r="V196" s="7">
        <v>111015</v>
      </c>
      <c r="W196" s="7">
        <v>2342762.44</v>
      </c>
      <c r="X196" s="7">
        <v>121561.42</v>
      </c>
      <c r="Y196" s="7">
        <v>-110037.56</v>
      </c>
      <c r="Z196" s="10" t="str">
        <f t="shared" si="4"/>
        <v>Piping</v>
      </c>
      <c r="AA196" s="24" t="str">
        <f t="shared" si="5"/>
        <v xml:space="preserve"> 3971. LAX People Mover</v>
      </c>
    </row>
    <row r="197" spans="1:27" x14ac:dyDescent="0.2">
      <c r="A197" s="5" t="s">
        <v>324</v>
      </c>
      <c r="B197" s="5" t="s">
        <v>76</v>
      </c>
      <c r="C197" s="5" t="s">
        <v>225</v>
      </c>
      <c r="D197" s="5" t="s">
        <v>125</v>
      </c>
      <c r="E197" s="5" t="s">
        <v>88</v>
      </c>
      <c r="F197" s="5" t="s">
        <v>25</v>
      </c>
      <c r="G197" s="12" t="s">
        <v>164</v>
      </c>
      <c r="H197" s="12"/>
      <c r="I197" s="6">
        <v>0</v>
      </c>
      <c r="J197" s="6">
        <v>0</v>
      </c>
      <c r="K197" s="6">
        <v>0</v>
      </c>
      <c r="L197" s="16">
        <v>0</v>
      </c>
      <c r="M197" s="5"/>
      <c r="N197" s="9">
        <v>0</v>
      </c>
      <c r="O197" s="6">
        <v>0</v>
      </c>
      <c r="P197" s="6">
        <v>0</v>
      </c>
      <c r="Q197" s="6">
        <v>0</v>
      </c>
      <c r="R197" s="16">
        <v>0</v>
      </c>
      <c r="S197" s="5"/>
      <c r="T197" s="17">
        <v>165674</v>
      </c>
      <c r="U197" s="7">
        <v>0</v>
      </c>
      <c r="V197" s="7">
        <v>9447.66</v>
      </c>
      <c r="W197" s="7">
        <v>0</v>
      </c>
      <c r="X197" s="7">
        <v>0</v>
      </c>
      <c r="Y197" s="7">
        <v>-165674</v>
      </c>
      <c r="Z197" s="10" t="str">
        <f t="shared" ref="Z197:Z260" si="6">IF(G197="PLUM", "Plumbing", IF(G197="PIPE", "Piping", IF(G197="HVAC", "Sheet Metal", G197)))</f>
        <v>Piping</v>
      </c>
      <c r="AA197" s="24" t="str">
        <f t="shared" ref="AA197:AA260" si="7">IF(ISBLANK(B197), "", $A$2)</f>
        <v xml:space="preserve"> 3971. LAX People Mover</v>
      </c>
    </row>
    <row r="198" spans="1:27" x14ac:dyDescent="0.2">
      <c r="A198" s="5" t="s">
        <v>325</v>
      </c>
      <c r="B198" s="5" t="s">
        <v>326</v>
      </c>
      <c r="C198" s="5" t="s">
        <v>225</v>
      </c>
      <c r="D198" s="5" t="s">
        <v>125</v>
      </c>
      <c r="E198" s="5" t="s">
        <v>88</v>
      </c>
      <c r="F198" s="5" t="s">
        <v>25</v>
      </c>
      <c r="G198" s="12" t="s">
        <v>164</v>
      </c>
      <c r="H198" s="12"/>
      <c r="I198" s="6">
        <v>0</v>
      </c>
      <c r="J198" s="6">
        <v>0</v>
      </c>
      <c r="K198" s="6">
        <v>0</v>
      </c>
      <c r="L198" s="16">
        <v>0</v>
      </c>
      <c r="M198" s="5"/>
      <c r="N198" s="9">
        <v>0</v>
      </c>
      <c r="O198" s="6">
        <v>0</v>
      </c>
      <c r="P198" s="6">
        <v>0</v>
      </c>
      <c r="Q198" s="6">
        <v>0</v>
      </c>
      <c r="R198" s="16">
        <v>0</v>
      </c>
      <c r="S198" s="5"/>
      <c r="T198" s="17">
        <v>19665</v>
      </c>
      <c r="U198" s="7">
        <v>16801.88</v>
      </c>
      <c r="V198" s="7">
        <v>0</v>
      </c>
      <c r="W198" s="7">
        <v>16801.88</v>
      </c>
      <c r="X198" s="7">
        <v>0</v>
      </c>
      <c r="Y198" s="7">
        <v>-2863.12</v>
      </c>
      <c r="Z198" s="10" t="str">
        <f t="shared" si="6"/>
        <v>Piping</v>
      </c>
      <c r="AA198" s="24" t="str">
        <f t="shared" si="7"/>
        <v xml:space="preserve"> 3971. LAX People Mover</v>
      </c>
    </row>
    <row r="199" spans="1:27" x14ac:dyDescent="0.2">
      <c r="A199" s="5" t="s">
        <v>327</v>
      </c>
      <c r="B199" s="5" t="s">
        <v>328</v>
      </c>
      <c r="C199" s="5" t="s">
        <v>16</v>
      </c>
      <c r="D199" s="5" t="s">
        <v>73</v>
      </c>
      <c r="E199" s="5" t="s">
        <v>88</v>
      </c>
      <c r="F199" s="5" t="s">
        <v>18</v>
      </c>
      <c r="G199" s="12" t="s">
        <v>329</v>
      </c>
      <c r="H199" s="12"/>
      <c r="I199" s="6">
        <v>0</v>
      </c>
      <c r="J199" s="6">
        <v>0</v>
      </c>
      <c r="K199" s="6">
        <v>0</v>
      </c>
      <c r="L199" s="16">
        <v>0</v>
      </c>
      <c r="M199" s="5"/>
      <c r="N199" s="9">
        <v>0</v>
      </c>
      <c r="O199" s="6">
        <v>0</v>
      </c>
      <c r="P199" s="6">
        <v>0</v>
      </c>
      <c r="Q199" s="6">
        <v>0</v>
      </c>
      <c r="R199" s="16">
        <v>0</v>
      </c>
      <c r="S199" s="5"/>
      <c r="T199" s="1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10" t="str">
        <f t="shared" si="6"/>
        <v>FUEL</v>
      </c>
      <c r="AA199" s="24" t="str">
        <f t="shared" si="7"/>
        <v xml:space="preserve"> 3971. LAX People Mover</v>
      </c>
    </row>
    <row r="200" spans="1:27" x14ac:dyDescent="0.2">
      <c r="A200" s="5" t="s">
        <v>330</v>
      </c>
      <c r="B200" s="5" t="s">
        <v>331</v>
      </c>
      <c r="C200" s="5" t="s">
        <v>16</v>
      </c>
      <c r="D200" s="5" t="s">
        <v>73</v>
      </c>
      <c r="E200" s="5" t="s">
        <v>88</v>
      </c>
      <c r="F200" s="5" t="s">
        <v>18</v>
      </c>
      <c r="G200" s="12" t="s">
        <v>329</v>
      </c>
      <c r="H200" s="12"/>
      <c r="I200" s="6">
        <v>0</v>
      </c>
      <c r="J200" s="6">
        <v>0</v>
      </c>
      <c r="K200" s="6">
        <v>0</v>
      </c>
      <c r="L200" s="16">
        <v>0</v>
      </c>
      <c r="M200" s="5"/>
      <c r="N200" s="9">
        <v>0</v>
      </c>
      <c r="O200" s="6">
        <v>0</v>
      </c>
      <c r="P200" s="6">
        <v>0</v>
      </c>
      <c r="Q200" s="6">
        <v>0</v>
      </c>
      <c r="R200" s="16">
        <v>0</v>
      </c>
      <c r="S200" s="5"/>
      <c r="T200" s="1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10" t="str">
        <f t="shared" si="6"/>
        <v>FUEL</v>
      </c>
      <c r="AA200" s="24" t="str">
        <f t="shared" si="7"/>
        <v xml:space="preserve"> 3971. LAX People Mover</v>
      </c>
    </row>
    <row r="201" spans="1:27" x14ac:dyDescent="0.2">
      <c r="A201" s="5" t="s">
        <v>332</v>
      </c>
      <c r="B201" s="5" t="s">
        <v>333</v>
      </c>
      <c r="C201" s="5" t="s">
        <v>16</v>
      </c>
      <c r="D201" s="5" t="s">
        <v>73</v>
      </c>
      <c r="E201" s="5" t="s">
        <v>88</v>
      </c>
      <c r="F201" s="5" t="s">
        <v>18</v>
      </c>
      <c r="G201" s="12" t="s">
        <v>329</v>
      </c>
      <c r="H201" s="12"/>
      <c r="I201" s="6">
        <v>0</v>
      </c>
      <c r="J201" s="6">
        <v>0</v>
      </c>
      <c r="K201" s="6">
        <v>0</v>
      </c>
      <c r="L201" s="16">
        <v>0</v>
      </c>
      <c r="M201" s="5"/>
      <c r="N201" s="9">
        <v>0</v>
      </c>
      <c r="O201" s="6">
        <v>0</v>
      </c>
      <c r="P201" s="6">
        <v>0</v>
      </c>
      <c r="Q201" s="6">
        <v>0</v>
      </c>
      <c r="R201" s="16">
        <v>0</v>
      </c>
      <c r="S201" s="5"/>
      <c r="T201" s="1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10" t="str">
        <f t="shared" si="6"/>
        <v>FUEL</v>
      </c>
      <c r="AA201" s="24" t="str">
        <f t="shared" si="7"/>
        <v xml:space="preserve"> 3971. LAX People Mover</v>
      </c>
    </row>
    <row r="202" spans="1:27" x14ac:dyDescent="0.2">
      <c r="A202" s="5" t="s">
        <v>334</v>
      </c>
      <c r="B202" s="5" t="s">
        <v>45</v>
      </c>
      <c r="C202" s="5" t="s">
        <v>16</v>
      </c>
      <c r="D202" s="5" t="s">
        <v>335</v>
      </c>
      <c r="E202" s="5" t="s">
        <v>88</v>
      </c>
      <c r="F202" s="5" t="s">
        <v>18</v>
      </c>
      <c r="G202" s="12" t="s">
        <v>89</v>
      </c>
      <c r="H202" s="12"/>
      <c r="I202" s="6">
        <v>0</v>
      </c>
      <c r="J202" s="6">
        <v>0</v>
      </c>
      <c r="K202" s="6">
        <v>0</v>
      </c>
      <c r="L202" s="16">
        <v>0</v>
      </c>
      <c r="M202" s="5"/>
      <c r="N202" s="9">
        <v>5575</v>
      </c>
      <c r="O202" s="6">
        <v>6712</v>
      </c>
      <c r="P202" s="6">
        <v>6764</v>
      </c>
      <c r="Q202" s="6">
        <v>52</v>
      </c>
      <c r="R202" s="16">
        <v>1189</v>
      </c>
      <c r="S202" s="5"/>
      <c r="T202" s="17">
        <v>514819.92</v>
      </c>
      <c r="U202" s="7">
        <v>732160.3</v>
      </c>
      <c r="V202" s="7">
        <v>0</v>
      </c>
      <c r="W202" s="7">
        <v>737818.13</v>
      </c>
      <c r="X202" s="7">
        <v>5657.83</v>
      </c>
      <c r="Y202" s="7">
        <v>222998.21</v>
      </c>
      <c r="Z202" s="10" t="str">
        <f t="shared" si="6"/>
        <v>Plumbing</v>
      </c>
      <c r="AA202" s="24" t="str">
        <f t="shared" si="7"/>
        <v xml:space="preserve"> 3971. LAX People Mover</v>
      </c>
    </row>
    <row r="203" spans="1:27" ht="25.5" x14ac:dyDescent="0.2">
      <c r="A203" s="5" t="s">
        <v>336</v>
      </c>
      <c r="B203" s="5" t="s">
        <v>337</v>
      </c>
      <c r="C203" s="5" t="s">
        <v>16</v>
      </c>
      <c r="D203" s="5" t="s">
        <v>335</v>
      </c>
      <c r="E203" s="5" t="s">
        <v>123</v>
      </c>
      <c r="F203" s="5" t="s">
        <v>18</v>
      </c>
      <c r="G203" s="12" t="s">
        <v>89</v>
      </c>
      <c r="H203" s="12"/>
      <c r="I203" s="6">
        <v>0</v>
      </c>
      <c r="J203" s="6">
        <v>0</v>
      </c>
      <c r="K203" s="6">
        <v>0</v>
      </c>
      <c r="L203" s="16">
        <v>0</v>
      </c>
      <c r="M203" s="5"/>
      <c r="N203" s="9">
        <v>0</v>
      </c>
      <c r="O203" s="6">
        <v>2</v>
      </c>
      <c r="P203" s="6">
        <v>2</v>
      </c>
      <c r="Q203" s="6">
        <v>0</v>
      </c>
      <c r="R203" s="16">
        <v>2</v>
      </c>
      <c r="S203" s="5"/>
      <c r="T203" s="17">
        <v>0</v>
      </c>
      <c r="U203" s="7">
        <v>205.98</v>
      </c>
      <c r="V203" s="7">
        <v>0</v>
      </c>
      <c r="W203" s="7">
        <v>205.98</v>
      </c>
      <c r="X203" s="7">
        <v>0</v>
      </c>
      <c r="Y203" s="7">
        <v>205.98</v>
      </c>
      <c r="Z203" s="10" t="str">
        <f t="shared" si="6"/>
        <v>Plumbing</v>
      </c>
      <c r="AA203" s="24" t="str">
        <f t="shared" si="7"/>
        <v xml:space="preserve"> 3971. LAX People Mover</v>
      </c>
    </row>
    <row r="204" spans="1:27" ht="25.5" x14ac:dyDescent="0.2">
      <c r="A204" s="5" t="s">
        <v>338</v>
      </c>
      <c r="B204" s="5" t="s">
        <v>339</v>
      </c>
      <c r="C204" s="5" t="s">
        <v>340</v>
      </c>
      <c r="D204" s="5" t="s">
        <v>46</v>
      </c>
      <c r="E204" s="5" t="s">
        <v>123</v>
      </c>
      <c r="F204" s="5" t="s">
        <v>18</v>
      </c>
      <c r="G204" s="12" t="s">
        <v>89</v>
      </c>
      <c r="H204" s="12"/>
      <c r="I204" s="6">
        <v>0</v>
      </c>
      <c r="J204" s="6">
        <v>0</v>
      </c>
      <c r="K204" s="6">
        <v>0</v>
      </c>
      <c r="L204" s="16">
        <v>0</v>
      </c>
      <c r="M204" s="5"/>
      <c r="N204" s="9">
        <v>203</v>
      </c>
      <c r="O204" s="6">
        <v>2037.5</v>
      </c>
      <c r="P204" s="6">
        <v>2053.5</v>
      </c>
      <c r="Q204" s="6">
        <v>16</v>
      </c>
      <c r="R204" s="16">
        <v>1850.5</v>
      </c>
      <c r="S204" s="5"/>
      <c r="T204" s="17">
        <v>20105</v>
      </c>
      <c r="U204" s="7">
        <v>184269.32</v>
      </c>
      <c r="V204" s="7">
        <v>0</v>
      </c>
      <c r="W204" s="7">
        <v>185716.34</v>
      </c>
      <c r="X204" s="7">
        <v>1447.02</v>
      </c>
      <c r="Y204" s="7">
        <v>165611.34</v>
      </c>
      <c r="Z204" s="10" t="str">
        <f t="shared" si="6"/>
        <v>Plumbing</v>
      </c>
      <c r="AA204" s="24" t="str">
        <f t="shared" si="7"/>
        <v xml:space="preserve"> 3971. LAX People Mover</v>
      </c>
    </row>
    <row r="205" spans="1:27" x14ac:dyDescent="0.2">
      <c r="A205" s="5" t="s">
        <v>341</v>
      </c>
      <c r="B205" s="5" t="s">
        <v>342</v>
      </c>
      <c r="C205" s="5" t="s">
        <v>225</v>
      </c>
      <c r="D205" s="5" t="s">
        <v>46</v>
      </c>
      <c r="E205" s="5" t="s">
        <v>88</v>
      </c>
      <c r="F205" s="5" t="s">
        <v>18</v>
      </c>
      <c r="G205" s="12" t="s">
        <v>89</v>
      </c>
      <c r="H205" s="12"/>
      <c r="I205" s="6">
        <v>0</v>
      </c>
      <c r="J205" s="6">
        <v>0</v>
      </c>
      <c r="K205" s="6">
        <v>0</v>
      </c>
      <c r="L205" s="16">
        <v>0</v>
      </c>
      <c r="M205" s="5"/>
      <c r="N205" s="9">
        <v>420</v>
      </c>
      <c r="O205" s="6">
        <v>126</v>
      </c>
      <c r="P205" s="6">
        <v>126</v>
      </c>
      <c r="Q205" s="6">
        <v>0</v>
      </c>
      <c r="R205" s="16">
        <v>-294</v>
      </c>
      <c r="S205" s="5"/>
      <c r="T205" s="17">
        <v>37800</v>
      </c>
      <c r="U205" s="7">
        <v>12925.84</v>
      </c>
      <c r="V205" s="7">
        <v>0</v>
      </c>
      <c r="W205" s="7">
        <v>12925.84</v>
      </c>
      <c r="X205" s="7">
        <v>0</v>
      </c>
      <c r="Y205" s="7">
        <v>-24874.16</v>
      </c>
      <c r="Z205" s="10" t="str">
        <f t="shared" si="6"/>
        <v>Plumbing</v>
      </c>
      <c r="AA205" s="24" t="str">
        <f t="shared" si="7"/>
        <v xml:space="preserve"> 3971. LAX People Mover</v>
      </c>
    </row>
    <row r="206" spans="1:27" x14ac:dyDescent="0.2">
      <c r="A206" s="5" t="s">
        <v>343</v>
      </c>
      <c r="B206" s="5" t="s">
        <v>342</v>
      </c>
      <c r="C206" s="5" t="s">
        <v>122</v>
      </c>
      <c r="D206" s="5" t="s">
        <v>46</v>
      </c>
      <c r="E206" s="5" t="s">
        <v>88</v>
      </c>
      <c r="F206" s="5" t="s">
        <v>18</v>
      </c>
      <c r="G206" s="12" t="s">
        <v>89</v>
      </c>
      <c r="H206" s="12"/>
      <c r="I206" s="6">
        <v>0</v>
      </c>
      <c r="J206" s="6">
        <v>0</v>
      </c>
      <c r="K206" s="6">
        <v>0</v>
      </c>
      <c r="L206" s="16">
        <v>0</v>
      </c>
      <c r="M206" s="5"/>
      <c r="N206" s="9">
        <v>5</v>
      </c>
      <c r="O206" s="6">
        <v>0</v>
      </c>
      <c r="P206" s="6">
        <v>0</v>
      </c>
      <c r="Q206" s="6">
        <v>0</v>
      </c>
      <c r="R206" s="16">
        <v>-5</v>
      </c>
      <c r="S206" s="5"/>
      <c r="T206" s="17">
        <v>450</v>
      </c>
      <c r="U206" s="7">
        <v>0</v>
      </c>
      <c r="V206" s="7">
        <v>0</v>
      </c>
      <c r="W206" s="7">
        <v>0</v>
      </c>
      <c r="X206" s="7">
        <v>0</v>
      </c>
      <c r="Y206" s="7">
        <v>-450</v>
      </c>
      <c r="Z206" s="10" t="str">
        <f t="shared" si="6"/>
        <v>Plumbing</v>
      </c>
      <c r="AA206" s="24" t="str">
        <f t="shared" si="7"/>
        <v xml:space="preserve"> 3971. LAX People Mover</v>
      </c>
    </row>
    <row r="207" spans="1:27" x14ac:dyDescent="0.2">
      <c r="A207" s="5" t="s">
        <v>344</v>
      </c>
      <c r="B207" s="5" t="s">
        <v>342</v>
      </c>
      <c r="C207" s="5" t="s">
        <v>227</v>
      </c>
      <c r="D207" s="5" t="s">
        <v>46</v>
      </c>
      <c r="E207" s="5" t="s">
        <v>88</v>
      </c>
      <c r="F207" s="5" t="s">
        <v>18</v>
      </c>
      <c r="G207" s="12" t="s">
        <v>89</v>
      </c>
      <c r="H207" s="12"/>
      <c r="I207" s="6">
        <v>0</v>
      </c>
      <c r="J207" s="6">
        <v>0</v>
      </c>
      <c r="K207" s="6">
        <v>0</v>
      </c>
      <c r="L207" s="16">
        <v>0</v>
      </c>
      <c r="M207" s="5"/>
      <c r="N207" s="9">
        <v>289</v>
      </c>
      <c r="O207" s="6">
        <v>64</v>
      </c>
      <c r="P207" s="6">
        <v>64</v>
      </c>
      <c r="Q207" s="6">
        <v>0</v>
      </c>
      <c r="R207" s="16">
        <v>-225</v>
      </c>
      <c r="S207" s="5"/>
      <c r="T207" s="17">
        <v>26010</v>
      </c>
      <c r="U207" s="7">
        <v>6534.48</v>
      </c>
      <c r="V207" s="7">
        <v>0</v>
      </c>
      <c r="W207" s="7">
        <v>6534.48</v>
      </c>
      <c r="X207" s="7">
        <v>0</v>
      </c>
      <c r="Y207" s="7">
        <v>-19475.52</v>
      </c>
      <c r="Z207" s="10" t="str">
        <f t="shared" si="6"/>
        <v>Plumbing</v>
      </c>
      <c r="AA207" s="24" t="str">
        <f t="shared" si="7"/>
        <v xml:space="preserve"> 3971. LAX People Mover</v>
      </c>
    </row>
    <row r="208" spans="1:27" x14ac:dyDescent="0.2">
      <c r="A208" s="5" t="s">
        <v>345</v>
      </c>
      <c r="B208" s="5" t="s">
        <v>342</v>
      </c>
      <c r="C208" s="5" t="s">
        <v>229</v>
      </c>
      <c r="D208" s="5" t="s">
        <v>46</v>
      </c>
      <c r="E208" s="5" t="s">
        <v>88</v>
      </c>
      <c r="F208" s="5" t="s">
        <v>18</v>
      </c>
      <c r="G208" s="12" t="s">
        <v>89</v>
      </c>
      <c r="H208" s="12"/>
      <c r="I208" s="6">
        <v>0</v>
      </c>
      <c r="J208" s="6">
        <v>0</v>
      </c>
      <c r="K208" s="6">
        <v>0</v>
      </c>
      <c r="L208" s="16">
        <v>0</v>
      </c>
      <c r="M208" s="5"/>
      <c r="N208" s="9">
        <v>183</v>
      </c>
      <c r="O208" s="6">
        <v>152</v>
      </c>
      <c r="P208" s="6">
        <v>152</v>
      </c>
      <c r="Q208" s="6">
        <v>0</v>
      </c>
      <c r="R208" s="16">
        <v>-31</v>
      </c>
      <c r="S208" s="5"/>
      <c r="T208" s="17">
        <v>16470</v>
      </c>
      <c r="U208" s="7">
        <v>15610.73</v>
      </c>
      <c r="V208" s="7">
        <v>0</v>
      </c>
      <c r="W208" s="7">
        <v>15610.73</v>
      </c>
      <c r="X208" s="7">
        <v>0</v>
      </c>
      <c r="Y208" s="7">
        <v>-859.27</v>
      </c>
      <c r="Z208" s="10" t="str">
        <f t="shared" si="6"/>
        <v>Plumbing</v>
      </c>
      <c r="AA208" s="24" t="str">
        <f t="shared" si="7"/>
        <v xml:space="preserve"> 3971. LAX People Mover</v>
      </c>
    </row>
    <row r="209" spans="1:27" x14ac:dyDescent="0.2">
      <c r="A209" s="5" t="s">
        <v>346</v>
      </c>
      <c r="B209" s="5" t="s">
        <v>342</v>
      </c>
      <c r="C209" s="5" t="s">
        <v>231</v>
      </c>
      <c r="D209" s="5" t="s">
        <v>46</v>
      </c>
      <c r="E209" s="5" t="s">
        <v>88</v>
      </c>
      <c r="F209" s="5" t="s">
        <v>18</v>
      </c>
      <c r="G209" s="12" t="s">
        <v>89</v>
      </c>
      <c r="H209" s="12"/>
      <c r="I209" s="6">
        <v>0</v>
      </c>
      <c r="J209" s="6">
        <v>0</v>
      </c>
      <c r="K209" s="6">
        <v>0</v>
      </c>
      <c r="L209" s="16">
        <v>0</v>
      </c>
      <c r="M209" s="5"/>
      <c r="N209" s="9">
        <v>180</v>
      </c>
      <c r="O209" s="6">
        <v>21</v>
      </c>
      <c r="P209" s="6">
        <v>21</v>
      </c>
      <c r="Q209" s="6">
        <v>0</v>
      </c>
      <c r="R209" s="16">
        <v>-159</v>
      </c>
      <c r="S209" s="5"/>
      <c r="T209" s="17">
        <v>16200</v>
      </c>
      <c r="U209" s="7">
        <v>2152.61</v>
      </c>
      <c r="V209" s="7">
        <v>0</v>
      </c>
      <c r="W209" s="7">
        <v>2152.61</v>
      </c>
      <c r="X209" s="7">
        <v>0</v>
      </c>
      <c r="Y209" s="7">
        <v>-14047.39</v>
      </c>
      <c r="Z209" s="10" t="str">
        <f t="shared" si="6"/>
        <v>Plumbing</v>
      </c>
      <c r="AA209" s="24" t="str">
        <f t="shared" si="7"/>
        <v xml:space="preserve"> 3971. LAX People Mover</v>
      </c>
    </row>
    <row r="210" spans="1:27" x14ac:dyDescent="0.2">
      <c r="A210" s="5" t="s">
        <v>347</v>
      </c>
      <c r="B210" s="5" t="s">
        <v>342</v>
      </c>
      <c r="C210" s="5" t="s">
        <v>233</v>
      </c>
      <c r="D210" s="5" t="s">
        <v>46</v>
      </c>
      <c r="E210" s="5" t="s">
        <v>88</v>
      </c>
      <c r="F210" s="5" t="s">
        <v>18</v>
      </c>
      <c r="G210" s="12" t="s">
        <v>89</v>
      </c>
      <c r="H210" s="12"/>
      <c r="I210" s="6">
        <v>0</v>
      </c>
      <c r="J210" s="6">
        <v>0</v>
      </c>
      <c r="K210" s="6">
        <v>0</v>
      </c>
      <c r="L210" s="16">
        <v>0</v>
      </c>
      <c r="M210" s="5"/>
      <c r="N210" s="9">
        <v>15</v>
      </c>
      <c r="O210" s="6">
        <v>28</v>
      </c>
      <c r="P210" s="6">
        <v>28</v>
      </c>
      <c r="Q210" s="6">
        <v>0</v>
      </c>
      <c r="R210" s="16">
        <v>13</v>
      </c>
      <c r="S210" s="5"/>
      <c r="T210" s="17">
        <v>1350</v>
      </c>
      <c r="U210" s="7">
        <v>2845.54</v>
      </c>
      <c r="V210" s="7">
        <v>0</v>
      </c>
      <c r="W210" s="7">
        <v>2845.54</v>
      </c>
      <c r="X210" s="7">
        <v>0</v>
      </c>
      <c r="Y210" s="7">
        <v>1495.54</v>
      </c>
      <c r="Z210" s="10" t="str">
        <f t="shared" si="6"/>
        <v>Plumbing</v>
      </c>
      <c r="AA210" s="24" t="str">
        <f t="shared" si="7"/>
        <v xml:space="preserve"> 3971. LAX People Mover</v>
      </c>
    </row>
    <row r="211" spans="1:27" x14ac:dyDescent="0.2">
      <c r="A211" s="5" t="s">
        <v>348</v>
      </c>
      <c r="B211" s="5" t="s">
        <v>342</v>
      </c>
      <c r="C211" s="5" t="s">
        <v>235</v>
      </c>
      <c r="D211" s="5" t="s">
        <v>46</v>
      </c>
      <c r="E211" s="5" t="s">
        <v>88</v>
      </c>
      <c r="F211" s="5" t="s">
        <v>18</v>
      </c>
      <c r="G211" s="12" t="s">
        <v>89</v>
      </c>
      <c r="H211" s="12"/>
      <c r="I211" s="6">
        <v>0</v>
      </c>
      <c r="J211" s="6">
        <v>0</v>
      </c>
      <c r="K211" s="6">
        <v>0</v>
      </c>
      <c r="L211" s="16">
        <v>0</v>
      </c>
      <c r="M211" s="5"/>
      <c r="N211" s="9">
        <v>14</v>
      </c>
      <c r="O211" s="6">
        <v>10</v>
      </c>
      <c r="P211" s="6">
        <v>10</v>
      </c>
      <c r="Q211" s="6">
        <v>0</v>
      </c>
      <c r="R211" s="16">
        <v>-4</v>
      </c>
      <c r="S211" s="5"/>
      <c r="T211" s="17">
        <v>1260</v>
      </c>
      <c r="U211" s="7">
        <v>980.22</v>
      </c>
      <c r="V211" s="7">
        <v>0</v>
      </c>
      <c r="W211" s="7">
        <v>980.22</v>
      </c>
      <c r="X211" s="7">
        <v>0</v>
      </c>
      <c r="Y211" s="7">
        <v>-279.77999999999997</v>
      </c>
      <c r="Z211" s="10" t="str">
        <f t="shared" si="6"/>
        <v>Plumbing</v>
      </c>
      <c r="AA211" s="24" t="str">
        <f t="shared" si="7"/>
        <v xml:space="preserve"> 3971. LAX People Mover</v>
      </c>
    </row>
    <row r="212" spans="1:27" x14ac:dyDescent="0.2">
      <c r="A212" s="5" t="s">
        <v>349</v>
      </c>
      <c r="B212" s="5" t="s">
        <v>342</v>
      </c>
      <c r="C212" s="5" t="s">
        <v>237</v>
      </c>
      <c r="D212" s="5" t="s">
        <v>46</v>
      </c>
      <c r="E212" s="5" t="s">
        <v>88</v>
      </c>
      <c r="F212" s="5" t="s">
        <v>18</v>
      </c>
      <c r="G212" s="12" t="s">
        <v>89</v>
      </c>
      <c r="H212" s="12"/>
      <c r="I212" s="6">
        <v>0</v>
      </c>
      <c r="J212" s="6">
        <v>0</v>
      </c>
      <c r="K212" s="6">
        <v>0</v>
      </c>
      <c r="L212" s="16">
        <v>0</v>
      </c>
      <c r="M212" s="5"/>
      <c r="N212" s="9">
        <v>576</v>
      </c>
      <c r="O212" s="6">
        <v>334</v>
      </c>
      <c r="P212" s="6">
        <v>334</v>
      </c>
      <c r="Q212" s="6">
        <v>0</v>
      </c>
      <c r="R212" s="16">
        <v>-242</v>
      </c>
      <c r="S212" s="5"/>
      <c r="T212" s="17">
        <v>51840</v>
      </c>
      <c r="U212" s="7">
        <v>34264.54</v>
      </c>
      <c r="V212" s="7">
        <v>0</v>
      </c>
      <c r="W212" s="7">
        <v>34264.54</v>
      </c>
      <c r="X212" s="7">
        <v>0</v>
      </c>
      <c r="Y212" s="7">
        <v>-17575.46</v>
      </c>
      <c r="Z212" s="10" t="str">
        <f t="shared" si="6"/>
        <v>Plumbing</v>
      </c>
      <c r="AA212" s="24" t="str">
        <f t="shared" si="7"/>
        <v xml:space="preserve"> 3971. LAX People Mover</v>
      </c>
    </row>
    <row r="213" spans="1:27" x14ac:dyDescent="0.2">
      <c r="A213" s="5" t="s">
        <v>350</v>
      </c>
      <c r="B213" s="5" t="s">
        <v>342</v>
      </c>
      <c r="C213" s="5" t="s">
        <v>239</v>
      </c>
      <c r="D213" s="5" t="s">
        <v>46</v>
      </c>
      <c r="E213" s="5" t="s">
        <v>88</v>
      </c>
      <c r="F213" s="5" t="s">
        <v>18</v>
      </c>
      <c r="G213" s="12" t="s">
        <v>89</v>
      </c>
      <c r="H213" s="12"/>
      <c r="I213" s="6">
        <v>0</v>
      </c>
      <c r="J213" s="6">
        <v>0</v>
      </c>
      <c r="K213" s="6">
        <v>0</v>
      </c>
      <c r="L213" s="16">
        <v>0</v>
      </c>
      <c r="M213" s="5"/>
      <c r="N213" s="9">
        <v>255</v>
      </c>
      <c r="O213" s="6">
        <v>183</v>
      </c>
      <c r="P213" s="6">
        <v>183</v>
      </c>
      <c r="Q213" s="6">
        <v>0</v>
      </c>
      <c r="R213" s="16">
        <v>-72</v>
      </c>
      <c r="S213" s="5"/>
      <c r="T213" s="17">
        <v>22950</v>
      </c>
      <c r="U213" s="7">
        <v>18771.04</v>
      </c>
      <c r="V213" s="7">
        <v>0</v>
      </c>
      <c r="W213" s="7">
        <v>18771.04</v>
      </c>
      <c r="X213" s="7">
        <v>0</v>
      </c>
      <c r="Y213" s="7">
        <v>-4178.96</v>
      </c>
      <c r="Z213" s="10" t="str">
        <f t="shared" si="6"/>
        <v>Plumbing</v>
      </c>
      <c r="AA213" s="24" t="str">
        <f t="shared" si="7"/>
        <v xml:space="preserve"> 3971. LAX People Mover</v>
      </c>
    </row>
    <row r="214" spans="1:27" ht="25.5" x14ac:dyDescent="0.2">
      <c r="A214" s="5" t="s">
        <v>351</v>
      </c>
      <c r="B214" s="5" t="s">
        <v>352</v>
      </c>
      <c r="C214" s="5" t="s">
        <v>340</v>
      </c>
      <c r="D214" s="5" t="s">
        <v>46</v>
      </c>
      <c r="E214" s="5" t="s">
        <v>123</v>
      </c>
      <c r="F214" s="5" t="s">
        <v>18</v>
      </c>
      <c r="G214" s="12" t="s">
        <v>89</v>
      </c>
      <c r="H214" s="12"/>
      <c r="I214" s="6">
        <v>0</v>
      </c>
      <c r="J214" s="6">
        <v>0</v>
      </c>
      <c r="K214" s="6">
        <v>0</v>
      </c>
      <c r="L214" s="16">
        <v>0</v>
      </c>
      <c r="M214" s="5"/>
      <c r="N214" s="9">
        <v>0</v>
      </c>
      <c r="O214" s="6">
        <v>687.5</v>
      </c>
      <c r="P214" s="6">
        <v>687.5</v>
      </c>
      <c r="Q214" s="6">
        <v>0</v>
      </c>
      <c r="R214" s="16">
        <v>687.5</v>
      </c>
      <c r="S214" s="5"/>
      <c r="T214" s="17">
        <v>0</v>
      </c>
      <c r="U214" s="7">
        <v>20569.55</v>
      </c>
      <c r="V214" s="7">
        <v>0</v>
      </c>
      <c r="W214" s="7">
        <v>20569.55</v>
      </c>
      <c r="X214" s="7">
        <v>0</v>
      </c>
      <c r="Y214" s="7">
        <v>20569.55</v>
      </c>
      <c r="Z214" s="10" t="str">
        <f t="shared" si="6"/>
        <v>Plumbing</v>
      </c>
      <c r="AA214" s="24" t="str">
        <f t="shared" si="7"/>
        <v xml:space="preserve"> 3971. LAX People Mover</v>
      </c>
    </row>
    <row r="215" spans="1:27" x14ac:dyDescent="0.2">
      <c r="A215" s="5" t="s">
        <v>353</v>
      </c>
      <c r="B215" s="5" t="s">
        <v>354</v>
      </c>
      <c r="C215" s="5" t="s">
        <v>225</v>
      </c>
      <c r="D215" s="5" t="s">
        <v>46</v>
      </c>
      <c r="E215" s="5" t="s">
        <v>88</v>
      </c>
      <c r="F215" s="5" t="s">
        <v>18</v>
      </c>
      <c r="G215" s="12" t="s">
        <v>89</v>
      </c>
      <c r="H215" s="12"/>
      <c r="I215" s="6">
        <v>0</v>
      </c>
      <c r="J215" s="6">
        <v>0</v>
      </c>
      <c r="K215" s="6">
        <v>0</v>
      </c>
      <c r="L215" s="16">
        <v>0</v>
      </c>
      <c r="M215" s="5"/>
      <c r="N215" s="9">
        <v>126</v>
      </c>
      <c r="O215" s="6">
        <v>147</v>
      </c>
      <c r="P215" s="6">
        <v>147</v>
      </c>
      <c r="Q215" s="6">
        <v>0</v>
      </c>
      <c r="R215" s="16">
        <v>21</v>
      </c>
      <c r="S215" s="5"/>
      <c r="T215" s="17">
        <v>11340</v>
      </c>
      <c r="U215" s="7">
        <v>4562.45</v>
      </c>
      <c r="V215" s="7">
        <v>0</v>
      </c>
      <c r="W215" s="7">
        <v>4562.45</v>
      </c>
      <c r="X215" s="7">
        <v>0</v>
      </c>
      <c r="Y215" s="7">
        <v>-6777.55</v>
      </c>
      <c r="Z215" s="10" t="str">
        <f t="shared" si="6"/>
        <v>Plumbing</v>
      </c>
      <c r="AA215" s="24" t="str">
        <f t="shared" si="7"/>
        <v xml:space="preserve"> 3971. LAX People Mover</v>
      </c>
    </row>
    <row r="216" spans="1:27" x14ac:dyDescent="0.2">
      <c r="A216" s="5" t="s">
        <v>355</v>
      </c>
      <c r="B216" s="5" t="s">
        <v>354</v>
      </c>
      <c r="C216" s="5" t="s">
        <v>122</v>
      </c>
      <c r="D216" s="5" t="s">
        <v>46</v>
      </c>
      <c r="E216" s="5" t="s">
        <v>88</v>
      </c>
      <c r="F216" s="5" t="s">
        <v>18</v>
      </c>
      <c r="G216" s="12" t="s">
        <v>89</v>
      </c>
      <c r="H216" s="12"/>
      <c r="I216" s="6">
        <v>0</v>
      </c>
      <c r="J216" s="6">
        <v>0</v>
      </c>
      <c r="K216" s="6">
        <v>0</v>
      </c>
      <c r="L216" s="16">
        <v>0</v>
      </c>
      <c r="M216" s="5"/>
      <c r="N216" s="9">
        <v>2</v>
      </c>
      <c r="O216" s="6">
        <v>0</v>
      </c>
      <c r="P216" s="6">
        <v>0</v>
      </c>
      <c r="Q216" s="6">
        <v>0</v>
      </c>
      <c r="R216" s="16">
        <v>-2</v>
      </c>
      <c r="S216" s="5"/>
      <c r="T216" s="17">
        <v>180</v>
      </c>
      <c r="U216" s="7">
        <v>0</v>
      </c>
      <c r="V216" s="7">
        <v>0</v>
      </c>
      <c r="W216" s="7">
        <v>0</v>
      </c>
      <c r="X216" s="7">
        <v>0</v>
      </c>
      <c r="Y216" s="7">
        <v>-180</v>
      </c>
      <c r="Z216" s="10" t="str">
        <f t="shared" si="6"/>
        <v>Plumbing</v>
      </c>
      <c r="AA216" s="24" t="str">
        <f t="shared" si="7"/>
        <v xml:space="preserve"> 3971. LAX People Mover</v>
      </c>
    </row>
    <row r="217" spans="1:27" x14ac:dyDescent="0.2">
      <c r="A217" s="5" t="s">
        <v>356</v>
      </c>
      <c r="B217" s="5" t="s">
        <v>354</v>
      </c>
      <c r="C217" s="5" t="s">
        <v>227</v>
      </c>
      <c r="D217" s="5" t="s">
        <v>46</v>
      </c>
      <c r="E217" s="5" t="s">
        <v>88</v>
      </c>
      <c r="F217" s="5" t="s">
        <v>18</v>
      </c>
      <c r="G217" s="12" t="s">
        <v>89</v>
      </c>
      <c r="H217" s="12"/>
      <c r="I217" s="6">
        <v>0</v>
      </c>
      <c r="J217" s="6">
        <v>0</v>
      </c>
      <c r="K217" s="6">
        <v>0</v>
      </c>
      <c r="L217" s="16">
        <v>0</v>
      </c>
      <c r="M217" s="5"/>
      <c r="N217" s="9">
        <v>87</v>
      </c>
      <c r="O217" s="6">
        <v>0</v>
      </c>
      <c r="P217" s="6">
        <v>0</v>
      </c>
      <c r="Q217" s="6">
        <v>0</v>
      </c>
      <c r="R217" s="16">
        <v>-87</v>
      </c>
      <c r="S217" s="5"/>
      <c r="T217" s="17">
        <v>7830</v>
      </c>
      <c r="U217" s="7">
        <v>0</v>
      </c>
      <c r="V217" s="7">
        <v>0</v>
      </c>
      <c r="W217" s="7">
        <v>0</v>
      </c>
      <c r="X217" s="7">
        <v>0</v>
      </c>
      <c r="Y217" s="7">
        <v>-7830</v>
      </c>
      <c r="Z217" s="10" t="str">
        <f t="shared" si="6"/>
        <v>Plumbing</v>
      </c>
      <c r="AA217" s="24" t="str">
        <f t="shared" si="7"/>
        <v xml:space="preserve"> 3971. LAX People Mover</v>
      </c>
    </row>
    <row r="218" spans="1:27" x14ac:dyDescent="0.2">
      <c r="A218" s="5" t="s">
        <v>357</v>
      </c>
      <c r="B218" s="5" t="s">
        <v>354</v>
      </c>
      <c r="C218" s="5" t="s">
        <v>229</v>
      </c>
      <c r="D218" s="5" t="s">
        <v>46</v>
      </c>
      <c r="E218" s="5" t="s">
        <v>88</v>
      </c>
      <c r="F218" s="5" t="s">
        <v>18</v>
      </c>
      <c r="G218" s="12" t="s">
        <v>89</v>
      </c>
      <c r="H218" s="12"/>
      <c r="I218" s="6">
        <v>0</v>
      </c>
      <c r="J218" s="6">
        <v>0</v>
      </c>
      <c r="K218" s="6">
        <v>0</v>
      </c>
      <c r="L218" s="16">
        <v>0</v>
      </c>
      <c r="M218" s="5"/>
      <c r="N218" s="9">
        <v>55</v>
      </c>
      <c r="O218" s="6">
        <v>0</v>
      </c>
      <c r="P218" s="6">
        <v>0</v>
      </c>
      <c r="Q218" s="6">
        <v>0</v>
      </c>
      <c r="R218" s="16">
        <v>-55</v>
      </c>
      <c r="S218" s="5"/>
      <c r="T218" s="17">
        <v>4950</v>
      </c>
      <c r="U218" s="7">
        <v>0</v>
      </c>
      <c r="V218" s="7">
        <v>0</v>
      </c>
      <c r="W218" s="7">
        <v>0</v>
      </c>
      <c r="X218" s="7">
        <v>0</v>
      </c>
      <c r="Y218" s="7">
        <v>-4950</v>
      </c>
      <c r="Z218" s="10" t="str">
        <f t="shared" si="6"/>
        <v>Plumbing</v>
      </c>
      <c r="AA218" s="24" t="str">
        <f t="shared" si="7"/>
        <v xml:space="preserve"> 3971. LAX People Mover</v>
      </c>
    </row>
    <row r="219" spans="1:27" x14ac:dyDescent="0.2">
      <c r="A219" s="5" t="s">
        <v>358</v>
      </c>
      <c r="B219" s="5" t="s">
        <v>354</v>
      </c>
      <c r="C219" s="5" t="s">
        <v>231</v>
      </c>
      <c r="D219" s="5" t="s">
        <v>46</v>
      </c>
      <c r="E219" s="5" t="s">
        <v>88</v>
      </c>
      <c r="F219" s="5" t="s">
        <v>18</v>
      </c>
      <c r="G219" s="12" t="s">
        <v>89</v>
      </c>
      <c r="H219" s="12"/>
      <c r="I219" s="6">
        <v>0</v>
      </c>
      <c r="J219" s="6">
        <v>0</v>
      </c>
      <c r="K219" s="6">
        <v>0</v>
      </c>
      <c r="L219" s="16">
        <v>0</v>
      </c>
      <c r="M219" s="5"/>
      <c r="N219" s="9">
        <v>54</v>
      </c>
      <c r="O219" s="6">
        <v>0</v>
      </c>
      <c r="P219" s="6">
        <v>0</v>
      </c>
      <c r="Q219" s="6">
        <v>0</v>
      </c>
      <c r="R219" s="16">
        <v>-54</v>
      </c>
      <c r="S219" s="5"/>
      <c r="T219" s="17">
        <v>4860</v>
      </c>
      <c r="U219" s="7">
        <v>0</v>
      </c>
      <c r="V219" s="7">
        <v>0</v>
      </c>
      <c r="W219" s="7">
        <v>0</v>
      </c>
      <c r="X219" s="7">
        <v>0</v>
      </c>
      <c r="Y219" s="7">
        <v>-4860</v>
      </c>
      <c r="Z219" s="10" t="str">
        <f t="shared" si="6"/>
        <v>Plumbing</v>
      </c>
      <c r="AA219" s="24" t="str">
        <f t="shared" si="7"/>
        <v xml:space="preserve"> 3971. LAX People Mover</v>
      </c>
    </row>
    <row r="220" spans="1:27" x14ac:dyDescent="0.2">
      <c r="A220" s="5" t="s">
        <v>359</v>
      </c>
      <c r="B220" s="5" t="s">
        <v>354</v>
      </c>
      <c r="C220" s="5" t="s">
        <v>233</v>
      </c>
      <c r="D220" s="5" t="s">
        <v>46</v>
      </c>
      <c r="E220" s="5" t="s">
        <v>88</v>
      </c>
      <c r="F220" s="5" t="s">
        <v>18</v>
      </c>
      <c r="G220" s="12" t="s">
        <v>89</v>
      </c>
      <c r="H220" s="12"/>
      <c r="I220" s="6">
        <v>0</v>
      </c>
      <c r="J220" s="6">
        <v>0</v>
      </c>
      <c r="K220" s="6">
        <v>0</v>
      </c>
      <c r="L220" s="16">
        <v>0</v>
      </c>
      <c r="M220" s="5"/>
      <c r="N220" s="9">
        <v>5</v>
      </c>
      <c r="O220" s="6">
        <v>5</v>
      </c>
      <c r="P220" s="6">
        <v>5</v>
      </c>
      <c r="Q220" s="6">
        <v>0</v>
      </c>
      <c r="R220" s="16">
        <v>0</v>
      </c>
      <c r="S220" s="5"/>
      <c r="T220" s="17">
        <v>450</v>
      </c>
      <c r="U220" s="7">
        <v>128.62</v>
      </c>
      <c r="V220" s="7">
        <v>0</v>
      </c>
      <c r="W220" s="7">
        <v>128.62</v>
      </c>
      <c r="X220" s="7">
        <v>0</v>
      </c>
      <c r="Y220" s="7">
        <v>-321.38</v>
      </c>
      <c r="Z220" s="10" t="str">
        <f t="shared" si="6"/>
        <v>Plumbing</v>
      </c>
      <c r="AA220" s="24" t="str">
        <f t="shared" si="7"/>
        <v xml:space="preserve"> 3971. LAX People Mover</v>
      </c>
    </row>
    <row r="221" spans="1:27" x14ac:dyDescent="0.2">
      <c r="A221" s="5" t="s">
        <v>360</v>
      </c>
      <c r="B221" s="5" t="s">
        <v>354</v>
      </c>
      <c r="C221" s="5" t="s">
        <v>235</v>
      </c>
      <c r="D221" s="5" t="s">
        <v>46</v>
      </c>
      <c r="E221" s="5" t="s">
        <v>88</v>
      </c>
      <c r="F221" s="5" t="s">
        <v>18</v>
      </c>
      <c r="G221" s="12" t="s">
        <v>89</v>
      </c>
      <c r="H221" s="12"/>
      <c r="I221" s="6">
        <v>0</v>
      </c>
      <c r="J221" s="6">
        <v>0</v>
      </c>
      <c r="K221" s="6">
        <v>0</v>
      </c>
      <c r="L221" s="16">
        <v>0</v>
      </c>
      <c r="M221" s="5"/>
      <c r="N221" s="9">
        <v>4</v>
      </c>
      <c r="O221" s="6">
        <v>0</v>
      </c>
      <c r="P221" s="6">
        <v>0</v>
      </c>
      <c r="Q221" s="6">
        <v>0</v>
      </c>
      <c r="R221" s="16">
        <v>-4</v>
      </c>
      <c r="S221" s="5"/>
      <c r="T221" s="17">
        <v>360</v>
      </c>
      <c r="U221" s="7">
        <v>0</v>
      </c>
      <c r="V221" s="7">
        <v>0</v>
      </c>
      <c r="W221" s="7">
        <v>0</v>
      </c>
      <c r="X221" s="7">
        <v>0</v>
      </c>
      <c r="Y221" s="7">
        <v>-360</v>
      </c>
      <c r="Z221" s="10" t="str">
        <f t="shared" si="6"/>
        <v>Plumbing</v>
      </c>
      <c r="AA221" s="24" t="str">
        <f t="shared" si="7"/>
        <v xml:space="preserve"> 3971. LAX People Mover</v>
      </c>
    </row>
    <row r="222" spans="1:27" x14ac:dyDescent="0.2">
      <c r="A222" s="5" t="s">
        <v>361</v>
      </c>
      <c r="B222" s="5" t="s">
        <v>354</v>
      </c>
      <c r="C222" s="5" t="s">
        <v>237</v>
      </c>
      <c r="D222" s="5" t="s">
        <v>46</v>
      </c>
      <c r="E222" s="5" t="s">
        <v>88</v>
      </c>
      <c r="F222" s="5" t="s">
        <v>18</v>
      </c>
      <c r="G222" s="12" t="s">
        <v>89</v>
      </c>
      <c r="H222" s="12"/>
      <c r="I222" s="6">
        <v>0</v>
      </c>
      <c r="J222" s="6">
        <v>0</v>
      </c>
      <c r="K222" s="6">
        <v>0</v>
      </c>
      <c r="L222" s="16">
        <v>0</v>
      </c>
      <c r="M222" s="5"/>
      <c r="N222" s="9">
        <v>173</v>
      </c>
      <c r="O222" s="6">
        <v>0</v>
      </c>
      <c r="P222" s="6">
        <v>0</v>
      </c>
      <c r="Q222" s="6">
        <v>0</v>
      </c>
      <c r="R222" s="16">
        <v>-173</v>
      </c>
      <c r="S222" s="5"/>
      <c r="T222" s="17">
        <v>15570</v>
      </c>
      <c r="U222" s="7">
        <v>0</v>
      </c>
      <c r="V222" s="7">
        <v>0</v>
      </c>
      <c r="W222" s="7">
        <v>0</v>
      </c>
      <c r="X222" s="7">
        <v>0</v>
      </c>
      <c r="Y222" s="7">
        <v>-15570</v>
      </c>
      <c r="Z222" s="10" t="str">
        <f t="shared" si="6"/>
        <v>Plumbing</v>
      </c>
      <c r="AA222" s="24" t="str">
        <f t="shared" si="7"/>
        <v xml:space="preserve"> 3971. LAX People Mover</v>
      </c>
    </row>
    <row r="223" spans="1:27" x14ac:dyDescent="0.2">
      <c r="A223" s="5" t="s">
        <v>362</v>
      </c>
      <c r="B223" s="5" t="s">
        <v>354</v>
      </c>
      <c r="C223" s="5" t="s">
        <v>239</v>
      </c>
      <c r="D223" s="5" t="s">
        <v>46</v>
      </c>
      <c r="E223" s="5" t="s">
        <v>88</v>
      </c>
      <c r="F223" s="5" t="s">
        <v>18</v>
      </c>
      <c r="G223" s="12" t="s">
        <v>89</v>
      </c>
      <c r="H223" s="12"/>
      <c r="I223" s="6">
        <v>0</v>
      </c>
      <c r="J223" s="6">
        <v>0</v>
      </c>
      <c r="K223" s="6">
        <v>0</v>
      </c>
      <c r="L223" s="16">
        <v>0</v>
      </c>
      <c r="M223" s="5"/>
      <c r="N223" s="9">
        <v>77</v>
      </c>
      <c r="O223" s="6">
        <v>10</v>
      </c>
      <c r="P223" s="6">
        <v>10</v>
      </c>
      <c r="Q223" s="6">
        <v>0</v>
      </c>
      <c r="R223" s="16">
        <v>-67</v>
      </c>
      <c r="S223" s="5"/>
      <c r="T223" s="17">
        <v>6930</v>
      </c>
      <c r="U223" s="7">
        <v>257.23</v>
      </c>
      <c r="V223" s="7">
        <v>0</v>
      </c>
      <c r="W223" s="7">
        <v>257.23</v>
      </c>
      <c r="X223" s="7">
        <v>0</v>
      </c>
      <c r="Y223" s="7">
        <v>-6672.77</v>
      </c>
      <c r="Z223" s="10" t="str">
        <f t="shared" si="6"/>
        <v>Plumbing</v>
      </c>
      <c r="AA223" s="24" t="str">
        <f t="shared" si="7"/>
        <v xml:space="preserve"> 3971. LAX People Mover</v>
      </c>
    </row>
    <row r="224" spans="1:27" x14ac:dyDescent="0.2">
      <c r="A224" s="5" t="s">
        <v>363</v>
      </c>
      <c r="B224" s="5" t="s">
        <v>48</v>
      </c>
      <c r="C224" s="5" t="s">
        <v>16</v>
      </c>
      <c r="D224" s="5" t="s">
        <v>46</v>
      </c>
      <c r="E224" s="5" t="s">
        <v>88</v>
      </c>
      <c r="F224" s="5" t="s">
        <v>18</v>
      </c>
      <c r="G224" s="12" t="s">
        <v>89</v>
      </c>
      <c r="H224" s="12"/>
      <c r="I224" s="6">
        <v>0</v>
      </c>
      <c r="J224" s="6">
        <v>0</v>
      </c>
      <c r="K224" s="6">
        <v>0</v>
      </c>
      <c r="L224" s="16">
        <v>0</v>
      </c>
      <c r="M224" s="5"/>
      <c r="N224" s="9">
        <v>824</v>
      </c>
      <c r="O224" s="6">
        <v>2448</v>
      </c>
      <c r="P224" s="6">
        <v>2446</v>
      </c>
      <c r="Q224" s="6">
        <v>-2</v>
      </c>
      <c r="R224" s="16">
        <v>1622</v>
      </c>
      <c r="S224" s="5"/>
      <c r="T224" s="17">
        <v>84293.6</v>
      </c>
      <c r="U224" s="7">
        <v>259020.66</v>
      </c>
      <c r="V224" s="7">
        <v>0</v>
      </c>
      <c r="W224" s="7">
        <v>258790.12</v>
      </c>
      <c r="X224" s="7">
        <v>-230.54</v>
      </c>
      <c r="Y224" s="7">
        <v>174496.52</v>
      </c>
      <c r="Z224" s="10" t="str">
        <f t="shared" si="6"/>
        <v>Plumbing</v>
      </c>
      <c r="AA224" s="24" t="str">
        <f t="shared" si="7"/>
        <v xml:space="preserve"> 3971. LAX People Mover</v>
      </c>
    </row>
    <row r="225" spans="1:27" x14ac:dyDescent="0.2">
      <c r="A225" s="5" t="s">
        <v>364</v>
      </c>
      <c r="B225" s="5" t="s">
        <v>48</v>
      </c>
      <c r="C225" s="5" t="s">
        <v>122</v>
      </c>
      <c r="D225" s="5" t="s">
        <v>46</v>
      </c>
      <c r="E225" s="5" t="s">
        <v>88</v>
      </c>
      <c r="F225" s="5" t="s">
        <v>18</v>
      </c>
      <c r="G225" s="12" t="s">
        <v>89</v>
      </c>
      <c r="H225" s="12"/>
      <c r="I225" s="6">
        <v>0</v>
      </c>
      <c r="J225" s="6">
        <v>0</v>
      </c>
      <c r="K225" s="6">
        <v>0</v>
      </c>
      <c r="L225" s="16">
        <v>0</v>
      </c>
      <c r="M225" s="5"/>
      <c r="N225" s="9">
        <v>4</v>
      </c>
      <c r="O225" s="6">
        <v>0</v>
      </c>
      <c r="P225" s="6">
        <v>0</v>
      </c>
      <c r="Q225" s="6">
        <v>0</v>
      </c>
      <c r="R225" s="16">
        <v>-4</v>
      </c>
      <c r="S225" s="5"/>
      <c r="T225" s="17">
        <v>360</v>
      </c>
      <c r="U225" s="7">
        <v>0</v>
      </c>
      <c r="V225" s="7">
        <v>0</v>
      </c>
      <c r="W225" s="7">
        <v>0</v>
      </c>
      <c r="X225" s="7">
        <v>0</v>
      </c>
      <c r="Y225" s="7">
        <v>-360</v>
      </c>
      <c r="Z225" s="10" t="str">
        <f t="shared" si="6"/>
        <v>Plumbing</v>
      </c>
      <c r="AA225" s="24" t="str">
        <f t="shared" si="7"/>
        <v xml:space="preserve"> 3971. LAX People Mover</v>
      </c>
    </row>
    <row r="226" spans="1:27" x14ac:dyDescent="0.2">
      <c r="A226" s="5" t="s">
        <v>365</v>
      </c>
      <c r="B226" s="5" t="s">
        <v>48</v>
      </c>
      <c r="C226" s="5" t="s">
        <v>227</v>
      </c>
      <c r="D226" s="5" t="s">
        <v>46</v>
      </c>
      <c r="E226" s="5" t="s">
        <v>88</v>
      </c>
      <c r="F226" s="5" t="s">
        <v>18</v>
      </c>
      <c r="G226" s="12" t="s">
        <v>89</v>
      </c>
      <c r="H226" s="12"/>
      <c r="I226" s="6">
        <v>0</v>
      </c>
      <c r="J226" s="6">
        <v>0</v>
      </c>
      <c r="K226" s="6">
        <v>0</v>
      </c>
      <c r="L226" s="16">
        <v>0</v>
      </c>
      <c r="M226" s="5"/>
      <c r="N226" s="9">
        <v>202</v>
      </c>
      <c r="O226" s="6">
        <v>51</v>
      </c>
      <c r="P226" s="6">
        <v>51</v>
      </c>
      <c r="Q226" s="6">
        <v>0</v>
      </c>
      <c r="R226" s="16">
        <v>-151</v>
      </c>
      <c r="S226" s="5"/>
      <c r="T226" s="17">
        <v>18180</v>
      </c>
      <c r="U226" s="7">
        <v>5354.35</v>
      </c>
      <c r="V226" s="7">
        <v>0</v>
      </c>
      <c r="W226" s="7">
        <v>5354.35</v>
      </c>
      <c r="X226" s="7">
        <v>0</v>
      </c>
      <c r="Y226" s="7">
        <v>-12825.65</v>
      </c>
      <c r="Z226" s="10" t="str">
        <f t="shared" si="6"/>
        <v>Plumbing</v>
      </c>
      <c r="AA226" s="24" t="str">
        <f t="shared" si="7"/>
        <v xml:space="preserve"> 3971. LAX People Mover</v>
      </c>
    </row>
    <row r="227" spans="1:27" x14ac:dyDescent="0.2">
      <c r="A227" s="5" t="s">
        <v>366</v>
      </c>
      <c r="B227" s="5" t="s">
        <v>48</v>
      </c>
      <c r="C227" s="5" t="s">
        <v>229</v>
      </c>
      <c r="D227" s="5" t="s">
        <v>46</v>
      </c>
      <c r="E227" s="5" t="s">
        <v>88</v>
      </c>
      <c r="F227" s="5" t="s">
        <v>18</v>
      </c>
      <c r="G227" s="12" t="s">
        <v>89</v>
      </c>
      <c r="H227" s="12"/>
      <c r="I227" s="6">
        <v>0</v>
      </c>
      <c r="J227" s="6">
        <v>0</v>
      </c>
      <c r="K227" s="6">
        <v>0</v>
      </c>
      <c r="L227" s="16">
        <v>0</v>
      </c>
      <c r="M227" s="5"/>
      <c r="N227" s="9">
        <v>128</v>
      </c>
      <c r="O227" s="6">
        <v>92</v>
      </c>
      <c r="P227" s="6">
        <v>92</v>
      </c>
      <c r="Q227" s="6">
        <v>0</v>
      </c>
      <c r="R227" s="16">
        <v>-36</v>
      </c>
      <c r="S227" s="5"/>
      <c r="T227" s="17">
        <v>11520</v>
      </c>
      <c r="U227" s="7">
        <v>9658.85</v>
      </c>
      <c r="V227" s="7">
        <v>0</v>
      </c>
      <c r="W227" s="7">
        <v>9658.85</v>
      </c>
      <c r="X227" s="7">
        <v>0</v>
      </c>
      <c r="Y227" s="7">
        <v>-1861.15</v>
      </c>
      <c r="Z227" s="10" t="str">
        <f t="shared" si="6"/>
        <v>Plumbing</v>
      </c>
      <c r="AA227" s="24" t="str">
        <f t="shared" si="7"/>
        <v xml:space="preserve"> 3971. LAX People Mover</v>
      </c>
    </row>
    <row r="228" spans="1:27" x14ac:dyDescent="0.2">
      <c r="A228" s="5" t="s">
        <v>367</v>
      </c>
      <c r="B228" s="5" t="s">
        <v>48</v>
      </c>
      <c r="C228" s="5" t="s">
        <v>231</v>
      </c>
      <c r="D228" s="5" t="s">
        <v>46</v>
      </c>
      <c r="E228" s="5" t="s">
        <v>88</v>
      </c>
      <c r="F228" s="5" t="s">
        <v>18</v>
      </c>
      <c r="G228" s="12" t="s">
        <v>89</v>
      </c>
      <c r="H228" s="12"/>
      <c r="I228" s="6">
        <v>0</v>
      </c>
      <c r="J228" s="6">
        <v>0</v>
      </c>
      <c r="K228" s="6">
        <v>0</v>
      </c>
      <c r="L228" s="16">
        <v>0</v>
      </c>
      <c r="M228" s="5"/>
      <c r="N228" s="9">
        <v>126</v>
      </c>
      <c r="O228" s="6">
        <v>0</v>
      </c>
      <c r="P228" s="6">
        <v>0</v>
      </c>
      <c r="Q228" s="6">
        <v>0</v>
      </c>
      <c r="R228" s="16">
        <v>-126</v>
      </c>
      <c r="S228" s="5"/>
      <c r="T228" s="17">
        <v>11340</v>
      </c>
      <c r="U228" s="7">
        <v>0</v>
      </c>
      <c r="V228" s="7">
        <v>0</v>
      </c>
      <c r="W228" s="7">
        <v>0</v>
      </c>
      <c r="X228" s="7">
        <v>0</v>
      </c>
      <c r="Y228" s="7">
        <v>-11340</v>
      </c>
      <c r="Z228" s="10" t="str">
        <f t="shared" si="6"/>
        <v>Plumbing</v>
      </c>
      <c r="AA228" s="24" t="str">
        <f t="shared" si="7"/>
        <v xml:space="preserve"> 3971. LAX People Mover</v>
      </c>
    </row>
    <row r="229" spans="1:27" x14ac:dyDescent="0.2">
      <c r="A229" s="5" t="s">
        <v>368</v>
      </c>
      <c r="B229" s="5" t="s">
        <v>48</v>
      </c>
      <c r="C229" s="5" t="s">
        <v>233</v>
      </c>
      <c r="D229" s="5" t="s">
        <v>46</v>
      </c>
      <c r="E229" s="5" t="s">
        <v>88</v>
      </c>
      <c r="F229" s="5" t="s">
        <v>18</v>
      </c>
      <c r="G229" s="12" t="s">
        <v>89</v>
      </c>
      <c r="H229" s="12"/>
      <c r="I229" s="6">
        <v>0</v>
      </c>
      <c r="J229" s="6">
        <v>0</v>
      </c>
      <c r="K229" s="6">
        <v>0</v>
      </c>
      <c r="L229" s="16">
        <v>0</v>
      </c>
      <c r="M229" s="5"/>
      <c r="N229" s="9">
        <v>11</v>
      </c>
      <c r="O229" s="6">
        <v>2</v>
      </c>
      <c r="P229" s="6">
        <v>2</v>
      </c>
      <c r="Q229" s="6">
        <v>0</v>
      </c>
      <c r="R229" s="16">
        <v>-9</v>
      </c>
      <c r="S229" s="5"/>
      <c r="T229" s="17">
        <v>990</v>
      </c>
      <c r="U229" s="7">
        <v>209.99</v>
      </c>
      <c r="V229" s="7">
        <v>0</v>
      </c>
      <c r="W229" s="7">
        <v>209.99</v>
      </c>
      <c r="X229" s="7">
        <v>0</v>
      </c>
      <c r="Y229" s="7">
        <v>-780.01</v>
      </c>
      <c r="Z229" s="10" t="str">
        <f t="shared" si="6"/>
        <v>Plumbing</v>
      </c>
      <c r="AA229" s="24" t="str">
        <f t="shared" si="7"/>
        <v xml:space="preserve"> 3971. LAX People Mover</v>
      </c>
    </row>
    <row r="230" spans="1:27" x14ac:dyDescent="0.2">
      <c r="A230" s="5" t="s">
        <v>369</v>
      </c>
      <c r="B230" s="5" t="s">
        <v>48</v>
      </c>
      <c r="C230" s="5" t="s">
        <v>235</v>
      </c>
      <c r="D230" s="5" t="s">
        <v>46</v>
      </c>
      <c r="E230" s="5" t="s">
        <v>88</v>
      </c>
      <c r="F230" s="5" t="s">
        <v>18</v>
      </c>
      <c r="G230" s="12" t="s">
        <v>89</v>
      </c>
      <c r="H230" s="12"/>
      <c r="I230" s="6">
        <v>0</v>
      </c>
      <c r="J230" s="6">
        <v>0</v>
      </c>
      <c r="K230" s="6">
        <v>0</v>
      </c>
      <c r="L230" s="16">
        <v>0</v>
      </c>
      <c r="M230" s="5"/>
      <c r="N230" s="9">
        <v>10</v>
      </c>
      <c r="O230" s="6">
        <v>20</v>
      </c>
      <c r="P230" s="6">
        <v>20</v>
      </c>
      <c r="Q230" s="6">
        <v>0</v>
      </c>
      <c r="R230" s="16">
        <v>10</v>
      </c>
      <c r="S230" s="5"/>
      <c r="T230" s="17">
        <v>900</v>
      </c>
      <c r="U230" s="7">
        <v>2099.8000000000002</v>
      </c>
      <c r="V230" s="7">
        <v>0</v>
      </c>
      <c r="W230" s="7">
        <v>2099.8000000000002</v>
      </c>
      <c r="X230" s="7">
        <v>0</v>
      </c>
      <c r="Y230" s="7">
        <v>1199.8</v>
      </c>
      <c r="Z230" s="10" t="str">
        <f t="shared" si="6"/>
        <v>Plumbing</v>
      </c>
      <c r="AA230" s="24" t="str">
        <f t="shared" si="7"/>
        <v xml:space="preserve"> 3971. LAX People Mover</v>
      </c>
    </row>
    <row r="231" spans="1:27" x14ac:dyDescent="0.2">
      <c r="A231" s="5" t="s">
        <v>370</v>
      </c>
      <c r="B231" s="5" t="s">
        <v>48</v>
      </c>
      <c r="C231" s="5" t="s">
        <v>237</v>
      </c>
      <c r="D231" s="5" t="s">
        <v>46</v>
      </c>
      <c r="E231" s="5" t="s">
        <v>88</v>
      </c>
      <c r="F231" s="5" t="s">
        <v>18</v>
      </c>
      <c r="G231" s="12" t="s">
        <v>89</v>
      </c>
      <c r="H231" s="12"/>
      <c r="I231" s="6">
        <v>0</v>
      </c>
      <c r="J231" s="6">
        <v>0</v>
      </c>
      <c r="K231" s="6">
        <v>0</v>
      </c>
      <c r="L231" s="16">
        <v>0</v>
      </c>
      <c r="M231" s="5"/>
      <c r="N231" s="9">
        <v>403</v>
      </c>
      <c r="O231" s="6">
        <v>201</v>
      </c>
      <c r="P231" s="6">
        <v>201</v>
      </c>
      <c r="Q231" s="6">
        <v>0</v>
      </c>
      <c r="R231" s="16">
        <v>-202</v>
      </c>
      <c r="S231" s="5"/>
      <c r="T231" s="17">
        <v>36270</v>
      </c>
      <c r="U231" s="7">
        <v>21106.87</v>
      </c>
      <c r="V231" s="7">
        <v>0</v>
      </c>
      <c r="W231" s="7">
        <v>21106.87</v>
      </c>
      <c r="X231" s="7">
        <v>0</v>
      </c>
      <c r="Y231" s="7">
        <v>-15163.13</v>
      </c>
      <c r="Z231" s="10" t="str">
        <f t="shared" si="6"/>
        <v>Plumbing</v>
      </c>
      <c r="AA231" s="24" t="str">
        <f t="shared" si="7"/>
        <v xml:space="preserve"> 3971. LAX People Mover</v>
      </c>
    </row>
    <row r="232" spans="1:27" x14ac:dyDescent="0.2">
      <c r="A232" s="5" t="s">
        <v>371</v>
      </c>
      <c r="B232" s="5" t="s">
        <v>48</v>
      </c>
      <c r="C232" s="5" t="s">
        <v>239</v>
      </c>
      <c r="D232" s="5" t="s">
        <v>46</v>
      </c>
      <c r="E232" s="5" t="s">
        <v>88</v>
      </c>
      <c r="F232" s="5" t="s">
        <v>18</v>
      </c>
      <c r="G232" s="12" t="s">
        <v>89</v>
      </c>
      <c r="H232" s="12"/>
      <c r="I232" s="6">
        <v>0</v>
      </c>
      <c r="J232" s="6">
        <v>0</v>
      </c>
      <c r="K232" s="6">
        <v>0</v>
      </c>
      <c r="L232" s="16">
        <v>0</v>
      </c>
      <c r="M232" s="5"/>
      <c r="N232" s="9">
        <v>179</v>
      </c>
      <c r="O232" s="6">
        <v>105</v>
      </c>
      <c r="P232" s="6">
        <v>105</v>
      </c>
      <c r="Q232" s="6">
        <v>0</v>
      </c>
      <c r="R232" s="16">
        <v>-74</v>
      </c>
      <c r="S232" s="5"/>
      <c r="T232" s="17">
        <v>16110</v>
      </c>
      <c r="U232" s="7">
        <v>11098.99</v>
      </c>
      <c r="V232" s="7">
        <v>0</v>
      </c>
      <c r="W232" s="7">
        <v>11098.99</v>
      </c>
      <c r="X232" s="7">
        <v>0</v>
      </c>
      <c r="Y232" s="7">
        <v>-5011.01</v>
      </c>
      <c r="Z232" s="10" t="str">
        <f t="shared" si="6"/>
        <v>Plumbing</v>
      </c>
      <c r="AA232" s="24" t="str">
        <f t="shared" si="7"/>
        <v xml:space="preserve"> 3971. LAX People Mover</v>
      </c>
    </row>
    <row r="233" spans="1:27" ht="25.5" x14ac:dyDescent="0.2">
      <c r="A233" s="5" t="s">
        <v>372</v>
      </c>
      <c r="B233" s="5" t="s">
        <v>112</v>
      </c>
      <c r="C233" s="5" t="s">
        <v>16</v>
      </c>
      <c r="D233" s="5" t="s">
        <v>112</v>
      </c>
      <c r="E233" s="5" t="s">
        <v>123</v>
      </c>
      <c r="F233" s="5" t="s">
        <v>18</v>
      </c>
      <c r="G233" s="12" t="s">
        <v>89</v>
      </c>
      <c r="H233" s="12"/>
      <c r="I233" s="6">
        <v>0</v>
      </c>
      <c r="J233" s="6">
        <v>0</v>
      </c>
      <c r="K233" s="6">
        <v>0</v>
      </c>
      <c r="L233" s="16">
        <v>0</v>
      </c>
      <c r="M233" s="5"/>
      <c r="N233" s="9">
        <v>0</v>
      </c>
      <c r="O233" s="6">
        <v>96</v>
      </c>
      <c r="P233" s="6">
        <v>96</v>
      </c>
      <c r="Q233" s="6">
        <v>0</v>
      </c>
      <c r="R233" s="16">
        <v>96</v>
      </c>
      <c r="S233" s="5"/>
      <c r="T233" s="17">
        <v>0</v>
      </c>
      <c r="U233" s="7">
        <v>9120.99</v>
      </c>
      <c r="V233" s="7">
        <v>0</v>
      </c>
      <c r="W233" s="7">
        <v>9120.99</v>
      </c>
      <c r="X233" s="7">
        <v>0</v>
      </c>
      <c r="Y233" s="7">
        <v>9120.99</v>
      </c>
      <c r="Z233" s="10" t="str">
        <f t="shared" si="6"/>
        <v>Plumbing</v>
      </c>
      <c r="AA233" s="24" t="str">
        <f t="shared" si="7"/>
        <v xml:space="preserve"> 3971. LAX People Mover</v>
      </c>
    </row>
    <row r="234" spans="1:27" x14ac:dyDescent="0.2">
      <c r="A234" s="5" t="s">
        <v>373</v>
      </c>
      <c r="B234" s="5" t="s">
        <v>374</v>
      </c>
      <c r="C234" s="5" t="s">
        <v>225</v>
      </c>
      <c r="D234" s="5" t="s">
        <v>112</v>
      </c>
      <c r="E234" s="5" t="s">
        <v>88</v>
      </c>
      <c r="F234" s="5" t="s">
        <v>18</v>
      </c>
      <c r="G234" s="12" t="s">
        <v>89</v>
      </c>
      <c r="H234" s="12"/>
      <c r="I234" s="6">
        <v>0</v>
      </c>
      <c r="J234" s="6">
        <v>0</v>
      </c>
      <c r="K234" s="6">
        <v>0</v>
      </c>
      <c r="L234" s="16">
        <v>0</v>
      </c>
      <c r="M234" s="5"/>
      <c r="N234" s="9">
        <v>436</v>
      </c>
      <c r="O234" s="6">
        <v>576</v>
      </c>
      <c r="P234" s="6">
        <v>576</v>
      </c>
      <c r="Q234" s="6">
        <v>0</v>
      </c>
      <c r="R234" s="16">
        <v>140</v>
      </c>
      <c r="S234" s="5"/>
      <c r="T234" s="17">
        <v>39481</v>
      </c>
      <c r="U234" s="7">
        <v>53633.75</v>
      </c>
      <c r="V234" s="7">
        <v>0</v>
      </c>
      <c r="W234" s="7">
        <v>53633.75</v>
      </c>
      <c r="X234" s="7">
        <v>0</v>
      </c>
      <c r="Y234" s="7">
        <v>14152.75</v>
      </c>
      <c r="Z234" s="10" t="str">
        <f t="shared" si="6"/>
        <v>Plumbing</v>
      </c>
      <c r="AA234" s="24" t="str">
        <f t="shared" si="7"/>
        <v xml:space="preserve"> 3971. LAX People Mover</v>
      </c>
    </row>
    <row r="235" spans="1:27" x14ac:dyDescent="0.2">
      <c r="A235" s="5" t="s">
        <v>375</v>
      </c>
      <c r="B235" s="5" t="s">
        <v>374</v>
      </c>
      <c r="C235" s="5" t="s">
        <v>122</v>
      </c>
      <c r="D235" s="5" t="s">
        <v>112</v>
      </c>
      <c r="E235" s="5" t="s">
        <v>88</v>
      </c>
      <c r="F235" s="5" t="s">
        <v>18</v>
      </c>
      <c r="G235" s="12" t="s">
        <v>89</v>
      </c>
      <c r="H235" s="12"/>
      <c r="I235" s="6">
        <v>0</v>
      </c>
      <c r="J235" s="6">
        <v>0</v>
      </c>
      <c r="K235" s="6">
        <v>0</v>
      </c>
      <c r="L235" s="16">
        <v>0</v>
      </c>
      <c r="M235" s="5"/>
      <c r="N235" s="9">
        <v>7</v>
      </c>
      <c r="O235" s="6">
        <v>0</v>
      </c>
      <c r="P235" s="6">
        <v>0</v>
      </c>
      <c r="Q235" s="6">
        <v>0</v>
      </c>
      <c r="R235" s="16">
        <v>-7</v>
      </c>
      <c r="S235" s="5"/>
      <c r="T235" s="17">
        <v>630</v>
      </c>
      <c r="U235" s="7">
        <v>0</v>
      </c>
      <c r="V235" s="7">
        <v>0</v>
      </c>
      <c r="W235" s="7">
        <v>0</v>
      </c>
      <c r="X235" s="7">
        <v>0</v>
      </c>
      <c r="Y235" s="7">
        <v>-630</v>
      </c>
      <c r="Z235" s="10" t="str">
        <f t="shared" si="6"/>
        <v>Plumbing</v>
      </c>
      <c r="AA235" s="24" t="str">
        <f t="shared" si="7"/>
        <v xml:space="preserve"> 3971. LAX People Mover</v>
      </c>
    </row>
    <row r="236" spans="1:27" x14ac:dyDescent="0.2">
      <c r="A236" s="5" t="s">
        <v>376</v>
      </c>
      <c r="B236" s="5" t="s">
        <v>374</v>
      </c>
      <c r="C236" s="5" t="s">
        <v>227</v>
      </c>
      <c r="D236" s="5" t="s">
        <v>112</v>
      </c>
      <c r="E236" s="5" t="s">
        <v>88</v>
      </c>
      <c r="F236" s="5" t="s">
        <v>18</v>
      </c>
      <c r="G236" s="12" t="s">
        <v>89</v>
      </c>
      <c r="H236" s="12"/>
      <c r="I236" s="6">
        <v>0</v>
      </c>
      <c r="J236" s="6">
        <v>0</v>
      </c>
      <c r="K236" s="6">
        <v>0</v>
      </c>
      <c r="L236" s="16">
        <v>0</v>
      </c>
      <c r="M236" s="5"/>
      <c r="N236" s="9">
        <v>74</v>
      </c>
      <c r="O236" s="6">
        <v>28</v>
      </c>
      <c r="P236" s="6">
        <v>28</v>
      </c>
      <c r="Q236" s="6">
        <v>0</v>
      </c>
      <c r="R236" s="16">
        <v>-46</v>
      </c>
      <c r="S236" s="5"/>
      <c r="T236" s="17">
        <v>6660</v>
      </c>
      <c r="U236" s="7">
        <v>2693.13</v>
      </c>
      <c r="V236" s="7">
        <v>0</v>
      </c>
      <c r="W236" s="7">
        <v>2693.13</v>
      </c>
      <c r="X236" s="7">
        <v>0</v>
      </c>
      <c r="Y236" s="7">
        <v>-3966.87</v>
      </c>
      <c r="Z236" s="10" t="str">
        <f t="shared" si="6"/>
        <v>Plumbing</v>
      </c>
      <c r="AA236" s="24" t="str">
        <f t="shared" si="7"/>
        <v xml:space="preserve"> 3971. LAX People Mover</v>
      </c>
    </row>
    <row r="237" spans="1:27" x14ac:dyDescent="0.2">
      <c r="A237" s="5" t="s">
        <v>377</v>
      </c>
      <c r="B237" s="5" t="s">
        <v>374</v>
      </c>
      <c r="C237" s="5" t="s">
        <v>229</v>
      </c>
      <c r="D237" s="5" t="s">
        <v>112</v>
      </c>
      <c r="E237" s="5" t="s">
        <v>88</v>
      </c>
      <c r="F237" s="5" t="s">
        <v>18</v>
      </c>
      <c r="G237" s="12" t="s">
        <v>89</v>
      </c>
      <c r="H237" s="12"/>
      <c r="I237" s="6">
        <v>0</v>
      </c>
      <c r="J237" s="6">
        <v>0</v>
      </c>
      <c r="K237" s="6">
        <v>0</v>
      </c>
      <c r="L237" s="16">
        <v>0</v>
      </c>
      <c r="M237" s="5"/>
      <c r="N237" s="9">
        <v>79</v>
      </c>
      <c r="O237" s="6">
        <v>16</v>
      </c>
      <c r="P237" s="6">
        <v>16</v>
      </c>
      <c r="Q237" s="6">
        <v>0</v>
      </c>
      <c r="R237" s="16">
        <v>-63</v>
      </c>
      <c r="S237" s="5"/>
      <c r="T237" s="17">
        <v>7110</v>
      </c>
      <c r="U237" s="7">
        <v>1569.67</v>
      </c>
      <c r="V237" s="7">
        <v>0</v>
      </c>
      <c r="W237" s="7">
        <v>1569.67</v>
      </c>
      <c r="X237" s="7">
        <v>0</v>
      </c>
      <c r="Y237" s="7">
        <v>-5540.33</v>
      </c>
      <c r="Z237" s="10" t="str">
        <f t="shared" si="6"/>
        <v>Plumbing</v>
      </c>
      <c r="AA237" s="24" t="str">
        <f t="shared" si="7"/>
        <v xml:space="preserve"> 3971. LAX People Mover</v>
      </c>
    </row>
    <row r="238" spans="1:27" x14ac:dyDescent="0.2">
      <c r="A238" s="5" t="s">
        <v>378</v>
      </c>
      <c r="B238" s="5" t="s">
        <v>374</v>
      </c>
      <c r="C238" s="5" t="s">
        <v>231</v>
      </c>
      <c r="D238" s="5" t="s">
        <v>112</v>
      </c>
      <c r="E238" s="5" t="s">
        <v>88</v>
      </c>
      <c r="F238" s="5" t="s">
        <v>18</v>
      </c>
      <c r="G238" s="12" t="s">
        <v>89</v>
      </c>
      <c r="H238" s="12"/>
      <c r="I238" s="6">
        <v>0</v>
      </c>
      <c r="J238" s="6">
        <v>0</v>
      </c>
      <c r="K238" s="6">
        <v>0</v>
      </c>
      <c r="L238" s="16">
        <v>0</v>
      </c>
      <c r="M238" s="5"/>
      <c r="N238" s="9">
        <v>50</v>
      </c>
      <c r="O238" s="6">
        <v>64</v>
      </c>
      <c r="P238" s="6">
        <v>64</v>
      </c>
      <c r="Q238" s="6">
        <v>0</v>
      </c>
      <c r="R238" s="16">
        <v>14</v>
      </c>
      <c r="S238" s="5"/>
      <c r="T238" s="17">
        <v>4500</v>
      </c>
      <c r="U238" s="7">
        <v>6476.49</v>
      </c>
      <c r="V238" s="7">
        <v>0</v>
      </c>
      <c r="W238" s="7">
        <v>6476.49</v>
      </c>
      <c r="X238" s="7">
        <v>0</v>
      </c>
      <c r="Y238" s="7">
        <v>1976.49</v>
      </c>
      <c r="Z238" s="10" t="str">
        <f t="shared" si="6"/>
        <v>Plumbing</v>
      </c>
      <c r="AA238" s="24" t="str">
        <f t="shared" si="7"/>
        <v xml:space="preserve"> 3971. LAX People Mover</v>
      </c>
    </row>
    <row r="239" spans="1:27" x14ac:dyDescent="0.2">
      <c r="A239" s="5" t="s">
        <v>379</v>
      </c>
      <c r="B239" s="5" t="s">
        <v>374</v>
      </c>
      <c r="C239" s="5" t="s">
        <v>233</v>
      </c>
      <c r="D239" s="5" t="s">
        <v>112</v>
      </c>
      <c r="E239" s="5" t="s">
        <v>88</v>
      </c>
      <c r="F239" s="5" t="s">
        <v>18</v>
      </c>
      <c r="G239" s="12" t="s">
        <v>89</v>
      </c>
      <c r="H239" s="12"/>
      <c r="I239" s="6">
        <v>0</v>
      </c>
      <c r="J239" s="6">
        <v>0</v>
      </c>
      <c r="K239" s="6">
        <v>0</v>
      </c>
      <c r="L239" s="16">
        <v>0</v>
      </c>
      <c r="M239" s="5"/>
      <c r="N239" s="9">
        <v>10</v>
      </c>
      <c r="O239" s="6">
        <v>16</v>
      </c>
      <c r="P239" s="6">
        <v>16</v>
      </c>
      <c r="Q239" s="6">
        <v>0</v>
      </c>
      <c r="R239" s="16">
        <v>6</v>
      </c>
      <c r="S239" s="5"/>
      <c r="T239" s="17">
        <v>900</v>
      </c>
      <c r="U239" s="7">
        <v>1599.05</v>
      </c>
      <c r="V239" s="7">
        <v>0</v>
      </c>
      <c r="W239" s="7">
        <v>1599.05</v>
      </c>
      <c r="X239" s="7">
        <v>0</v>
      </c>
      <c r="Y239" s="7">
        <v>699.05</v>
      </c>
      <c r="Z239" s="10" t="str">
        <f t="shared" si="6"/>
        <v>Plumbing</v>
      </c>
      <c r="AA239" s="24" t="str">
        <f t="shared" si="7"/>
        <v xml:space="preserve"> 3971. LAX People Mover</v>
      </c>
    </row>
    <row r="240" spans="1:27" x14ac:dyDescent="0.2">
      <c r="A240" s="5" t="s">
        <v>380</v>
      </c>
      <c r="B240" s="5" t="s">
        <v>374</v>
      </c>
      <c r="C240" s="5" t="s">
        <v>235</v>
      </c>
      <c r="D240" s="5" t="s">
        <v>112</v>
      </c>
      <c r="E240" s="5" t="s">
        <v>88</v>
      </c>
      <c r="F240" s="5" t="s">
        <v>18</v>
      </c>
      <c r="G240" s="12" t="s">
        <v>89</v>
      </c>
      <c r="H240" s="12"/>
      <c r="I240" s="6">
        <v>0</v>
      </c>
      <c r="J240" s="6">
        <v>0</v>
      </c>
      <c r="K240" s="6">
        <v>0</v>
      </c>
      <c r="L240" s="16">
        <v>0</v>
      </c>
      <c r="M240" s="5"/>
      <c r="N240" s="9">
        <v>9</v>
      </c>
      <c r="O240" s="6">
        <v>0</v>
      </c>
      <c r="P240" s="6">
        <v>0</v>
      </c>
      <c r="Q240" s="6">
        <v>0</v>
      </c>
      <c r="R240" s="16">
        <v>-9</v>
      </c>
      <c r="S240" s="5"/>
      <c r="T240" s="17">
        <v>810</v>
      </c>
      <c r="U240" s="7">
        <v>0</v>
      </c>
      <c r="V240" s="7">
        <v>0</v>
      </c>
      <c r="W240" s="7">
        <v>0</v>
      </c>
      <c r="X240" s="7">
        <v>0</v>
      </c>
      <c r="Y240" s="7">
        <v>-810</v>
      </c>
      <c r="Z240" s="10" t="str">
        <f t="shared" si="6"/>
        <v>Plumbing</v>
      </c>
      <c r="AA240" s="24" t="str">
        <f t="shared" si="7"/>
        <v xml:space="preserve"> 3971. LAX People Mover</v>
      </c>
    </row>
    <row r="241" spans="1:27" x14ac:dyDescent="0.2">
      <c r="A241" s="5" t="s">
        <v>381</v>
      </c>
      <c r="B241" s="5" t="s">
        <v>374</v>
      </c>
      <c r="C241" s="5" t="s">
        <v>237</v>
      </c>
      <c r="D241" s="5" t="s">
        <v>112</v>
      </c>
      <c r="E241" s="5" t="s">
        <v>88</v>
      </c>
      <c r="F241" s="5" t="s">
        <v>18</v>
      </c>
      <c r="G241" s="12" t="s">
        <v>89</v>
      </c>
      <c r="H241" s="12"/>
      <c r="I241" s="6">
        <v>0</v>
      </c>
      <c r="J241" s="6">
        <v>0</v>
      </c>
      <c r="K241" s="6">
        <v>0</v>
      </c>
      <c r="L241" s="16">
        <v>0</v>
      </c>
      <c r="M241" s="5"/>
      <c r="N241" s="9">
        <v>314</v>
      </c>
      <c r="O241" s="6">
        <v>292</v>
      </c>
      <c r="P241" s="6">
        <v>300</v>
      </c>
      <c r="Q241" s="6">
        <v>8</v>
      </c>
      <c r="R241" s="16">
        <v>-14</v>
      </c>
      <c r="S241" s="5"/>
      <c r="T241" s="17">
        <v>28260</v>
      </c>
      <c r="U241" s="7">
        <v>28815.43</v>
      </c>
      <c r="V241" s="7">
        <v>0</v>
      </c>
      <c r="W241" s="7">
        <v>29655.43</v>
      </c>
      <c r="X241" s="7">
        <v>840</v>
      </c>
      <c r="Y241" s="7">
        <v>1395.43</v>
      </c>
      <c r="Z241" s="10" t="str">
        <f t="shared" si="6"/>
        <v>Plumbing</v>
      </c>
      <c r="AA241" s="24" t="str">
        <f t="shared" si="7"/>
        <v xml:space="preserve"> 3971. LAX People Mover</v>
      </c>
    </row>
    <row r="242" spans="1:27" x14ac:dyDescent="0.2">
      <c r="A242" s="5" t="s">
        <v>382</v>
      </c>
      <c r="B242" s="5" t="s">
        <v>374</v>
      </c>
      <c r="C242" s="5" t="s">
        <v>239</v>
      </c>
      <c r="D242" s="5" t="s">
        <v>112</v>
      </c>
      <c r="E242" s="5" t="s">
        <v>88</v>
      </c>
      <c r="F242" s="5" t="s">
        <v>18</v>
      </c>
      <c r="G242" s="12" t="s">
        <v>89</v>
      </c>
      <c r="H242" s="12"/>
      <c r="I242" s="6">
        <v>0</v>
      </c>
      <c r="J242" s="6">
        <v>0</v>
      </c>
      <c r="K242" s="6">
        <v>0</v>
      </c>
      <c r="L242" s="16">
        <v>0</v>
      </c>
      <c r="M242" s="5"/>
      <c r="N242" s="9">
        <v>89</v>
      </c>
      <c r="O242" s="6">
        <v>32</v>
      </c>
      <c r="P242" s="6">
        <v>32</v>
      </c>
      <c r="Q242" s="6">
        <v>0</v>
      </c>
      <c r="R242" s="16">
        <v>-57</v>
      </c>
      <c r="S242" s="5"/>
      <c r="T242" s="17">
        <v>8010</v>
      </c>
      <c r="U242" s="7">
        <v>3138.41</v>
      </c>
      <c r="V242" s="7">
        <v>0</v>
      </c>
      <c r="W242" s="7">
        <v>3138.41</v>
      </c>
      <c r="X242" s="7">
        <v>0</v>
      </c>
      <c r="Y242" s="7">
        <v>-4871.59</v>
      </c>
      <c r="Z242" s="10" t="str">
        <f t="shared" si="6"/>
        <v>Plumbing</v>
      </c>
      <c r="AA242" s="24" t="str">
        <f t="shared" si="7"/>
        <v xml:space="preserve"> 3971. LAX People Mover</v>
      </c>
    </row>
    <row r="243" spans="1:27" ht="25.5" x14ac:dyDescent="0.2">
      <c r="A243" s="5" t="s">
        <v>383</v>
      </c>
      <c r="B243" s="5" t="s">
        <v>384</v>
      </c>
      <c r="C243" s="5" t="s">
        <v>385</v>
      </c>
      <c r="D243" s="5" t="s">
        <v>386</v>
      </c>
      <c r="E243" s="5" t="s">
        <v>123</v>
      </c>
      <c r="F243" s="5" t="s">
        <v>18</v>
      </c>
      <c r="G243" s="12" t="s">
        <v>89</v>
      </c>
      <c r="H243" s="12"/>
      <c r="I243" s="6">
        <v>0</v>
      </c>
      <c r="J243" s="6">
        <v>0</v>
      </c>
      <c r="K243" s="6">
        <v>0</v>
      </c>
      <c r="L243" s="16">
        <v>0</v>
      </c>
      <c r="M243" s="5"/>
      <c r="N243" s="9">
        <v>0</v>
      </c>
      <c r="O243" s="6">
        <v>2242</v>
      </c>
      <c r="P243" s="6">
        <v>2242</v>
      </c>
      <c r="Q243" s="6">
        <v>0</v>
      </c>
      <c r="R243" s="16">
        <v>2242</v>
      </c>
      <c r="S243" s="5"/>
      <c r="T243" s="17">
        <v>0</v>
      </c>
      <c r="U243" s="7">
        <v>186012.01</v>
      </c>
      <c r="V243" s="7">
        <v>0</v>
      </c>
      <c r="W243" s="7">
        <v>186012.01</v>
      </c>
      <c r="X243" s="7">
        <v>0</v>
      </c>
      <c r="Y243" s="7">
        <v>186012.01</v>
      </c>
      <c r="Z243" s="10" t="str">
        <f t="shared" si="6"/>
        <v>Plumbing</v>
      </c>
      <c r="AA243" s="24" t="str">
        <f t="shared" si="7"/>
        <v xml:space="preserve"> 3971. LAX People Mover</v>
      </c>
    </row>
    <row r="244" spans="1:27" x14ac:dyDescent="0.2">
      <c r="A244" s="5" t="s">
        <v>387</v>
      </c>
      <c r="B244" s="5" t="s">
        <v>388</v>
      </c>
      <c r="C244" s="5" t="s">
        <v>225</v>
      </c>
      <c r="D244" s="5" t="s">
        <v>386</v>
      </c>
      <c r="E244" s="5" t="s">
        <v>88</v>
      </c>
      <c r="F244" s="5" t="s">
        <v>18</v>
      </c>
      <c r="G244" s="12" t="s">
        <v>89</v>
      </c>
      <c r="H244" s="12"/>
      <c r="I244" s="6">
        <v>0</v>
      </c>
      <c r="J244" s="6">
        <v>0</v>
      </c>
      <c r="K244" s="6">
        <v>0</v>
      </c>
      <c r="L244" s="16">
        <v>0</v>
      </c>
      <c r="M244" s="5"/>
      <c r="N244" s="9">
        <v>653</v>
      </c>
      <c r="O244" s="6">
        <v>705</v>
      </c>
      <c r="P244" s="6">
        <v>705</v>
      </c>
      <c r="Q244" s="6">
        <v>0</v>
      </c>
      <c r="R244" s="16">
        <v>52</v>
      </c>
      <c r="S244" s="5"/>
      <c r="T244" s="17">
        <v>58770</v>
      </c>
      <c r="U244" s="7">
        <v>61802.96</v>
      </c>
      <c r="V244" s="7">
        <v>0</v>
      </c>
      <c r="W244" s="7">
        <v>61802.96</v>
      </c>
      <c r="X244" s="7">
        <v>0</v>
      </c>
      <c r="Y244" s="7">
        <v>3032.96</v>
      </c>
      <c r="Z244" s="10" t="str">
        <f t="shared" si="6"/>
        <v>Plumbing</v>
      </c>
      <c r="AA244" s="24" t="str">
        <f t="shared" si="7"/>
        <v xml:space="preserve"> 3971. LAX People Mover</v>
      </c>
    </row>
    <row r="245" spans="1:27" x14ac:dyDescent="0.2">
      <c r="A245" s="5" t="s">
        <v>389</v>
      </c>
      <c r="B245" s="5" t="s">
        <v>388</v>
      </c>
      <c r="C245" s="5" t="s">
        <v>227</v>
      </c>
      <c r="D245" s="5" t="s">
        <v>386</v>
      </c>
      <c r="E245" s="5" t="s">
        <v>88</v>
      </c>
      <c r="F245" s="5" t="s">
        <v>18</v>
      </c>
      <c r="G245" s="12" t="s">
        <v>89</v>
      </c>
      <c r="H245" s="12"/>
      <c r="I245" s="6">
        <v>0</v>
      </c>
      <c r="J245" s="6">
        <v>0</v>
      </c>
      <c r="K245" s="6">
        <v>0</v>
      </c>
      <c r="L245" s="16">
        <v>0</v>
      </c>
      <c r="M245" s="5"/>
      <c r="N245" s="9">
        <v>29</v>
      </c>
      <c r="O245" s="6">
        <v>85</v>
      </c>
      <c r="P245" s="6">
        <v>85</v>
      </c>
      <c r="Q245" s="6">
        <v>0</v>
      </c>
      <c r="R245" s="16">
        <v>56</v>
      </c>
      <c r="S245" s="5"/>
      <c r="T245" s="17">
        <v>2610</v>
      </c>
      <c r="U245" s="7">
        <v>8314.35</v>
      </c>
      <c r="V245" s="7">
        <v>0</v>
      </c>
      <c r="W245" s="7">
        <v>8314.35</v>
      </c>
      <c r="X245" s="7">
        <v>0</v>
      </c>
      <c r="Y245" s="7">
        <v>5704.35</v>
      </c>
      <c r="Z245" s="10" t="str">
        <f t="shared" si="6"/>
        <v>Plumbing</v>
      </c>
      <c r="AA245" s="24" t="str">
        <f t="shared" si="7"/>
        <v xml:space="preserve"> 3971. LAX People Mover</v>
      </c>
    </row>
    <row r="246" spans="1:27" x14ac:dyDescent="0.2">
      <c r="A246" s="5" t="s">
        <v>390</v>
      </c>
      <c r="B246" s="5" t="s">
        <v>388</v>
      </c>
      <c r="C246" s="5" t="s">
        <v>229</v>
      </c>
      <c r="D246" s="5" t="s">
        <v>386</v>
      </c>
      <c r="E246" s="5" t="s">
        <v>88</v>
      </c>
      <c r="F246" s="5" t="s">
        <v>18</v>
      </c>
      <c r="G246" s="12" t="s">
        <v>89</v>
      </c>
      <c r="H246" s="12"/>
      <c r="I246" s="6">
        <v>0</v>
      </c>
      <c r="J246" s="6">
        <v>0</v>
      </c>
      <c r="K246" s="6">
        <v>0</v>
      </c>
      <c r="L246" s="16">
        <v>0</v>
      </c>
      <c r="M246" s="5"/>
      <c r="N246" s="9">
        <v>12</v>
      </c>
      <c r="O246" s="6">
        <v>33</v>
      </c>
      <c r="P246" s="6">
        <v>33</v>
      </c>
      <c r="Q246" s="6">
        <v>0</v>
      </c>
      <c r="R246" s="16">
        <v>21</v>
      </c>
      <c r="S246" s="5"/>
      <c r="T246" s="17">
        <v>1080</v>
      </c>
      <c r="U246" s="7">
        <v>3268.34</v>
      </c>
      <c r="V246" s="7">
        <v>0</v>
      </c>
      <c r="W246" s="7">
        <v>3268.34</v>
      </c>
      <c r="X246" s="7">
        <v>0</v>
      </c>
      <c r="Y246" s="7">
        <v>2188.34</v>
      </c>
      <c r="Z246" s="10" t="str">
        <f t="shared" si="6"/>
        <v>Plumbing</v>
      </c>
      <c r="AA246" s="24" t="str">
        <f t="shared" si="7"/>
        <v xml:space="preserve"> 3971. LAX People Mover</v>
      </c>
    </row>
    <row r="247" spans="1:27" x14ac:dyDescent="0.2">
      <c r="A247" s="5" t="s">
        <v>391</v>
      </c>
      <c r="B247" s="5" t="s">
        <v>388</v>
      </c>
      <c r="C247" s="5" t="s">
        <v>231</v>
      </c>
      <c r="D247" s="5" t="s">
        <v>386</v>
      </c>
      <c r="E247" s="5" t="s">
        <v>88</v>
      </c>
      <c r="F247" s="5" t="s">
        <v>18</v>
      </c>
      <c r="G247" s="12" t="s">
        <v>89</v>
      </c>
      <c r="H247" s="12"/>
      <c r="I247" s="6">
        <v>0</v>
      </c>
      <c r="J247" s="6">
        <v>0</v>
      </c>
      <c r="K247" s="6">
        <v>0</v>
      </c>
      <c r="L247" s="16">
        <v>0</v>
      </c>
      <c r="M247" s="5"/>
      <c r="N247" s="9">
        <v>246</v>
      </c>
      <c r="O247" s="6">
        <v>269</v>
      </c>
      <c r="P247" s="6">
        <v>269</v>
      </c>
      <c r="Q247" s="6">
        <v>0</v>
      </c>
      <c r="R247" s="16">
        <v>23</v>
      </c>
      <c r="S247" s="5"/>
      <c r="T247" s="17">
        <v>22056</v>
      </c>
      <c r="U247" s="7">
        <v>23408.36</v>
      </c>
      <c r="V247" s="7">
        <v>0</v>
      </c>
      <c r="W247" s="7">
        <v>23408.36</v>
      </c>
      <c r="X247" s="7">
        <v>0</v>
      </c>
      <c r="Y247" s="7">
        <v>1352.36</v>
      </c>
      <c r="Z247" s="10" t="str">
        <f t="shared" si="6"/>
        <v>Plumbing</v>
      </c>
      <c r="AA247" s="24" t="str">
        <f t="shared" si="7"/>
        <v xml:space="preserve"> 3971. LAX People Mover</v>
      </c>
    </row>
    <row r="248" spans="1:27" x14ac:dyDescent="0.2">
      <c r="A248" s="5" t="s">
        <v>392</v>
      </c>
      <c r="B248" s="5" t="s">
        <v>388</v>
      </c>
      <c r="C248" s="5" t="s">
        <v>233</v>
      </c>
      <c r="D248" s="5" t="s">
        <v>386</v>
      </c>
      <c r="E248" s="5" t="s">
        <v>88</v>
      </c>
      <c r="F248" s="5" t="s">
        <v>18</v>
      </c>
      <c r="G248" s="12" t="s">
        <v>89</v>
      </c>
      <c r="H248" s="12"/>
      <c r="I248" s="6">
        <v>0</v>
      </c>
      <c r="J248" s="6">
        <v>0</v>
      </c>
      <c r="K248" s="6">
        <v>0</v>
      </c>
      <c r="L248" s="16">
        <v>0</v>
      </c>
      <c r="M248" s="5"/>
      <c r="N248" s="9">
        <v>40</v>
      </c>
      <c r="O248" s="6">
        <v>152</v>
      </c>
      <c r="P248" s="6">
        <v>152</v>
      </c>
      <c r="Q248" s="6">
        <v>0</v>
      </c>
      <c r="R248" s="16">
        <v>112</v>
      </c>
      <c r="S248" s="5"/>
      <c r="T248" s="17">
        <v>3600</v>
      </c>
      <c r="U248" s="7">
        <v>12047.79</v>
      </c>
      <c r="V248" s="7">
        <v>0</v>
      </c>
      <c r="W248" s="7">
        <v>12047.79</v>
      </c>
      <c r="X248" s="7">
        <v>0</v>
      </c>
      <c r="Y248" s="7">
        <v>8447.7900000000009</v>
      </c>
      <c r="Z248" s="10" t="str">
        <f t="shared" si="6"/>
        <v>Plumbing</v>
      </c>
      <c r="AA248" s="24" t="str">
        <f t="shared" si="7"/>
        <v xml:space="preserve"> 3971. LAX People Mover</v>
      </c>
    </row>
    <row r="249" spans="1:27" x14ac:dyDescent="0.2">
      <c r="A249" s="5" t="s">
        <v>393</v>
      </c>
      <c r="B249" s="5" t="s">
        <v>388</v>
      </c>
      <c r="C249" s="5" t="s">
        <v>235</v>
      </c>
      <c r="D249" s="5" t="s">
        <v>386</v>
      </c>
      <c r="E249" s="5" t="s">
        <v>88</v>
      </c>
      <c r="F249" s="5" t="s">
        <v>18</v>
      </c>
      <c r="G249" s="12" t="s">
        <v>89</v>
      </c>
      <c r="H249" s="12"/>
      <c r="I249" s="6">
        <v>0</v>
      </c>
      <c r="J249" s="6">
        <v>0</v>
      </c>
      <c r="K249" s="6">
        <v>0</v>
      </c>
      <c r="L249" s="16">
        <v>0</v>
      </c>
      <c r="M249" s="5"/>
      <c r="N249" s="9">
        <v>155</v>
      </c>
      <c r="O249" s="6">
        <v>61</v>
      </c>
      <c r="P249" s="6">
        <v>61</v>
      </c>
      <c r="Q249" s="6">
        <v>0</v>
      </c>
      <c r="R249" s="16">
        <v>-94</v>
      </c>
      <c r="S249" s="5"/>
      <c r="T249" s="17">
        <v>14132</v>
      </c>
      <c r="U249" s="7">
        <v>5591.11</v>
      </c>
      <c r="V249" s="7">
        <v>0</v>
      </c>
      <c r="W249" s="7">
        <v>5591.11</v>
      </c>
      <c r="X249" s="7">
        <v>0</v>
      </c>
      <c r="Y249" s="7">
        <v>-8540.89</v>
      </c>
      <c r="Z249" s="10" t="str">
        <f t="shared" si="6"/>
        <v>Plumbing</v>
      </c>
      <c r="AA249" s="24" t="str">
        <f t="shared" si="7"/>
        <v xml:space="preserve"> 3971. LAX People Mover</v>
      </c>
    </row>
    <row r="250" spans="1:27" x14ac:dyDescent="0.2">
      <c r="A250" s="5" t="s">
        <v>394</v>
      </c>
      <c r="B250" s="5" t="s">
        <v>395</v>
      </c>
      <c r="C250" s="5" t="s">
        <v>237</v>
      </c>
      <c r="D250" s="5" t="s">
        <v>386</v>
      </c>
      <c r="E250" s="5" t="s">
        <v>88</v>
      </c>
      <c r="F250" s="5" t="s">
        <v>18</v>
      </c>
      <c r="G250" s="12" t="s">
        <v>89</v>
      </c>
      <c r="H250" s="12"/>
      <c r="I250" s="6">
        <v>0</v>
      </c>
      <c r="J250" s="6">
        <v>0</v>
      </c>
      <c r="K250" s="6">
        <v>0</v>
      </c>
      <c r="L250" s="16">
        <v>0</v>
      </c>
      <c r="M250" s="5"/>
      <c r="N250" s="9">
        <v>382</v>
      </c>
      <c r="O250" s="6">
        <v>1195</v>
      </c>
      <c r="P250" s="6">
        <v>1195</v>
      </c>
      <c r="Q250" s="6">
        <v>0</v>
      </c>
      <c r="R250" s="16">
        <v>813</v>
      </c>
      <c r="S250" s="5"/>
      <c r="T250" s="17">
        <v>34380</v>
      </c>
      <c r="U250" s="7">
        <v>106124.37</v>
      </c>
      <c r="V250" s="7">
        <v>0</v>
      </c>
      <c r="W250" s="7">
        <v>106124.37</v>
      </c>
      <c r="X250" s="7">
        <v>0</v>
      </c>
      <c r="Y250" s="7">
        <v>71744.37</v>
      </c>
      <c r="Z250" s="10" t="str">
        <f t="shared" si="6"/>
        <v>Plumbing</v>
      </c>
      <c r="AA250" s="24" t="str">
        <f t="shared" si="7"/>
        <v xml:space="preserve"> 3971. LAX People Mover</v>
      </c>
    </row>
    <row r="251" spans="1:27" x14ac:dyDescent="0.2">
      <c r="A251" s="5" t="s">
        <v>396</v>
      </c>
      <c r="B251" s="5" t="s">
        <v>395</v>
      </c>
      <c r="C251" s="5" t="s">
        <v>239</v>
      </c>
      <c r="D251" s="5" t="s">
        <v>386</v>
      </c>
      <c r="E251" s="5" t="s">
        <v>88</v>
      </c>
      <c r="F251" s="5" t="s">
        <v>18</v>
      </c>
      <c r="G251" s="12" t="s">
        <v>89</v>
      </c>
      <c r="H251" s="12"/>
      <c r="I251" s="6">
        <v>0</v>
      </c>
      <c r="J251" s="6">
        <v>0</v>
      </c>
      <c r="K251" s="6">
        <v>0</v>
      </c>
      <c r="L251" s="16">
        <v>0</v>
      </c>
      <c r="M251" s="5"/>
      <c r="N251" s="9">
        <v>339</v>
      </c>
      <c r="O251" s="6">
        <v>550</v>
      </c>
      <c r="P251" s="6">
        <v>550</v>
      </c>
      <c r="Q251" s="6">
        <v>0</v>
      </c>
      <c r="R251" s="16">
        <v>211</v>
      </c>
      <c r="S251" s="5"/>
      <c r="T251" s="17">
        <v>31064.880000000001</v>
      </c>
      <c r="U251" s="7">
        <v>43495.47</v>
      </c>
      <c r="V251" s="7">
        <v>0</v>
      </c>
      <c r="W251" s="7">
        <v>43495.47</v>
      </c>
      <c r="X251" s="7">
        <v>0</v>
      </c>
      <c r="Y251" s="7">
        <v>12430.59</v>
      </c>
      <c r="Z251" s="10" t="str">
        <f t="shared" si="6"/>
        <v>Plumbing</v>
      </c>
      <c r="AA251" s="24" t="str">
        <f t="shared" si="7"/>
        <v xml:space="preserve"> 3971. LAX People Mover</v>
      </c>
    </row>
    <row r="252" spans="1:27" ht="25.5" x14ac:dyDescent="0.2">
      <c r="A252" s="5" t="s">
        <v>397</v>
      </c>
      <c r="B252" s="5" t="s">
        <v>398</v>
      </c>
      <c r="C252" s="5" t="s">
        <v>16</v>
      </c>
      <c r="D252" s="5" t="s">
        <v>92</v>
      </c>
      <c r="E252" s="5" t="s">
        <v>123</v>
      </c>
      <c r="F252" s="5" t="s">
        <v>18</v>
      </c>
      <c r="G252" s="12" t="s">
        <v>89</v>
      </c>
      <c r="H252" s="12"/>
      <c r="I252" s="6">
        <v>0</v>
      </c>
      <c r="J252" s="6">
        <v>0</v>
      </c>
      <c r="K252" s="6">
        <v>0</v>
      </c>
      <c r="L252" s="16">
        <v>0</v>
      </c>
      <c r="M252" s="5"/>
      <c r="N252" s="9">
        <v>0</v>
      </c>
      <c r="O252" s="6">
        <v>16</v>
      </c>
      <c r="P252" s="6">
        <v>16</v>
      </c>
      <c r="Q252" s="6">
        <v>0</v>
      </c>
      <c r="R252" s="16">
        <v>16</v>
      </c>
      <c r="S252" s="5"/>
      <c r="T252" s="17">
        <v>0</v>
      </c>
      <c r="U252" s="7">
        <v>1504.2</v>
      </c>
      <c r="V252" s="7">
        <v>0</v>
      </c>
      <c r="W252" s="7">
        <v>1504.2</v>
      </c>
      <c r="X252" s="7">
        <v>0</v>
      </c>
      <c r="Y252" s="7">
        <v>1504.2</v>
      </c>
      <c r="Z252" s="10" t="str">
        <f t="shared" si="6"/>
        <v>Plumbing</v>
      </c>
      <c r="AA252" s="24" t="str">
        <f t="shared" si="7"/>
        <v xml:space="preserve"> 3971. LAX People Mover</v>
      </c>
    </row>
    <row r="253" spans="1:27" x14ac:dyDescent="0.2">
      <c r="A253" s="5" t="s">
        <v>399</v>
      </c>
      <c r="B253" s="5" t="s">
        <v>400</v>
      </c>
      <c r="C253" s="5" t="s">
        <v>225</v>
      </c>
      <c r="D253" s="5" t="s">
        <v>92</v>
      </c>
      <c r="E253" s="5" t="s">
        <v>88</v>
      </c>
      <c r="F253" s="5" t="s">
        <v>18</v>
      </c>
      <c r="G253" s="12" t="s">
        <v>89</v>
      </c>
      <c r="H253" s="12"/>
      <c r="I253" s="6">
        <v>0</v>
      </c>
      <c r="J253" s="6">
        <v>0</v>
      </c>
      <c r="K253" s="6">
        <v>0</v>
      </c>
      <c r="L253" s="16">
        <v>0</v>
      </c>
      <c r="M253" s="5"/>
      <c r="N253" s="9">
        <v>314</v>
      </c>
      <c r="O253" s="6">
        <v>1599</v>
      </c>
      <c r="P253" s="6">
        <v>1599</v>
      </c>
      <c r="Q253" s="6">
        <v>0</v>
      </c>
      <c r="R253" s="16">
        <v>1285</v>
      </c>
      <c r="S253" s="5"/>
      <c r="T253" s="17">
        <v>28227.24</v>
      </c>
      <c r="U253" s="7">
        <v>116766.61</v>
      </c>
      <c r="V253" s="7">
        <v>0</v>
      </c>
      <c r="W253" s="7">
        <v>116766.61</v>
      </c>
      <c r="X253" s="7">
        <v>0</v>
      </c>
      <c r="Y253" s="7">
        <v>88539.37</v>
      </c>
      <c r="Z253" s="10" t="str">
        <f t="shared" si="6"/>
        <v>Plumbing</v>
      </c>
      <c r="AA253" s="24" t="str">
        <f t="shared" si="7"/>
        <v xml:space="preserve"> 3971. LAX People Mover</v>
      </c>
    </row>
    <row r="254" spans="1:27" x14ac:dyDescent="0.2">
      <c r="A254" s="5" t="s">
        <v>401</v>
      </c>
      <c r="B254" s="5" t="s">
        <v>400</v>
      </c>
      <c r="C254" s="5" t="s">
        <v>227</v>
      </c>
      <c r="D254" s="5" t="s">
        <v>92</v>
      </c>
      <c r="E254" s="5" t="s">
        <v>88</v>
      </c>
      <c r="F254" s="5" t="s">
        <v>18</v>
      </c>
      <c r="G254" s="12" t="s">
        <v>89</v>
      </c>
      <c r="H254" s="12"/>
      <c r="I254" s="6">
        <v>0</v>
      </c>
      <c r="J254" s="6">
        <v>0</v>
      </c>
      <c r="K254" s="6">
        <v>0</v>
      </c>
      <c r="L254" s="16">
        <v>0</v>
      </c>
      <c r="M254" s="5"/>
      <c r="N254" s="9">
        <v>293</v>
      </c>
      <c r="O254" s="6">
        <v>731</v>
      </c>
      <c r="P254" s="6">
        <v>731</v>
      </c>
      <c r="Q254" s="6">
        <v>0</v>
      </c>
      <c r="R254" s="16">
        <v>438</v>
      </c>
      <c r="S254" s="5"/>
      <c r="T254" s="17">
        <v>26370</v>
      </c>
      <c r="U254" s="7">
        <v>60953.1</v>
      </c>
      <c r="V254" s="7">
        <v>0</v>
      </c>
      <c r="W254" s="7">
        <v>60953.1</v>
      </c>
      <c r="X254" s="7">
        <v>0</v>
      </c>
      <c r="Y254" s="7">
        <v>34583.1</v>
      </c>
      <c r="Z254" s="10" t="str">
        <f t="shared" si="6"/>
        <v>Plumbing</v>
      </c>
      <c r="AA254" s="24" t="str">
        <f t="shared" si="7"/>
        <v xml:space="preserve"> 3971. LAX People Mover</v>
      </c>
    </row>
    <row r="255" spans="1:27" x14ac:dyDescent="0.2">
      <c r="A255" s="5" t="s">
        <v>402</v>
      </c>
      <c r="B255" s="5" t="s">
        <v>400</v>
      </c>
      <c r="C255" s="5" t="s">
        <v>229</v>
      </c>
      <c r="D255" s="5" t="s">
        <v>92</v>
      </c>
      <c r="E255" s="5" t="s">
        <v>88</v>
      </c>
      <c r="F255" s="5" t="s">
        <v>18</v>
      </c>
      <c r="G255" s="12" t="s">
        <v>89</v>
      </c>
      <c r="H255" s="12"/>
      <c r="I255" s="6">
        <v>0</v>
      </c>
      <c r="J255" s="6">
        <v>0</v>
      </c>
      <c r="K255" s="6">
        <v>0</v>
      </c>
      <c r="L255" s="16">
        <v>0</v>
      </c>
      <c r="M255" s="5"/>
      <c r="N255" s="9">
        <v>207</v>
      </c>
      <c r="O255" s="6">
        <v>395</v>
      </c>
      <c r="P255" s="6">
        <v>395</v>
      </c>
      <c r="Q255" s="6">
        <v>0</v>
      </c>
      <c r="R255" s="16">
        <v>188</v>
      </c>
      <c r="S255" s="5"/>
      <c r="T255" s="17">
        <v>18630</v>
      </c>
      <c r="U255" s="7">
        <v>33236.269999999997</v>
      </c>
      <c r="V255" s="7">
        <v>0</v>
      </c>
      <c r="W255" s="7">
        <v>33236.269999999997</v>
      </c>
      <c r="X255" s="7">
        <v>0</v>
      </c>
      <c r="Y255" s="7">
        <v>14606.27</v>
      </c>
      <c r="Z255" s="10" t="str">
        <f t="shared" si="6"/>
        <v>Plumbing</v>
      </c>
      <c r="AA255" s="24" t="str">
        <f t="shared" si="7"/>
        <v xml:space="preserve"> 3971. LAX People Mover</v>
      </c>
    </row>
    <row r="256" spans="1:27" x14ac:dyDescent="0.2">
      <c r="A256" s="5" t="s">
        <v>403</v>
      </c>
      <c r="B256" s="5" t="s">
        <v>400</v>
      </c>
      <c r="C256" s="5" t="s">
        <v>231</v>
      </c>
      <c r="D256" s="5" t="s">
        <v>92</v>
      </c>
      <c r="E256" s="5" t="s">
        <v>88</v>
      </c>
      <c r="F256" s="5" t="s">
        <v>18</v>
      </c>
      <c r="G256" s="12" t="s">
        <v>89</v>
      </c>
      <c r="H256" s="12"/>
      <c r="I256" s="6">
        <v>0</v>
      </c>
      <c r="J256" s="6">
        <v>0</v>
      </c>
      <c r="K256" s="6">
        <v>0</v>
      </c>
      <c r="L256" s="16">
        <v>0</v>
      </c>
      <c r="M256" s="5"/>
      <c r="N256" s="9">
        <v>362</v>
      </c>
      <c r="O256" s="6">
        <v>442</v>
      </c>
      <c r="P256" s="6">
        <v>442</v>
      </c>
      <c r="Q256" s="6">
        <v>0</v>
      </c>
      <c r="R256" s="16">
        <v>80</v>
      </c>
      <c r="S256" s="5"/>
      <c r="T256" s="17">
        <v>32580</v>
      </c>
      <c r="U256" s="7">
        <v>41175.019999999997</v>
      </c>
      <c r="V256" s="7">
        <v>0</v>
      </c>
      <c r="W256" s="7">
        <v>41175.019999999997</v>
      </c>
      <c r="X256" s="7">
        <v>0</v>
      </c>
      <c r="Y256" s="7">
        <v>8595.02</v>
      </c>
      <c r="Z256" s="10" t="str">
        <f t="shared" si="6"/>
        <v>Plumbing</v>
      </c>
      <c r="AA256" s="24" t="str">
        <f t="shared" si="7"/>
        <v xml:space="preserve"> 3971. LAX People Mover</v>
      </c>
    </row>
    <row r="257" spans="1:27" x14ac:dyDescent="0.2">
      <c r="A257" s="5" t="s">
        <v>404</v>
      </c>
      <c r="B257" s="5" t="s">
        <v>400</v>
      </c>
      <c r="C257" s="5" t="s">
        <v>233</v>
      </c>
      <c r="D257" s="5" t="s">
        <v>92</v>
      </c>
      <c r="E257" s="5" t="s">
        <v>88</v>
      </c>
      <c r="F257" s="5" t="s">
        <v>18</v>
      </c>
      <c r="G257" s="12" t="s">
        <v>89</v>
      </c>
      <c r="H257" s="12"/>
      <c r="I257" s="6">
        <v>0</v>
      </c>
      <c r="J257" s="6">
        <v>0</v>
      </c>
      <c r="K257" s="6">
        <v>0</v>
      </c>
      <c r="L257" s="16">
        <v>0</v>
      </c>
      <c r="M257" s="5"/>
      <c r="N257" s="9">
        <v>13</v>
      </c>
      <c r="O257" s="6">
        <v>9</v>
      </c>
      <c r="P257" s="6">
        <v>9</v>
      </c>
      <c r="Q257" s="6">
        <v>0</v>
      </c>
      <c r="R257" s="16">
        <v>-4</v>
      </c>
      <c r="S257" s="5"/>
      <c r="T257" s="17">
        <v>1170</v>
      </c>
      <c r="U257" s="7">
        <v>843.43</v>
      </c>
      <c r="V257" s="7">
        <v>0</v>
      </c>
      <c r="W257" s="7">
        <v>843.43</v>
      </c>
      <c r="X257" s="7">
        <v>0</v>
      </c>
      <c r="Y257" s="7">
        <v>-326.57</v>
      </c>
      <c r="Z257" s="10" t="str">
        <f t="shared" si="6"/>
        <v>Plumbing</v>
      </c>
      <c r="AA257" s="24" t="str">
        <f t="shared" si="7"/>
        <v xml:space="preserve"> 3971. LAX People Mover</v>
      </c>
    </row>
    <row r="258" spans="1:27" x14ac:dyDescent="0.2">
      <c r="A258" s="5" t="s">
        <v>405</v>
      </c>
      <c r="B258" s="5" t="s">
        <v>400</v>
      </c>
      <c r="C258" s="5" t="s">
        <v>235</v>
      </c>
      <c r="D258" s="5" t="s">
        <v>92</v>
      </c>
      <c r="E258" s="5" t="s">
        <v>88</v>
      </c>
      <c r="F258" s="5" t="s">
        <v>18</v>
      </c>
      <c r="G258" s="12" t="s">
        <v>89</v>
      </c>
      <c r="H258" s="12"/>
      <c r="I258" s="6">
        <v>0</v>
      </c>
      <c r="J258" s="6">
        <v>0</v>
      </c>
      <c r="K258" s="6">
        <v>0</v>
      </c>
      <c r="L258" s="16">
        <v>0</v>
      </c>
      <c r="M258" s="5"/>
      <c r="N258" s="9">
        <v>11</v>
      </c>
      <c r="O258" s="6">
        <v>89</v>
      </c>
      <c r="P258" s="6">
        <v>89</v>
      </c>
      <c r="Q258" s="6">
        <v>0</v>
      </c>
      <c r="R258" s="16">
        <v>78</v>
      </c>
      <c r="S258" s="5"/>
      <c r="T258" s="17">
        <v>990</v>
      </c>
      <c r="U258" s="7">
        <v>8244.49</v>
      </c>
      <c r="V258" s="7">
        <v>0</v>
      </c>
      <c r="W258" s="7">
        <v>8244.49</v>
      </c>
      <c r="X258" s="7">
        <v>0</v>
      </c>
      <c r="Y258" s="7">
        <v>7254.49</v>
      </c>
      <c r="Z258" s="10" t="str">
        <f t="shared" si="6"/>
        <v>Plumbing</v>
      </c>
      <c r="AA258" s="24" t="str">
        <f t="shared" si="7"/>
        <v xml:space="preserve"> 3971. LAX People Mover</v>
      </c>
    </row>
    <row r="259" spans="1:27" x14ac:dyDescent="0.2">
      <c r="A259" s="5" t="s">
        <v>406</v>
      </c>
      <c r="B259" s="5" t="s">
        <v>407</v>
      </c>
      <c r="C259" s="5" t="s">
        <v>237</v>
      </c>
      <c r="D259" s="5" t="s">
        <v>92</v>
      </c>
      <c r="E259" s="5" t="s">
        <v>88</v>
      </c>
      <c r="F259" s="5" t="s">
        <v>18</v>
      </c>
      <c r="G259" s="12" t="s">
        <v>89</v>
      </c>
      <c r="H259" s="12"/>
      <c r="I259" s="6">
        <v>0</v>
      </c>
      <c r="J259" s="6">
        <v>0</v>
      </c>
      <c r="K259" s="6">
        <v>0</v>
      </c>
      <c r="L259" s="16">
        <v>0</v>
      </c>
      <c r="M259" s="5"/>
      <c r="N259" s="9">
        <v>1177</v>
      </c>
      <c r="O259" s="6">
        <v>2134</v>
      </c>
      <c r="P259" s="6">
        <v>2174</v>
      </c>
      <c r="Q259" s="6">
        <v>40</v>
      </c>
      <c r="R259" s="16">
        <v>997</v>
      </c>
      <c r="S259" s="5"/>
      <c r="T259" s="17">
        <v>105930</v>
      </c>
      <c r="U259" s="7">
        <v>184695.85</v>
      </c>
      <c r="V259" s="7">
        <v>0</v>
      </c>
      <c r="W259" s="7">
        <v>188895.85</v>
      </c>
      <c r="X259" s="7">
        <v>4200</v>
      </c>
      <c r="Y259" s="7">
        <v>82965.850000000006</v>
      </c>
      <c r="Z259" s="10" t="str">
        <f t="shared" si="6"/>
        <v>Plumbing</v>
      </c>
      <c r="AA259" s="24" t="str">
        <f t="shared" si="7"/>
        <v xml:space="preserve"> 3971. LAX People Mover</v>
      </c>
    </row>
    <row r="260" spans="1:27" x14ac:dyDescent="0.2">
      <c r="A260" s="5" t="s">
        <v>408</v>
      </c>
      <c r="B260" s="5" t="s">
        <v>407</v>
      </c>
      <c r="C260" s="5" t="s">
        <v>239</v>
      </c>
      <c r="D260" s="5" t="s">
        <v>92</v>
      </c>
      <c r="E260" s="5" t="s">
        <v>88</v>
      </c>
      <c r="F260" s="5" t="s">
        <v>18</v>
      </c>
      <c r="G260" s="12" t="s">
        <v>89</v>
      </c>
      <c r="H260" s="12"/>
      <c r="I260" s="6">
        <v>0</v>
      </c>
      <c r="J260" s="6">
        <v>0</v>
      </c>
      <c r="K260" s="6">
        <v>0</v>
      </c>
      <c r="L260" s="16">
        <v>0</v>
      </c>
      <c r="M260" s="5"/>
      <c r="N260" s="9">
        <v>207</v>
      </c>
      <c r="O260" s="6">
        <v>303</v>
      </c>
      <c r="P260" s="6">
        <v>303</v>
      </c>
      <c r="Q260" s="6">
        <v>0</v>
      </c>
      <c r="R260" s="16">
        <v>96</v>
      </c>
      <c r="S260" s="5"/>
      <c r="T260" s="17">
        <v>18630</v>
      </c>
      <c r="U260" s="7">
        <v>24320.98</v>
      </c>
      <c r="V260" s="7">
        <v>0</v>
      </c>
      <c r="W260" s="7">
        <v>24320.98</v>
      </c>
      <c r="X260" s="7">
        <v>0</v>
      </c>
      <c r="Y260" s="7">
        <v>5690.98</v>
      </c>
      <c r="Z260" s="10" t="str">
        <f t="shared" si="6"/>
        <v>Plumbing</v>
      </c>
      <c r="AA260" s="24" t="str">
        <f t="shared" si="7"/>
        <v xml:space="preserve"> 3971. LAX People Mover</v>
      </c>
    </row>
    <row r="261" spans="1:27" x14ac:dyDescent="0.2">
      <c r="A261" s="5" t="s">
        <v>409</v>
      </c>
      <c r="B261" s="5" t="s">
        <v>410</v>
      </c>
      <c r="C261" s="5" t="s">
        <v>225</v>
      </c>
      <c r="D261" s="5" t="s">
        <v>78</v>
      </c>
      <c r="E261" s="5" t="s">
        <v>88</v>
      </c>
      <c r="F261" s="5" t="s">
        <v>18</v>
      </c>
      <c r="G261" s="12" t="s">
        <v>89</v>
      </c>
      <c r="H261" s="12"/>
      <c r="I261" s="6">
        <v>0</v>
      </c>
      <c r="J261" s="6">
        <v>0</v>
      </c>
      <c r="K261" s="6">
        <v>0</v>
      </c>
      <c r="L261" s="16">
        <v>0</v>
      </c>
      <c r="M261" s="5"/>
      <c r="N261" s="9">
        <v>1169</v>
      </c>
      <c r="O261" s="6">
        <v>2133</v>
      </c>
      <c r="P261" s="6">
        <v>2133</v>
      </c>
      <c r="Q261" s="6">
        <v>0</v>
      </c>
      <c r="R261" s="16">
        <v>964</v>
      </c>
      <c r="S261" s="5"/>
      <c r="T261" s="17">
        <v>104750.5</v>
      </c>
      <c r="U261" s="7">
        <v>163019.25</v>
      </c>
      <c r="V261" s="7">
        <v>0</v>
      </c>
      <c r="W261" s="7">
        <v>163019.25</v>
      </c>
      <c r="X261" s="7">
        <v>0</v>
      </c>
      <c r="Y261" s="7">
        <v>58268.75</v>
      </c>
      <c r="Z261" s="10" t="str">
        <f t="shared" ref="Z261:Z324" si="8">IF(G261="PLUM", "Plumbing", IF(G261="PIPE", "Piping", IF(G261="HVAC", "Sheet Metal", G261)))</f>
        <v>Plumbing</v>
      </c>
      <c r="AA261" s="24" t="str">
        <f t="shared" ref="AA261:AA324" si="9">IF(ISBLANK(B261), "", $A$2)</f>
        <v xml:space="preserve"> 3971. LAX People Mover</v>
      </c>
    </row>
    <row r="262" spans="1:27" x14ac:dyDescent="0.2">
      <c r="A262" s="5" t="s">
        <v>411</v>
      </c>
      <c r="B262" s="5" t="s">
        <v>410</v>
      </c>
      <c r="C262" s="5" t="s">
        <v>122</v>
      </c>
      <c r="D262" s="5" t="s">
        <v>78</v>
      </c>
      <c r="E262" s="5" t="s">
        <v>88</v>
      </c>
      <c r="F262" s="5" t="s">
        <v>18</v>
      </c>
      <c r="G262" s="12" t="s">
        <v>89</v>
      </c>
      <c r="H262" s="12"/>
      <c r="I262" s="6">
        <v>0</v>
      </c>
      <c r="J262" s="6">
        <v>0</v>
      </c>
      <c r="K262" s="6">
        <v>0</v>
      </c>
      <c r="L262" s="16">
        <v>0</v>
      </c>
      <c r="M262" s="5"/>
      <c r="N262" s="9">
        <v>19</v>
      </c>
      <c r="O262" s="6">
        <v>30</v>
      </c>
      <c r="P262" s="6">
        <v>54</v>
      </c>
      <c r="Q262" s="6">
        <v>24</v>
      </c>
      <c r="R262" s="16">
        <v>35</v>
      </c>
      <c r="S262" s="5"/>
      <c r="T262" s="17">
        <v>1710</v>
      </c>
      <c r="U262" s="7">
        <v>2839.22</v>
      </c>
      <c r="V262" s="7">
        <v>0</v>
      </c>
      <c r="W262" s="7">
        <v>5359.22</v>
      </c>
      <c r="X262" s="7">
        <v>2520</v>
      </c>
      <c r="Y262" s="7">
        <v>3649.22</v>
      </c>
      <c r="Z262" s="10" t="str">
        <f t="shared" si="8"/>
        <v>Plumbing</v>
      </c>
      <c r="AA262" s="24" t="str">
        <f t="shared" si="9"/>
        <v xml:space="preserve"> 3971. LAX People Mover</v>
      </c>
    </row>
    <row r="263" spans="1:27" x14ac:dyDescent="0.2">
      <c r="A263" s="5" t="s">
        <v>412</v>
      </c>
      <c r="B263" s="5" t="s">
        <v>410</v>
      </c>
      <c r="C263" s="5" t="s">
        <v>227</v>
      </c>
      <c r="D263" s="5" t="s">
        <v>78</v>
      </c>
      <c r="E263" s="5" t="s">
        <v>88</v>
      </c>
      <c r="F263" s="5" t="s">
        <v>18</v>
      </c>
      <c r="G263" s="12" t="s">
        <v>89</v>
      </c>
      <c r="H263" s="12"/>
      <c r="I263" s="6">
        <v>0</v>
      </c>
      <c r="J263" s="6">
        <v>0</v>
      </c>
      <c r="K263" s="6">
        <v>0</v>
      </c>
      <c r="L263" s="16">
        <v>0</v>
      </c>
      <c r="M263" s="5"/>
      <c r="N263" s="9">
        <v>280</v>
      </c>
      <c r="O263" s="6">
        <v>706</v>
      </c>
      <c r="P263" s="6">
        <v>706</v>
      </c>
      <c r="Q263" s="6">
        <v>0</v>
      </c>
      <c r="R263" s="16">
        <v>426</v>
      </c>
      <c r="S263" s="5"/>
      <c r="T263" s="17">
        <v>25200</v>
      </c>
      <c r="U263" s="7">
        <v>60830.91</v>
      </c>
      <c r="V263" s="7">
        <v>0</v>
      </c>
      <c r="W263" s="7">
        <v>60830.91</v>
      </c>
      <c r="X263" s="7">
        <v>0</v>
      </c>
      <c r="Y263" s="7">
        <v>35630.910000000003</v>
      </c>
      <c r="Z263" s="10" t="str">
        <f t="shared" si="8"/>
        <v>Plumbing</v>
      </c>
      <c r="AA263" s="24" t="str">
        <f t="shared" si="9"/>
        <v xml:space="preserve"> 3971. LAX People Mover</v>
      </c>
    </row>
    <row r="264" spans="1:27" x14ac:dyDescent="0.2">
      <c r="A264" s="5" t="s">
        <v>413</v>
      </c>
      <c r="B264" s="5" t="s">
        <v>410</v>
      </c>
      <c r="C264" s="5" t="s">
        <v>229</v>
      </c>
      <c r="D264" s="5" t="s">
        <v>78</v>
      </c>
      <c r="E264" s="5" t="s">
        <v>88</v>
      </c>
      <c r="F264" s="5" t="s">
        <v>18</v>
      </c>
      <c r="G264" s="12" t="s">
        <v>89</v>
      </c>
      <c r="H264" s="12"/>
      <c r="I264" s="6">
        <v>0</v>
      </c>
      <c r="J264" s="6">
        <v>0</v>
      </c>
      <c r="K264" s="6">
        <v>0</v>
      </c>
      <c r="L264" s="16">
        <v>0</v>
      </c>
      <c r="M264" s="5"/>
      <c r="N264" s="9">
        <v>246</v>
      </c>
      <c r="O264" s="6">
        <v>471</v>
      </c>
      <c r="P264" s="6">
        <v>471</v>
      </c>
      <c r="Q264" s="6">
        <v>0</v>
      </c>
      <c r="R264" s="16">
        <v>225</v>
      </c>
      <c r="S264" s="5"/>
      <c r="T264" s="17">
        <v>22180</v>
      </c>
      <c r="U264" s="7">
        <v>38031.910000000003</v>
      </c>
      <c r="V264" s="7">
        <v>0</v>
      </c>
      <c r="W264" s="7">
        <v>38031.910000000003</v>
      </c>
      <c r="X264" s="7">
        <v>0</v>
      </c>
      <c r="Y264" s="7">
        <v>15851.91</v>
      </c>
      <c r="Z264" s="10" t="str">
        <f t="shared" si="8"/>
        <v>Plumbing</v>
      </c>
      <c r="AA264" s="24" t="str">
        <f t="shared" si="9"/>
        <v xml:space="preserve"> 3971. LAX People Mover</v>
      </c>
    </row>
    <row r="265" spans="1:27" x14ac:dyDescent="0.2">
      <c r="A265" s="5" t="s">
        <v>414</v>
      </c>
      <c r="B265" s="5" t="s">
        <v>410</v>
      </c>
      <c r="C265" s="5" t="s">
        <v>231</v>
      </c>
      <c r="D265" s="5" t="s">
        <v>78</v>
      </c>
      <c r="E265" s="5" t="s">
        <v>88</v>
      </c>
      <c r="F265" s="5" t="s">
        <v>18</v>
      </c>
      <c r="G265" s="12" t="s">
        <v>89</v>
      </c>
      <c r="H265" s="12"/>
      <c r="I265" s="6">
        <v>0</v>
      </c>
      <c r="J265" s="6">
        <v>0</v>
      </c>
      <c r="K265" s="6">
        <v>0</v>
      </c>
      <c r="L265" s="16">
        <v>0</v>
      </c>
      <c r="M265" s="5"/>
      <c r="N265" s="9">
        <v>152</v>
      </c>
      <c r="O265" s="6">
        <v>513</v>
      </c>
      <c r="P265" s="6">
        <v>513</v>
      </c>
      <c r="Q265" s="6">
        <v>0</v>
      </c>
      <c r="R265" s="16">
        <v>361</v>
      </c>
      <c r="S265" s="5"/>
      <c r="T265" s="17">
        <v>13680</v>
      </c>
      <c r="U265" s="7">
        <v>47842.58</v>
      </c>
      <c r="V265" s="7">
        <v>0</v>
      </c>
      <c r="W265" s="7">
        <v>47842.58</v>
      </c>
      <c r="X265" s="7">
        <v>0</v>
      </c>
      <c r="Y265" s="7">
        <v>34162.58</v>
      </c>
      <c r="Z265" s="10" t="str">
        <f t="shared" si="8"/>
        <v>Plumbing</v>
      </c>
      <c r="AA265" s="24" t="str">
        <f t="shared" si="9"/>
        <v xml:space="preserve"> 3971. LAX People Mover</v>
      </c>
    </row>
    <row r="266" spans="1:27" x14ac:dyDescent="0.2">
      <c r="A266" s="5" t="s">
        <v>415</v>
      </c>
      <c r="B266" s="5" t="s">
        <v>410</v>
      </c>
      <c r="C266" s="5" t="s">
        <v>233</v>
      </c>
      <c r="D266" s="5" t="s">
        <v>78</v>
      </c>
      <c r="E266" s="5" t="s">
        <v>88</v>
      </c>
      <c r="F266" s="5" t="s">
        <v>18</v>
      </c>
      <c r="G266" s="12" t="s">
        <v>89</v>
      </c>
      <c r="H266" s="12"/>
      <c r="I266" s="6">
        <v>0</v>
      </c>
      <c r="J266" s="6">
        <v>0</v>
      </c>
      <c r="K266" s="6">
        <v>0</v>
      </c>
      <c r="L266" s="16">
        <v>0</v>
      </c>
      <c r="M266" s="5"/>
      <c r="N266" s="9">
        <v>78</v>
      </c>
      <c r="O266" s="6">
        <v>64</v>
      </c>
      <c r="P266" s="6">
        <v>64</v>
      </c>
      <c r="Q266" s="6">
        <v>0</v>
      </c>
      <c r="R266" s="16">
        <v>-14</v>
      </c>
      <c r="S266" s="5"/>
      <c r="T266" s="17">
        <v>6890</v>
      </c>
      <c r="U266" s="7">
        <v>5176.09</v>
      </c>
      <c r="V266" s="7">
        <v>0</v>
      </c>
      <c r="W266" s="7">
        <v>5176.09</v>
      </c>
      <c r="X266" s="7">
        <v>0</v>
      </c>
      <c r="Y266" s="7">
        <v>-1713.91</v>
      </c>
      <c r="Z266" s="10" t="str">
        <f t="shared" si="8"/>
        <v>Plumbing</v>
      </c>
      <c r="AA266" s="24" t="str">
        <f t="shared" si="9"/>
        <v xml:space="preserve"> 3971. LAX People Mover</v>
      </c>
    </row>
    <row r="267" spans="1:27" x14ac:dyDescent="0.2">
      <c r="A267" s="5" t="s">
        <v>416</v>
      </c>
      <c r="B267" s="5" t="s">
        <v>410</v>
      </c>
      <c r="C267" s="5" t="s">
        <v>235</v>
      </c>
      <c r="D267" s="5" t="s">
        <v>78</v>
      </c>
      <c r="E267" s="5" t="s">
        <v>88</v>
      </c>
      <c r="F267" s="5" t="s">
        <v>18</v>
      </c>
      <c r="G267" s="12" t="s">
        <v>89</v>
      </c>
      <c r="H267" s="12"/>
      <c r="I267" s="6">
        <v>0</v>
      </c>
      <c r="J267" s="6">
        <v>0</v>
      </c>
      <c r="K267" s="6">
        <v>0</v>
      </c>
      <c r="L267" s="16">
        <v>0</v>
      </c>
      <c r="M267" s="5"/>
      <c r="N267" s="9">
        <v>62</v>
      </c>
      <c r="O267" s="6">
        <v>27</v>
      </c>
      <c r="P267" s="6">
        <v>27</v>
      </c>
      <c r="Q267" s="6">
        <v>0</v>
      </c>
      <c r="R267" s="16">
        <v>-35</v>
      </c>
      <c r="S267" s="5"/>
      <c r="T267" s="17">
        <v>5650.72</v>
      </c>
      <c r="U267" s="7">
        <v>2587.5100000000002</v>
      </c>
      <c r="V267" s="7">
        <v>0</v>
      </c>
      <c r="W267" s="7">
        <v>2587.5100000000002</v>
      </c>
      <c r="X267" s="7">
        <v>0</v>
      </c>
      <c r="Y267" s="7">
        <v>-3063.21</v>
      </c>
      <c r="Z267" s="10" t="str">
        <f t="shared" si="8"/>
        <v>Plumbing</v>
      </c>
      <c r="AA267" s="24" t="str">
        <f t="shared" si="9"/>
        <v xml:space="preserve"> 3971. LAX People Mover</v>
      </c>
    </row>
    <row r="268" spans="1:27" x14ac:dyDescent="0.2">
      <c r="A268" s="5" t="s">
        <v>417</v>
      </c>
      <c r="B268" s="5" t="s">
        <v>410</v>
      </c>
      <c r="C268" s="5" t="s">
        <v>237</v>
      </c>
      <c r="D268" s="5" t="s">
        <v>78</v>
      </c>
      <c r="E268" s="5" t="s">
        <v>88</v>
      </c>
      <c r="F268" s="5" t="s">
        <v>18</v>
      </c>
      <c r="G268" s="12" t="s">
        <v>89</v>
      </c>
      <c r="H268" s="12"/>
      <c r="I268" s="6">
        <v>0</v>
      </c>
      <c r="J268" s="6">
        <v>0</v>
      </c>
      <c r="K268" s="6">
        <v>0</v>
      </c>
      <c r="L268" s="16">
        <v>0</v>
      </c>
      <c r="M268" s="5"/>
      <c r="N268" s="9">
        <v>1021</v>
      </c>
      <c r="O268" s="6">
        <v>1496</v>
      </c>
      <c r="P268" s="6">
        <v>1504</v>
      </c>
      <c r="Q268" s="6">
        <v>8</v>
      </c>
      <c r="R268" s="16">
        <v>483</v>
      </c>
      <c r="S268" s="5"/>
      <c r="T268" s="17">
        <v>92510.64</v>
      </c>
      <c r="U268" s="7">
        <v>133578.23000000001</v>
      </c>
      <c r="V268" s="7">
        <v>0</v>
      </c>
      <c r="W268" s="7">
        <v>134418.23000000001</v>
      </c>
      <c r="X268" s="7">
        <v>840</v>
      </c>
      <c r="Y268" s="7">
        <v>41907.589999999997</v>
      </c>
      <c r="Z268" s="10" t="str">
        <f t="shared" si="8"/>
        <v>Plumbing</v>
      </c>
      <c r="AA268" s="24" t="str">
        <f t="shared" si="9"/>
        <v xml:space="preserve"> 3971. LAX People Mover</v>
      </c>
    </row>
    <row r="269" spans="1:27" x14ac:dyDescent="0.2">
      <c r="A269" s="5" t="s">
        <v>418</v>
      </c>
      <c r="B269" s="5" t="s">
        <v>410</v>
      </c>
      <c r="C269" s="5" t="s">
        <v>239</v>
      </c>
      <c r="D269" s="5" t="s">
        <v>78</v>
      </c>
      <c r="E269" s="5" t="s">
        <v>88</v>
      </c>
      <c r="F269" s="5" t="s">
        <v>18</v>
      </c>
      <c r="G269" s="12" t="s">
        <v>89</v>
      </c>
      <c r="H269" s="12"/>
      <c r="I269" s="6">
        <v>0</v>
      </c>
      <c r="J269" s="6">
        <v>0</v>
      </c>
      <c r="K269" s="6">
        <v>0</v>
      </c>
      <c r="L269" s="16">
        <v>0</v>
      </c>
      <c r="M269" s="5"/>
      <c r="N269" s="9">
        <v>251</v>
      </c>
      <c r="O269" s="6">
        <v>422</v>
      </c>
      <c r="P269" s="6">
        <v>422</v>
      </c>
      <c r="Q269" s="6">
        <v>0</v>
      </c>
      <c r="R269" s="16">
        <v>171</v>
      </c>
      <c r="S269" s="5"/>
      <c r="T269" s="17">
        <v>22651.5</v>
      </c>
      <c r="U269" s="7">
        <v>39140.57</v>
      </c>
      <c r="V269" s="7">
        <v>0</v>
      </c>
      <c r="W269" s="7">
        <v>39140.57</v>
      </c>
      <c r="X269" s="7">
        <v>0</v>
      </c>
      <c r="Y269" s="7">
        <v>16489.07</v>
      </c>
      <c r="Z269" s="10" t="str">
        <f t="shared" si="8"/>
        <v>Plumbing</v>
      </c>
      <c r="AA269" s="24" t="str">
        <f t="shared" si="9"/>
        <v xml:space="preserve"> 3971. LAX People Mover</v>
      </c>
    </row>
    <row r="270" spans="1:27" ht="25.5" x14ac:dyDescent="0.2">
      <c r="A270" s="5" t="s">
        <v>419</v>
      </c>
      <c r="B270" s="5" t="s">
        <v>78</v>
      </c>
      <c r="C270" s="5" t="s">
        <v>16</v>
      </c>
      <c r="D270" s="5" t="s">
        <v>78</v>
      </c>
      <c r="E270" s="5" t="s">
        <v>123</v>
      </c>
      <c r="F270" s="5" t="s">
        <v>18</v>
      </c>
      <c r="G270" s="12" t="s">
        <v>89</v>
      </c>
      <c r="H270" s="12"/>
      <c r="I270" s="6">
        <v>0</v>
      </c>
      <c r="J270" s="6">
        <v>0</v>
      </c>
      <c r="K270" s="6">
        <v>0</v>
      </c>
      <c r="L270" s="16">
        <v>0</v>
      </c>
      <c r="M270" s="5"/>
      <c r="N270" s="9">
        <v>0</v>
      </c>
      <c r="O270" s="6">
        <v>113</v>
      </c>
      <c r="P270" s="6">
        <v>113</v>
      </c>
      <c r="Q270" s="6">
        <v>0</v>
      </c>
      <c r="R270" s="16">
        <v>113</v>
      </c>
      <c r="S270" s="5"/>
      <c r="T270" s="17">
        <v>0</v>
      </c>
      <c r="U270" s="7">
        <v>7958.86</v>
      </c>
      <c r="V270" s="7">
        <v>0</v>
      </c>
      <c r="W270" s="7">
        <v>7958.86</v>
      </c>
      <c r="X270" s="7">
        <v>0</v>
      </c>
      <c r="Y270" s="7">
        <v>7958.86</v>
      </c>
      <c r="Z270" s="10" t="str">
        <f t="shared" si="8"/>
        <v>Plumbing</v>
      </c>
      <c r="AA270" s="24" t="str">
        <f t="shared" si="9"/>
        <v xml:space="preserve"> 3971. LAX People Mover</v>
      </c>
    </row>
    <row r="271" spans="1:27" x14ac:dyDescent="0.2">
      <c r="A271" s="5" t="s">
        <v>420</v>
      </c>
      <c r="B271" s="5" t="s">
        <v>421</v>
      </c>
      <c r="C271" s="5" t="s">
        <v>225</v>
      </c>
      <c r="D271" s="5" t="s">
        <v>78</v>
      </c>
      <c r="E271" s="5" t="s">
        <v>88</v>
      </c>
      <c r="F271" s="5" t="s">
        <v>18</v>
      </c>
      <c r="G271" s="12" t="s">
        <v>89</v>
      </c>
      <c r="H271" s="12"/>
      <c r="I271" s="6">
        <v>0</v>
      </c>
      <c r="J271" s="6">
        <v>0</v>
      </c>
      <c r="K271" s="6">
        <v>0</v>
      </c>
      <c r="L271" s="16">
        <v>0</v>
      </c>
      <c r="M271" s="5"/>
      <c r="N271" s="9">
        <v>304</v>
      </c>
      <c r="O271" s="6">
        <v>359</v>
      </c>
      <c r="P271" s="6">
        <v>359</v>
      </c>
      <c r="Q271" s="6">
        <v>0</v>
      </c>
      <c r="R271" s="16">
        <v>55</v>
      </c>
      <c r="S271" s="5"/>
      <c r="T271" s="17">
        <v>27253.75</v>
      </c>
      <c r="U271" s="7">
        <v>27982.98</v>
      </c>
      <c r="V271" s="7">
        <v>0</v>
      </c>
      <c r="W271" s="7">
        <v>27982.98</v>
      </c>
      <c r="X271" s="7">
        <v>0</v>
      </c>
      <c r="Y271" s="7">
        <v>729.23</v>
      </c>
      <c r="Z271" s="10" t="str">
        <f t="shared" si="8"/>
        <v>Plumbing</v>
      </c>
      <c r="AA271" s="24" t="str">
        <f t="shared" si="9"/>
        <v xml:space="preserve"> 3971. LAX People Mover</v>
      </c>
    </row>
    <row r="272" spans="1:27" ht="25.5" x14ac:dyDescent="0.2">
      <c r="A272" s="5" t="s">
        <v>422</v>
      </c>
      <c r="B272" s="5" t="s">
        <v>421</v>
      </c>
      <c r="C272" s="5" t="s">
        <v>237</v>
      </c>
      <c r="D272" s="5" t="s">
        <v>78</v>
      </c>
      <c r="E272" s="5" t="s">
        <v>123</v>
      </c>
      <c r="F272" s="5" t="s">
        <v>18</v>
      </c>
      <c r="G272" s="12" t="s">
        <v>89</v>
      </c>
      <c r="H272" s="12"/>
      <c r="I272" s="6">
        <v>0</v>
      </c>
      <c r="J272" s="6">
        <v>0</v>
      </c>
      <c r="K272" s="6">
        <v>0</v>
      </c>
      <c r="L272" s="16">
        <v>0</v>
      </c>
      <c r="M272" s="5"/>
      <c r="N272" s="9">
        <v>0</v>
      </c>
      <c r="O272" s="6">
        <v>131</v>
      </c>
      <c r="P272" s="6">
        <v>131</v>
      </c>
      <c r="Q272" s="6">
        <v>0</v>
      </c>
      <c r="R272" s="16">
        <v>131</v>
      </c>
      <c r="S272" s="5"/>
      <c r="T272" s="17">
        <v>0</v>
      </c>
      <c r="U272" s="7">
        <v>10569.08</v>
      </c>
      <c r="V272" s="7">
        <v>0</v>
      </c>
      <c r="W272" s="7">
        <v>10569.08</v>
      </c>
      <c r="X272" s="7">
        <v>0</v>
      </c>
      <c r="Y272" s="7">
        <v>10569.08</v>
      </c>
      <c r="Z272" s="10" t="str">
        <f t="shared" si="8"/>
        <v>Plumbing</v>
      </c>
      <c r="AA272" s="24" t="str">
        <f t="shared" si="9"/>
        <v xml:space="preserve"> 3971. LAX People Mover</v>
      </c>
    </row>
    <row r="273" spans="1:27" ht="25.5" x14ac:dyDescent="0.2">
      <c r="A273" s="5" t="s">
        <v>423</v>
      </c>
      <c r="B273" s="5" t="s">
        <v>421</v>
      </c>
      <c r="C273" s="5" t="s">
        <v>239</v>
      </c>
      <c r="D273" s="5" t="s">
        <v>78</v>
      </c>
      <c r="E273" s="5" t="s">
        <v>123</v>
      </c>
      <c r="F273" s="5" t="s">
        <v>18</v>
      </c>
      <c r="G273" s="12" t="s">
        <v>89</v>
      </c>
      <c r="H273" s="12"/>
      <c r="I273" s="6">
        <v>0</v>
      </c>
      <c r="J273" s="6">
        <v>0</v>
      </c>
      <c r="K273" s="6">
        <v>0</v>
      </c>
      <c r="L273" s="16">
        <v>0</v>
      </c>
      <c r="M273" s="5"/>
      <c r="N273" s="9">
        <v>140</v>
      </c>
      <c r="O273" s="6">
        <v>260</v>
      </c>
      <c r="P273" s="6">
        <v>260</v>
      </c>
      <c r="Q273" s="6">
        <v>0</v>
      </c>
      <c r="R273" s="16">
        <v>120</v>
      </c>
      <c r="S273" s="5"/>
      <c r="T273" s="17">
        <v>12600</v>
      </c>
      <c r="U273" s="7">
        <v>20310.400000000001</v>
      </c>
      <c r="V273" s="7">
        <v>0</v>
      </c>
      <c r="W273" s="7">
        <v>20310.400000000001</v>
      </c>
      <c r="X273" s="7">
        <v>0</v>
      </c>
      <c r="Y273" s="7">
        <v>7710.4</v>
      </c>
      <c r="Z273" s="10" t="str">
        <f t="shared" si="8"/>
        <v>Plumbing</v>
      </c>
      <c r="AA273" s="24" t="str">
        <f t="shared" si="9"/>
        <v xml:space="preserve"> 3971. LAX People Mover</v>
      </c>
    </row>
    <row r="274" spans="1:27" ht="25.5" x14ac:dyDescent="0.2">
      <c r="A274" s="5" t="s">
        <v>424</v>
      </c>
      <c r="B274" s="5" t="s">
        <v>425</v>
      </c>
      <c r="C274" s="5" t="s">
        <v>385</v>
      </c>
      <c r="D274" s="5" t="s">
        <v>386</v>
      </c>
      <c r="E274" s="5" t="s">
        <v>123</v>
      </c>
      <c r="F274" s="5" t="s">
        <v>18</v>
      </c>
      <c r="G274" s="12" t="s">
        <v>89</v>
      </c>
      <c r="H274" s="12"/>
      <c r="I274" s="6">
        <v>0</v>
      </c>
      <c r="J274" s="6">
        <v>0</v>
      </c>
      <c r="K274" s="6">
        <v>0</v>
      </c>
      <c r="L274" s="16">
        <v>0</v>
      </c>
      <c r="M274" s="5"/>
      <c r="N274" s="9">
        <v>0</v>
      </c>
      <c r="O274" s="6">
        <v>228</v>
      </c>
      <c r="P274" s="6">
        <v>228</v>
      </c>
      <c r="Q274" s="6">
        <v>0</v>
      </c>
      <c r="R274" s="16">
        <v>228</v>
      </c>
      <c r="S274" s="5"/>
      <c r="T274" s="17">
        <v>0</v>
      </c>
      <c r="U274" s="7">
        <v>19492.02</v>
      </c>
      <c r="V274" s="7">
        <v>0</v>
      </c>
      <c r="W274" s="7">
        <v>19492.02</v>
      </c>
      <c r="X274" s="7">
        <v>0</v>
      </c>
      <c r="Y274" s="7">
        <v>19492.02</v>
      </c>
      <c r="Z274" s="10" t="str">
        <f t="shared" si="8"/>
        <v>Plumbing</v>
      </c>
      <c r="AA274" s="24" t="str">
        <f t="shared" si="9"/>
        <v xml:space="preserve"> 3971. LAX People Mover</v>
      </c>
    </row>
    <row r="275" spans="1:27" x14ac:dyDescent="0.2">
      <c r="A275" s="5" t="s">
        <v>426</v>
      </c>
      <c r="B275" s="5" t="s">
        <v>427</v>
      </c>
      <c r="C275" s="5" t="s">
        <v>225</v>
      </c>
      <c r="D275" s="5" t="s">
        <v>386</v>
      </c>
      <c r="E275" s="5" t="s">
        <v>88</v>
      </c>
      <c r="F275" s="5" t="s">
        <v>18</v>
      </c>
      <c r="G275" s="12" t="s">
        <v>89</v>
      </c>
      <c r="H275" s="12"/>
      <c r="I275" s="6">
        <v>0</v>
      </c>
      <c r="J275" s="6">
        <v>0</v>
      </c>
      <c r="K275" s="6">
        <v>0</v>
      </c>
      <c r="L275" s="16">
        <v>0</v>
      </c>
      <c r="M275" s="5"/>
      <c r="N275" s="9">
        <v>74</v>
      </c>
      <c r="O275" s="6">
        <v>189</v>
      </c>
      <c r="P275" s="6">
        <v>189</v>
      </c>
      <c r="Q275" s="6">
        <v>0</v>
      </c>
      <c r="R275" s="16">
        <v>115</v>
      </c>
      <c r="S275" s="5"/>
      <c r="T275" s="17">
        <v>6660</v>
      </c>
      <c r="U275" s="7">
        <v>14295.82</v>
      </c>
      <c r="V275" s="7">
        <v>0</v>
      </c>
      <c r="W275" s="7">
        <v>14295.82</v>
      </c>
      <c r="X275" s="7">
        <v>0</v>
      </c>
      <c r="Y275" s="7">
        <v>7635.82</v>
      </c>
      <c r="Z275" s="10" t="str">
        <f t="shared" si="8"/>
        <v>Plumbing</v>
      </c>
      <c r="AA275" s="24" t="str">
        <f t="shared" si="9"/>
        <v xml:space="preserve"> 3971. LAX People Mover</v>
      </c>
    </row>
    <row r="276" spans="1:27" x14ac:dyDescent="0.2">
      <c r="A276" s="5" t="s">
        <v>428</v>
      </c>
      <c r="B276" s="5" t="s">
        <v>427</v>
      </c>
      <c r="C276" s="5" t="s">
        <v>122</v>
      </c>
      <c r="D276" s="5" t="s">
        <v>386</v>
      </c>
      <c r="E276" s="5" t="s">
        <v>88</v>
      </c>
      <c r="F276" s="5" t="s">
        <v>18</v>
      </c>
      <c r="G276" s="12" t="s">
        <v>89</v>
      </c>
      <c r="H276" s="12"/>
      <c r="I276" s="6">
        <v>0</v>
      </c>
      <c r="J276" s="6">
        <v>0</v>
      </c>
      <c r="K276" s="6">
        <v>0</v>
      </c>
      <c r="L276" s="16">
        <v>0</v>
      </c>
      <c r="M276" s="5"/>
      <c r="N276" s="9">
        <v>3</v>
      </c>
      <c r="O276" s="6">
        <v>0</v>
      </c>
      <c r="P276" s="6">
        <v>0</v>
      </c>
      <c r="Q276" s="6">
        <v>0</v>
      </c>
      <c r="R276" s="16">
        <v>-3</v>
      </c>
      <c r="S276" s="5"/>
      <c r="T276" s="17">
        <v>270</v>
      </c>
      <c r="U276" s="7">
        <v>0</v>
      </c>
      <c r="V276" s="7">
        <v>0</v>
      </c>
      <c r="W276" s="7">
        <v>0</v>
      </c>
      <c r="X276" s="7">
        <v>0</v>
      </c>
      <c r="Y276" s="7">
        <v>-270</v>
      </c>
      <c r="Z276" s="10" t="str">
        <f t="shared" si="8"/>
        <v>Plumbing</v>
      </c>
      <c r="AA276" s="24" t="str">
        <f t="shared" si="9"/>
        <v xml:space="preserve"> 3971. LAX People Mover</v>
      </c>
    </row>
    <row r="277" spans="1:27" x14ac:dyDescent="0.2">
      <c r="A277" s="5" t="s">
        <v>429</v>
      </c>
      <c r="B277" s="5" t="s">
        <v>427</v>
      </c>
      <c r="C277" s="5" t="s">
        <v>227</v>
      </c>
      <c r="D277" s="5" t="s">
        <v>386</v>
      </c>
      <c r="E277" s="5" t="s">
        <v>88</v>
      </c>
      <c r="F277" s="5" t="s">
        <v>18</v>
      </c>
      <c r="G277" s="12" t="s">
        <v>89</v>
      </c>
      <c r="H277" s="12"/>
      <c r="I277" s="6">
        <v>0</v>
      </c>
      <c r="J277" s="6">
        <v>0</v>
      </c>
      <c r="K277" s="6">
        <v>0</v>
      </c>
      <c r="L277" s="16">
        <v>0</v>
      </c>
      <c r="M277" s="5"/>
      <c r="N277" s="9">
        <v>156</v>
      </c>
      <c r="O277" s="6">
        <v>403</v>
      </c>
      <c r="P277" s="6">
        <v>291</v>
      </c>
      <c r="Q277" s="6">
        <v>-112</v>
      </c>
      <c r="R277" s="16">
        <v>135</v>
      </c>
      <c r="S277" s="5"/>
      <c r="T277" s="17">
        <v>14148.8</v>
      </c>
      <c r="U277" s="7">
        <v>39326.31</v>
      </c>
      <c r="V277" s="7">
        <v>0</v>
      </c>
      <c r="W277" s="7">
        <v>27564.400000000001</v>
      </c>
      <c r="X277" s="7">
        <v>-11761.91</v>
      </c>
      <c r="Y277" s="7">
        <v>13415.6</v>
      </c>
      <c r="Z277" s="10" t="str">
        <f t="shared" si="8"/>
        <v>Plumbing</v>
      </c>
      <c r="AA277" s="24" t="str">
        <f t="shared" si="9"/>
        <v xml:space="preserve"> 3971. LAX People Mover</v>
      </c>
    </row>
    <row r="278" spans="1:27" x14ac:dyDescent="0.2">
      <c r="A278" s="5" t="s">
        <v>430</v>
      </c>
      <c r="B278" s="5" t="s">
        <v>427</v>
      </c>
      <c r="C278" s="5" t="s">
        <v>229</v>
      </c>
      <c r="D278" s="5" t="s">
        <v>386</v>
      </c>
      <c r="E278" s="5" t="s">
        <v>88</v>
      </c>
      <c r="F278" s="5" t="s">
        <v>18</v>
      </c>
      <c r="G278" s="12" t="s">
        <v>89</v>
      </c>
      <c r="H278" s="12"/>
      <c r="I278" s="6">
        <v>0</v>
      </c>
      <c r="J278" s="6">
        <v>0</v>
      </c>
      <c r="K278" s="6">
        <v>0</v>
      </c>
      <c r="L278" s="16">
        <v>0</v>
      </c>
      <c r="M278" s="5"/>
      <c r="N278" s="9">
        <v>126</v>
      </c>
      <c r="O278" s="6">
        <v>173</v>
      </c>
      <c r="P278" s="6">
        <v>173</v>
      </c>
      <c r="Q278" s="6">
        <v>0</v>
      </c>
      <c r="R278" s="16">
        <v>47</v>
      </c>
      <c r="S278" s="5"/>
      <c r="T278" s="17">
        <v>11340</v>
      </c>
      <c r="U278" s="7">
        <v>13186.77</v>
      </c>
      <c r="V278" s="7">
        <v>0</v>
      </c>
      <c r="W278" s="7">
        <v>13186.77</v>
      </c>
      <c r="X278" s="7">
        <v>0</v>
      </c>
      <c r="Y278" s="7">
        <v>1846.77</v>
      </c>
      <c r="Z278" s="10" t="str">
        <f t="shared" si="8"/>
        <v>Plumbing</v>
      </c>
      <c r="AA278" s="24" t="str">
        <f t="shared" si="9"/>
        <v xml:space="preserve"> 3971. LAX People Mover</v>
      </c>
    </row>
    <row r="279" spans="1:27" x14ac:dyDescent="0.2">
      <c r="A279" s="5" t="s">
        <v>431</v>
      </c>
      <c r="B279" s="5" t="s">
        <v>427</v>
      </c>
      <c r="C279" s="5" t="s">
        <v>231</v>
      </c>
      <c r="D279" s="5" t="s">
        <v>386</v>
      </c>
      <c r="E279" s="5" t="s">
        <v>88</v>
      </c>
      <c r="F279" s="5" t="s">
        <v>18</v>
      </c>
      <c r="G279" s="12" t="s">
        <v>89</v>
      </c>
      <c r="H279" s="12"/>
      <c r="I279" s="6">
        <v>0</v>
      </c>
      <c r="J279" s="6">
        <v>0</v>
      </c>
      <c r="K279" s="6">
        <v>0</v>
      </c>
      <c r="L279" s="16">
        <v>0</v>
      </c>
      <c r="M279" s="5"/>
      <c r="N279" s="9">
        <v>105</v>
      </c>
      <c r="O279" s="6">
        <v>260</v>
      </c>
      <c r="P279" s="6">
        <v>260</v>
      </c>
      <c r="Q279" s="6">
        <v>0</v>
      </c>
      <c r="R279" s="16">
        <v>155</v>
      </c>
      <c r="S279" s="5"/>
      <c r="T279" s="17">
        <v>9450</v>
      </c>
      <c r="U279" s="7">
        <v>22745.58</v>
      </c>
      <c r="V279" s="7">
        <v>0</v>
      </c>
      <c r="W279" s="7">
        <v>22745.58</v>
      </c>
      <c r="X279" s="7">
        <v>0</v>
      </c>
      <c r="Y279" s="7">
        <v>13295.58</v>
      </c>
      <c r="Z279" s="10" t="str">
        <f t="shared" si="8"/>
        <v>Plumbing</v>
      </c>
      <c r="AA279" s="24" t="str">
        <f t="shared" si="9"/>
        <v xml:space="preserve"> 3971. LAX People Mover</v>
      </c>
    </row>
    <row r="280" spans="1:27" x14ac:dyDescent="0.2">
      <c r="A280" s="5" t="s">
        <v>432</v>
      </c>
      <c r="B280" s="5" t="s">
        <v>427</v>
      </c>
      <c r="C280" s="5" t="s">
        <v>233</v>
      </c>
      <c r="D280" s="5" t="s">
        <v>386</v>
      </c>
      <c r="E280" s="5" t="s">
        <v>88</v>
      </c>
      <c r="F280" s="5" t="s">
        <v>18</v>
      </c>
      <c r="G280" s="12" t="s">
        <v>89</v>
      </c>
      <c r="H280" s="12"/>
      <c r="I280" s="6">
        <v>0</v>
      </c>
      <c r="J280" s="6">
        <v>0</v>
      </c>
      <c r="K280" s="6">
        <v>0</v>
      </c>
      <c r="L280" s="16">
        <v>0</v>
      </c>
      <c r="M280" s="5"/>
      <c r="N280" s="9">
        <v>126</v>
      </c>
      <c r="O280" s="6">
        <v>88</v>
      </c>
      <c r="P280" s="6">
        <v>88</v>
      </c>
      <c r="Q280" s="6">
        <v>0</v>
      </c>
      <c r="R280" s="16">
        <v>-38</v>
      </c>
      <c r="S280" s="5"/>
      <c r="T280" s="17">
        <v>11041</v>
      </c>
      <c r="U280" s="7">
        <v>7420.51</v>
      </c>
      <c r="V280" s="7">
        <v>0</v>
      </c>
      <c r="W280" s="7">
        <v>7420.51</v>
      </c>
      <c r="X280" s="7">
        <v>0</v>
      </c>
      <c r="Y280" s="7">
        <v>-3620.49</v>
      </c>
      <c r="Z280" s="10" t="str">
        <f t="shared" si="8"/>
        <v>Plumbing</v>
      </c>
      <c r="AA280" s="24" t="str">
        <f t="shared" si="9"/>
        <v xml:space="preserve"> 3971. LAX People Mover</v>
      </c>
    </row>
    <row r="281" spans="1:27" x14ac:dyDescent="0.2">
      <c r="A281" s="5" t="s">
        <v>433</v>
      </c>
      <c r="B281" s="5" t="s">
        <v>427</v>
      </c>
      <c r="C281" s="5" t="s">
        <v>235</v>
      </c>
      <c r="D281" s="5" t="s">
        <v>386</v>
      </c>
      <c r="E281" s="5" t="s">
        <v>88</v>
      </c>
      <c r="F281" s="5" t="s">
        <v>18</v>
      </c>
      <c r="G281" s="12" t="s">
        <v>89</v>
      </c>
      <c r="H281" s="12"/>
      <c r="I281" s="6">
        <v>0</v>
      </c>
      <c r="J281" s="6">
        <v>0</v>
      </c>
      <c r="K281" s="6">
        <v>0</v>
      </c>
      <c r="L281" s="16">
        <v>0</v>
      </c>
      <c r="M281" s="5"/>
      <c r="N281" s="9">
        <v>71</v>
      </c>
      <c r="O281" s="6">
        <v>109</v>
      </c>
      <c r="P281" s="6">
        <v>109</v>
      </c>
      <c r="Q281" s="6">
        <v>0</v>
      </c>
      <c r="R281" s="16">
        <v>38</v>
      </c>
      <c r="S281" s="5"/>
      <c r="T281" s="17">
        <v>6498.8</v>
      </c>
      <c r="U281" s="7">
        <v>8405.2199999999993</v>
      </c>
      <c r="V281" s="7">
        <v>0</v>
      </c>
      <c r="W281" s="7">
        <v>8405.2199999999993</v>
      </c>
      <c r="X281" s="7">
        <v>0</v>
      </c>
      <c r="Y281" s="7">
        <v>1906.42</v>
      </c>
      <c r="Z281" s="10" t="str">
        <f t="shared" si="8"/>
        <v>Plumbing</v>
      </c>
      <c r="AA281" s="24" t="str">
        <f t="shared" si="9"/>
        <v xml:space="preserve"> 3971. LAX People Mover</v>
      </c>
    </row>
    <row r="282" spans="1:27" x14ac:dyDescent="0.2">
      <c r="A282" s="5" t="s">
        <v>434</v>
      </c>
      <c r="B282" s="5" t="s">
        <v>427</v>
      </c>
      <c r="C282" s="5" t="s">
        <v>237</v>
      </c>
      <c r="D282" s="5" t="s">
        <v>386</v>
      </c>
      <c r="E282" s="5" t="s">
        <v>88</v>
      </c>
      <c r="F282" s="5" t="s">
        <v>18</v>
      </c>
      <c r="G282" s="12" t="s">
        <v>89</v>
      </c>
      <c r="H282" s="12"/>
      <c r="I282" s="6">
        <v>0</v>
      </c>
      <c r="J282" s="6">
        <v>0</v>
      </c>
      <c r="K282" s="6">
        <v>0</v>
      </c>
      <c r="L282" s="16">
        <v>0</v>
      </c>
      <c r="M282" s="5"/>
      <c r="N282" s="9">
        <v>626</v>
      </c>
      <c r="O282" s="6">
        <v>1169</v>
      </c>
      <c r="P282" s="6">
        <v>1199</v>
      </c>
      <c r="Q282" s="6">
        <v>30</v>
      </c>
      <c r="R282" s="16">
        <v>573</v>
      </c>
      <c r="S282" s="5"/>
      <c r="T282" s="17">
        <v>56340</v>
      </c>
      <c r="U282" s="7">
        <v>103113.47</v>
      </c>
      <c r="V282" s="7">
        <v>0</v>
      </c>
      <c r="W282" s="7">
        <v>106385.82</v>
      </c>
      <c r="X282" s="7">
        <v>3272.35</v>
      </c>
      <c r="Y282" s="7">
        <v>50045.82</v>
      </c>
      <c r="Z282" s="10" t="str">
        <f t="shared" si="8"/>
        <v>Plumbing</v>
      </c>
      <c r="AA282" s="24" t="str">
        <f t="shared" si="9"/>
        <v xml:space="preserve"> 3971. LAX People Mover</v>
      </c>
    </row>
    <row r="283" spans="1:27" x14ac:dyDescent="0.2">
      <c r="A283" s="5" t="s">
        <v>435</v>
      </c>
      <c r="B283" s="5" t="s">
        <v>427</v>
      </c>
      <c r="C283" s="5" t="s">
        <v>239</v>
      </c>
      <c r="D283" s="5" t="s">
        <v>386</v>
      </c>
      <c r="E283" s="5" t="s">
        <v>88</v>
      </c>
      <c r="F283" s="5" t="s">
        <v>18</v>
      </c>
      <c r="G283" s="12" t="s">
        <v>89</v>
      </c>
      <c r="H283" s="12"/>
      <c r="I283" s="6">
        <v>0</v>
      </c>
      <c r="J283" s="6">
        <v>0</v>
      </c>
      <c r="K283" s="6">
        <v>0</v>
      </c>
      <c r="L283" s="16">
        <v>0</v>
      </c>
      <c r="M283" s="5"/>
      <c r="N283" s="9">
        <v>411</v>
      </c>
      <c r="O283" s="6">
        <v>570</v>
      </c>
      <c r="P283" s="6">
        <v>570</v>
      </c>
      <c r="Q283" s="6">
        <v>0</v>
      </c>
      <c r="R283" s="16">
        <v>159</v>
      </c>
      <c r="S283" s="5"/>
      <c r="T283" s="17">
        <v>36045</v>
      </c>
      <c r="U283" s="7">
        <v>45667.18</v>
      </c>
      <c r="V283" s="7">
        <v>0</v>
      </c>
      <c r="W283" s="7">
        <v>45667.18</v>
      </c>
      <c r="X283" s="7">
        <v>0</v>
      </c>
      <c r="Y283" s="7">
        <v>9622.18</v>
      </c>
      <c r="Z283" s="10" t="str">
        <f t="shared" si="8"/>
        <v>Plumbing</v>
      </c>
      <c r="AA283" s="24" t="str">
        <f t="shared" si="9"/>
        <v xml:space="preserve"> 3971. LAX People Mover</v>
      </c>
    </row>
    <row r="284" spans="1:27" ht="25.5" x14ac:dyDescent="0.2">
      <c r="A284" s="5" t="s">
        <v>436</v>
      </c>
      <c r="B284" s="5" t="s">
        <v>437</v>
      </c>
      <c r="C284" s="5" t="s">
        <v>16</v>
      </c>
      <c r="D284" s="5" t="s">
        <v>92</v>
      </c>
      <c r="E284" s="5" t="s">
        <v>123</v>
      </c>
      <c r="F284" s="5" t="s">
        <v>18</v>
      </c>
      <c r="G284" s="12" t="s">
        <v>89</v>
      </c>
      <c r="H284" s="12"/>
      <c r="I284" s="6">
        <v>0</v>
      </c>
      <c r="J284" s="6">
        <v>0</v>
      </c>
      <c r="K284" s="6">
        <v>0</v>
      </c>
      <c r="L284" s="16">
        <v>0</v>
      </c>
      <c r="M284" s="5"/>
      <c r="N284" s="9">
        <v>0</v>
      </c>
      <c r="O284" s="6">
        <v>16</v>
      </c>
      <c r="P284" s="6">
        <v>16</v>
      </c>
      <c r="Q284" s="6">
        <v>0</v>
      </c>
      <c r="R284" s="16">
        <v>16</v>
      </c>
      <c r="S284" s="5"/>
      <c r="T284" s="17">
        <v>0</v>
      </c>
      <c r="U284" s="7">
        <v>974.12</v>
      </c>
      <c r="V284" s="7">
        <v>0</v>
      </c>
      <c r="W284" s="7">
        <v>974.12</v>
      </c>
      <c r="X284" s="7">
        <v>0</v>
      </c>
      <c r="Y284" s="7">
        <v>974.12</v>
      </c>
      <c r="Z284" s="10" t="str">
        <f t="shared" si="8"/>
        <v>Plumbing</v>
      </c>
      <c r="AA284" s="24" t="str">
        <f t="shared" si="9"/>
        <v xml:space="preserve"> 3971. LAX People Mover</v>
      </c>
    </row>
    <row r="285" spans="1:27" x14ac:dyDescent="0.2">
      <c r="A285" s="5" t="s">
        <v>438</v>
      </c>
      <c r="B285" s="5" t="s">
        <v>439</v>
      </c>
      <c r="C285" s="5" t="s">
        <v>225</v>
      </c>
      <c r="D285" s="5" t="s">
        <v>92</v>
      </c>
      <c r="E285" s="5" t="s">
        <v>88</v>
      </c>
      <c r="F285" s="5" t="s">
        <v>18</v>
      </c>
      <c r="G285" s="12" t="s">
        <v>89</v>
      </c>
      <c r="H285" s="12"/>
      <c r="I285" s="6">
        <v>0</v>
      </c>
      <c r="J285" s="6">
        <v>0</v>
      </c>
      <c r="K285" s="6">
        <v>0</v>
      </c>
      <c r="L285" s="16">
        <v>0</v>
      </c>
      <c r="M285" s="5"/>
      <c r="N285" s="9">
        <v>1169</v>
      </c>
      <c r="O285" s="6">
        <v>2052</v>
      </c>
      <c r="P285" s="6">
        <v>2052</v>
      </c>
      <c r="Q285" s="6">
        <v>0</v>
      </c>
      <c r="R285" s="16">
        <v>883</v>
      </c>
      <c r="S285" s="5"/>
      <c r="T285" s="17">
        <v>105142.59</v>
      </c>
      <c r="U285" s="7">
        <v>153812.95000000001</v>
      </c>
      <c r="V285" s="7">
        <v>0</v>
      </c>
      <c r="W285" s="7">
        <v>153812.95000000001</v>
      </c>
      <c r="X285" s="7">
        <v>0</v>
      </c>
      <c r="Y285" s="7">
        <v>48670.36</v>
      </c>
      <c r="Z285" s="10" t="str">
        <f t="shared" si="8"/>
        <v>Plumbing</v>
      </c>
      <c r="AA285" s="24" t="str">
        <f t="shared" si="9"/>
        <v xml:space="preserve"> 3971. LAX People Mover</v>
      </c>
    </row>
    <row r="286" spans="1:27" x14ac:dyDescent="0.2">
      <c r="A286" s="5" t="s">
        <v>440</v>
      </c>
      <c r="B286" s="5" t="s">
        <v>439</v>
      </c>
      <c r="C286" s="5" t="s">
        <v>122</v>
      </c>
      <c r="D286" s="5" t="s">
        <v>92</v>
      </c>
      <c r="E286" s="5" t="s">
        <v>88</v>
      </c>
      <c r="F286" s="5" t="s">
        <v>18</v>
      </c>
      <c r="G286" s="12" t="s">
        <v>89</v>
      </c>
      <c r="H286" s="12"/>
      <c r="I286" s="6">
        <v>0</v>
      </c>
      <c r="J286" s="6">
        <v>0</v>
      </c>
      <c r="K286" s="6">
        <v>0</v>
      </c>
      <c r="L286" s="16">
        <v>0</v>
      </c>
      <c r="M286" s="5"/>
      <c r="N286" s="9">
        <v>31</v>
      </c>
      <c r="O286" s="6">
        <v>98</v>
      </c>
      <c r="P286" s="6">
        <v>98</v>
      </c>
      <c r="Q286" s="6">
        <v>0</v>
      </c>
      <c r="R286" s="16">
        <v>67</v>
      </c>
      <c r="S286" s="5"/>
      <c r="T286" s="17">
        <v>2790</v>
      </c>
      <c r="U286" s="7">
        <v>10215.56</v>
      </c>
      <c r="V286" s="7">
        <v>0</v>
      </c>
      <c r="W286" s="7">
        <v>10215.56</v>
      </c>
      <c r="X286" s="7">
        <v>0</v>
      </c>
      <c r="Y286" s="7">
        <v>7425.56</v>
      </c>
      <c r="Z286" s="10" t="str">
        <f t="shared" si="8"/>
        <v>Plumbing</v>
      </c>
      <c r="AA286" s="24" t="str">
        <f t="shared" si="9"/>
        <v xml:space="preserve"> 3971. LAX People Mover</v>
      </c>
    </row>
    <row r="287" spans="1:27" x14ac:dyDescent="0.2">
      <c r="A287" s="5" t="s">
        <v>441</v>
      </c>
      <c r="B287" s="5" t="s">
        <v>439</v>
      </c>
      <c r="C287" s="5" t="s">
        <v>227</v>
      </c>
      <c r="D287" s="5" t="s">
        <v>92</v>
      </c>
      <c r="E287" s="5" t="s">
        <v>88</v>
      </c>
      <c r="F287" s="5" t="s">
        <v>18</v>
      </c>
      <c r="G287" s="12" t="s">
        <v>89</v>
      </c>
      <c r="H287" s="12"/>
      <c r="I287" s="6">
        <v>0</v>
      </c>
      <c r="J287" s="6">
        <v>0</v>
      </c>
      <c r="K287" s="6">
        <v>0</v>
      </c>
      <c r="L287" s="16">
        <v>0</v>
      </c>
      <c r="M287" s="5"/>
      <c r="N287" s="9">
        <v>1659</v>
      </c>
      <c r="O287" s="6">
        <v>2507</v>
      </c>
      <c r="P287" s="6">
        <v>2507</v>
      </c>
      <c r="Q287" s="6">
        <v>0</v>
      </c>
      <c r="R287" s="16">
        <v>848</v>
      </c>
      <c r="S287" s="5"/>
      <c r="T287" s="17">
        <v>150076.28</v>
      </c>
      <c r="U287" s="7">
        <v>214219.29</v>
      </c>
      <c r="V287" s="7">
        <v>0</v>
      </c>
      <c r="W287" s="7">
        <v>214219.29</v>
      </c>
      <c r="X287" s="7">
        <v>0</v>
      </c>
      <c r="Y287" s="7">
        <v>64143.01</v>
      </c>
      <c r="Z287" s="10" t="str">
        <f t="shared" si="8"/>
        <v>Plumbing</v>
      </c>
      <c r="AA287" s="24" t="str">
        <f t="shared" si="9"/>
        <v xml:space="preserve"> 3971. LAX People Mover</v>
      </c>
    </row>
    <row r="288" spans="1:27" x14ac:dyDescent="0.2">
      <c r="A288" s="5" t="s">
        <v>442</v>
      </c>
      <c r="B288" s="5" t="s">
        <v>439</v>
      </c>
      <c r="C288" s="5" t="s">
        <v>229</v>
      </c>
      <c r="D288" s="5" t="s">
        <v>92</v>
      </c>
      <c r="E288" s="5" t="s">
        <v>88</v>
      </c>
      <c r="F288" s="5" t="s">
        <v>18</v>
      </c>
      <c r="G288" s="12" t="s">
        <v>89</v>
      </c>
      <c r="H288" s="12"/>
      <c r="I288" s="6">
        <v>0</v>
      </c>
      <c r="J288" s="6">
        <v>0</v>
      </c>
      <c r="K288" s="6">
        <v>0</v>
      </c>
      <c r="L288" s="16">
        <v>0</v>
      </c>
      <c r="M288" s="5"/>
      <c r="N288" s="9">
        <v>1118</v>
      </c>
      <c r="O288" s="6">
        <v>2167</v>
      </c>
      <c r="P288" s="6">
        <v>2175</v>
      </c>
      <c r="Q288" s="6">
        <v>8</v>
      </c>
      <c r="R288" s="16">
        <v>1057</v>
      </c>
      <c r="S288" s="5"/>
      <c r="T288" s="17">
        <v>101272.56</v>
      </c>
      <c r="U288" s="7">
        <v>183802.4</v>
      </c>
      <c r="V288" s="7">
        <v>0</v>
      </c>
      <c r="W288" s="7">
        <v>184642.4</v>
      </c>
      <c r="X288" s="7">
        <v>840</v>
      </c>
      <c r="Y288" s="7">
        <v>83369.84</v>
      </c>
      <c r="Z288" s="10" t="str">
        <f t="shared" si="8"/>
        <v>Plumbing</v>
      </c>
      <c r="AA288" s="24" t="str">
        <f t="shared" si="9"/>
        <v xml:space="preserve"> 3971. LAX People Mover</v>
      </c>
    </row>
    <row r="289" spans="1:27" x14ac:dyDescent="0.2">
      <c r="A289" s="5" t="s">
        <v>443</v>
      </c>
      <c r="B289" s="5" t="s">
        <v>439</v>
      </c>
      <c r="C289" s="5" t="s">
        <v>231</v>
      </c>
      <c r="D289" s="5" t="s">
        <v>92</v>
      </c>
      <c r="E289" s="5" t="s">
        <v>88</v>
      </c>
      <c r="F289" s="5" t="s">
        <v>18</v>
      </c>
      <c r="G289" s="12" t="s">
        <v>89</v>
      </c>
      <c r="H289" s="12"/>
      <c r="I289" s="6">
        <v>0</v>
      </c>
      <c r="J289" s="6">
        <v>0</v>
      </c>
      <c r="K289" s="6">
        <v>0</v>
      </c>
      <c r="L289" s="16">
        <v>0</v>
      </c>
      <c r="M289" s="5"/>
      <c r="N289" s="9">
        <v>871</v>
      </c>
      <c r="O289" s="6">
        <v>1284</v>
      </c>
      <c r="P289" s="6">
        <v>1284</v>
      </c>
      <c r="Q289" s="6">
        <v>0</v>
      </c>
      <c r="R289" s="16">
        <v>413</v>
      </c>
      <c r="S289" s="5"/>
      <c r="T289" s="17">
        <v>79049.759999999995</v>
      </c>
      <c r="U289" s="7">
        <v>119336.08</v>
      </c>
      <c r="V289" s="7">
        <v>0</v>
      </c>
      <c r="W289" s="7">
        <v>119336.08</v>
      </c>
      <c r="X289" s="7">
        <v>0</v>
      </c>
      <c r="Y289" s="7">
        <v>40286.32</v>
      </c>
      <c r="Z289" s="10" t="str">
        <f t="shared" si="8"/>
        <v>Plumbing</v>
      </c>
      <c r="AA289" s="24" t="str">
        <f t="shared" si="9"/>
        <v xml:space="preserve"> 3971. LAX People Mover</v>
      </c>
    </row>
    <row r="290" spans="1:27" x14ac:dyDescent="0.2">
      <c r="A290" s="5" t="s">
        <v>444</v>
      </c>
      <c r="B290" s="5" t="s">
        <v>439</v>
      </c>
      <c r="C290" s="5" t="s">
        <v>233</v>
      </c>
      <c r="D290" s="5" t="s">
        <v>92</v>
      </c>
      <c r="E290" s="5" t="s">
        <v>88</v>
      </c>
      <c r="F290" s="5" t="s">
        <v>18</v>
      </c>
      <c r="G290" s="12" t="s">
        <v>89</v>
      </c>
      <c r="H290" s="12"/>
      <c r="I290" s="6">
        <v>0</v>
      </c>
      <c r="J290" s="6">
        <v>0</v>
      </c>
      <c r="K290" s="6">
        <v>0</v>
      </c>
      <c r="L290" s="16">
        <v>0</v>
      </c>
      <c r="M290" s="5"/>
      <c r="N290" s="9">
        <v>25</v>
      </c>
      <c r="O290" s="6">
        <v>76</v>
      </c>
      <c r="P290" s="6">
        <v>76</v>
      </c>
      <c r="Q290" s="6">
        <v>0</v>
      </c>
      <c r="R290" s="16">
        <v>51</v>
      </c>
      <c r="S290" s="5"/>
      <c r="T290" s="17">
        <v>2250</v>
      </c>
      <c r="U290" s="7">
        <v>7184.37</v>
      </c>
      <c r="V290" s="7">
        <v>0</v>
      </c>
      <c r="W290" s="7">
        <v>7184.37</v>
      </c>
      <c r="X290" s="7">
        <v>0</v>
      </c>
      <c r="Y290" s="7">
        <v>4934.37</v>
      </c>
      <c r="Z290" s="10" t="str">
        <f t="shared" si="8"/>
        <v>Plumbing</v>
      </c>
      <c r="AA290" s="24" t="str">
        <f t="shared" si="9"/>
        <v xml:space="preserve"> 3971. LAX People Mover</v>
      </c>
    </row>
    <row r="291" spans="1:27" x14ac:dyDescent="0.2">
      <c r="A291" s="5" t="s">
        <v>445</v>
      </c>
      <c r="B291" s="5" t="s">
        <v>439</v>
      </c>
      <c r="C291" s="5" t="s">
        <v>235</v>
      </c>
      <c r="D291" s="5" t="s">
        <v>92</v>
      </c>
      <c r="E291" s="5" t="s">
        <v>88</v>
      </c>
      <c r="F291" s="5" t="s">
        <v>18</v>
      </c>
      <c r="G291" s="12" t="s">
        <v>89</v>
      </c>
      <c r="H291" s="12"/>
      <c r="I291" s="6">
        <v>0</v>
      </c>
      <c r="J291" s="6">
        <v>0</v>
      </c>
      <c r="K291" s="6">
        <v>0</v>
      </c>
      <c r="L291" s="16">
        <v>0</v>
      </c>
      <c r="M291" s="5"/>
      <c r="N291" s="9">
        <v>15</v>
      </c>
      <c r="O291" s="6">
        <v>18</v>
      </c>
      <c r="P291" s="6">
        <v>18</v>
      </c>
      <c r="Q291" s="6">
        <v>0</v>
      </c>
      <c r="R291" s="16">
        <v>3</v>
      </c>
      <c r="S291" s="5"/>
      <c r="T291" s="17">
        <v>1350</v>
      </c>
      <c r="U291" s="7">
        <v>1484.65</v>
      </c>
      <c r="V291" s="7">
        <v>0</v>
      </c>
      <c r="W291" s="7">
        <v>1484.65</v>
      </c>
      <c r="X291" s="7">
        <v>0</v>
      </c>
      <c r="Y291" s="7">
        <v>134.65</v>
      </c>
      <c r="Z291" s="10" t="str">
        <f t="shared" si="8"/>
        <v>Plumbing</v>
      </c>
      <c r="AA291" s="24" t="str">
        <f t="shared" si="9"/>
        <v xml:space="preserve"> 3971. LAX People Mover</v>
      </c>
    </row>
    <row r="292" spans="1:27" x14ac:dyDescent="0.2">
      <c r="A292" s="5" t="s">
        <v>446</v>
      </c>
      <c r="B292" s="5" t="s">
        <v>439</v>
      </c>
      <c r="C292" s="5" t="s">
        <v>237</v>
      </c>
      <c r="D292" s="5" t="s">
        <v>92</v>
      </c>
      <c r="E292" s="5" t="s">
        <v>88</v>
      </c>
      <c r="F292" s="5" t="s">
        <v>18</v>
      </c>
      <c r="G292" s="12" t="s">
        <v>89</v>
      </c>
      <c r="H292" s="12"/>
      <c r="I292" s="6">
        <v>0</v>
      </c>
      <c r="J292" s="6">
        <v>0</v>
      </c>
      <c r="K292" s="6">
        <v>0</v>
      </c>
      <c r="L292" s="16">
        <v>0</v>
      </c>
      <c r="M292" s="5"/>
      <c r="N292" s="9">
        <v>2746</v>
      </c>
      <c r="O292" s="6">
        <v>4926.5</v>
      </c>
      <c r="P292" s="6">
        <v>5046.5</v>
      </c>
      <c r="Q292" s="6">
        <v>120</v>
      </c>
      <c r="R292" s="16">
        <v>2300.5</v>
      </c>
      <c r="S292" s="5"/>
      <c r="T292" s="17">
        <v>246980.88</v>
      </c>
      <c r="U292" s="7">
        <v>441271.11</v>
      </c>
      <c r="V292" s="7">
        <v>0</v>
      </c>
      <c r="W292" s="7">
        <v>453871.11</v>
      </c>
      <c r="X292" s="7">
        <v>12600</v>
      </c>
      <c r="Y292" s="7">
        <v>206890.23</v>
      </c>
      <c r="Z292" s="10" t="str">
        <f t="shared" si="8"/>
        <v>Plumbing</v>
      </c>
      <c r="AA292" s="24" t="str">
        <f t="shared" si="9"/>
        <v xml:space="preserve"> 3971. LAX People Mover</v>
      </c>
    </row>
    <row r="293" spans="1:27" x14ac:dyDescent="0.2">
      <c r="A293" s="5" t="s">
        <v>447</v>
      </c>
      <c r="B293" s="5" t="s">
        <v>439</v>
      </c>
      <c r="C293" s="5" t="s">
        <v>239</v>
      </c>
      <c r="D293" s="5" t="s">
        <v>92</v>
      </c>
      <c r="E293" s="5" t="s">
        <v>88</v>
      </c>
      <c r="F293" s="5" t="s">
        <v>18</v>
      </c>
      <c r="G293" s="12" t="s">
        <v>89</v>
      </c>
      <c r="H293" s="12"/>
      <c r="I293" s="6">
        <v>0</v>
      </c>
      <c r="J293" s="6">
        <v>0</v>
      </c>
      <c r="K293" s="6">
        <v>0</v>
      </c>
      <c r="L293" s="16">
        <v>0</v>
      </c>
      <c r="M293" s="5"/>
      <c r="N293" s="9">
        <v>864</v>
      </c>
      <c r="O293" s="6">
        <v>1210</v>
      </c>
      <c r="P293" s="6">
        <v>1210</v>
      </c>
      <c r="Q293" s="6">
        <v>0</v>
      </c>
      <c r="R293" s="16">
        <v>346</v>
      </c>
      <c r="S293" s="5"/>
      <c r="T293" s="17">
        <v>77760</v>
      </c>
      <c r="U293" s="7">
        <v>94773.61</v>
      </c>
      <c r="V293" s="7">
        <v>0</v>
      </c>
      <c r="W293" s="7">
        <v>94773.61</v>
      </c>
      <c r="X293" s="7">
        <v>0</v>
      </c>
      <c r="Y293" s="7">
        <v>17013.61</v>
      </c>
      <c r="Z293" s="10" t="str">
        <f t="shared" si="8"/>
        <v>Plumbing</v>
      </c>
      <c r="AA293" s="24" t="str">
        <f t="shared" si="9"/>
        <v xml:space="preserve"> 3971. LAX People Mover</v>
      </c>
    </row>
    <row r="294" spans="1:27" x14ac:dyDescent="0.2">
      <c r="A294" s="5" t="s">
        <v>448</v>
      </c>
      <c r="B294" s="5" t="s">
        <v>449</v>
      </c>
      <c r="C294" s="5" t="s">
        <v>225</v>
      </c>
      <c r="D294" s="5" t="s">
        <v>450</v>
      </c>
      <c r="E294" s="5" t="s">
        <v>88</v>
      </c>
      <c r="F294" s="5" t="s">
        <v>18</v>
      </c>
      <c r="G294" s="12" t="s">
        <v>89</v>
      </c>
      <c r="H294" s="12"/>
      <c r="I294" s="6">
        <v>0</v>
      </c>
      <c r="J294" s="6">
        <v>0</v>
      </c>
      <c r="K294" s="6">
        <v>0</v>
      </c>
      <c r="L294" s="16">
        <v>0</v>
      </c>
      <c r="M294" s="5"/>
      <c r="N294" s="9">
        <v>30</v>
      </c>
      <c r="O294" s="6">
        <v>44</v>
      </c>
      <c r="P294" s="6">
        <v>44</v>
      </c>
      <c r="Q294" s="6">
        <v>0</v>
      </c>
      <c r="R294" s="16">
        <v>14</v>
      </c>
      <c r="S294" s="5"/>
      <c r="T294" s="17">
        <v>2700</v>
      </c>
      <c r="U294" s="7">
        <v>4283.99</v>
      </c>
      <c r="V294" s="7">
        <v>0</v>
      </c>
      <c r="W294" s="7">
        <v>4283.99</v>
      </c>
      <c r="X294" s="7">
        <v>0</v>
      </c>
      <c r="Y294" s="7">
        <v>1583.99</v>
      </c>
      <c r="Z294" s="10" t="str">
        <f t="shared" si="8"/>
        <v>Plumbing</v>
      </c>
      <c r="AA294" s="24" t="str">
        <f t="shared" si="9"/>
        <v xml:space="preserve"> 3971. LAX People Mover</v>
      </c>
    </row>
    <row r="295" spans="1:27" ht="25.5" x14ac:dyDescent="0.2">
      <c r="A295" s="5" t="s">
        <v>451</v>
      </c>
      <c r="B295" s="5" t="s">
        <v>450</v>
      </c>
      <c r="C295" s="5" t="s">
        <v>16</v>
      </c>
      <c r="D295" s="5" t="s">
        <v>450</v>
      </c>
      <c r="E295" s="5" t="s">
        <v>123</v>
      </c>
      <c r="F295" s="5" t="s">
        <v>18</v>
      </c>
      <c r="G295" s="12" t="s">
        <v>89</v>
      </c>
      <c r="H295" s="12"/>
      <c r="I295" s="6">
        <v>0</v>
      </c>
      <c r="J295" s="6">
        <v>0</v>
      </c>
      <c r="K295" s="6">
        <v>0</v>
      </c>
      <c r="L295" s="16">
        <v>0</v>
      </c>
      <c r="M295" s="5"/>
      <c r="N295" s="9">
        <v>0</v>
      </c>
      <c r="O295" s="6">
        <v>40</v>
      </c>
      <c r="P295" s="6">
        <v>40</v>
      </c>
      <c r="Q295" s="6">
        <v>0</v>
      </c>
      <c r="R295" s="16">
        <v>40</v>
      </c>
      <c r="S295" s="5"/>
      <c r="T295" s="17">
        <v>0</v>
      </c>
      <c r="U295" s="7">
        <v>3997.31</v>
      </c>
      <c r="V295" s="7">
        <v>0</v>
      </c>
      <c r="W295" s="7">
        <v>3997.31</v>
      </c>
      <c r="X295" s="7">
        <v>0</v>
      </c>
      <c r="Y295" s="7">
        <v>3997.31</v>
      </c>
      <c r="Z295" s="10" t="str">
        <f t="shared" si="8"/>
        <v>Plumbing</v>
      </c>
      <c r="AA295" s="24" t="str">
        <f t="shared" si="9"/>
        <v xml:space="preserve"> 3971. LAX People Mover</v>
      </c>
    </row>
    <row r="296" spans="1:27" x14ac:dyDescent="0.2">
      <c r="A296" s="5" t="s">
        <v>452</v>
      </c>
      <c r="B296" s="5" t="s">
        <v>453</v>
      </c>
      <c r="C296" s="5" t="s">
        <v>225</v>
      </c>
      <c r="D296" s="5" t="s">
        <v>450</v>
      </c>
      <c r="E296" s="5" t="s">
        <v>88</v>
      </c>
      <c r="F296" s="5" t="s">
        <v>18</v>
      </c>
      <c r="G296" s="12" t="s">
        <v>89</v>
      </c>
      <c r="H296" s="12"/>
      <c r="I296" s="6">
        <v>0</v>
      </c>
      <c r="J296" s="6">
        <v>0</v>
      </c>
      <c r="K296" s="6">
        <v>0</v>
      </c>
      <c r="L296" s="16">
        <v>0</v>
      </c>
      <c r="M296" s="5"/>
      <c r="N296" s="9">
        <v>324</v>
      </c>
      <c r="O296" s="6">
        <v>743</v>
      </c>
      <c r="P296" s="6">
        <v>743</v>
      </c>
      <c r="Q296" s="6">
        <v>0</v>
      </c>
      <c r="R296" s="16">
        <v>419</v>
      </c>
      <c r="S296" s="5"/>
      <c r="T296" s="17">
        <v>29160</v>
      </c>
      <c r="U296" s="7">
        <v>56418.720000000001</v>
      </c>
      <c r="V296" s="7">
        <v>0</v>
      </c>
      <c r="W296" s="7">
        <v>56418.720000000001</v>
      </c>
      <c r="X296" s="7">
        <v>0</v>
      </c>
      <c r="Y296" s="7">
        <v>27258.720000000001</v>
      </c>
      <c r="Z296" s="10" t="str">
        <f t="shared" si="8"/>
        <v>Plumbing</v>
      </c>
      <c r="AA296" s="24" t="str">
        <f t="shared" si="9"/>
        <v xml:space="preserve"> 3971. LAX People Mover</v>
      </c>
    </row>
    <row r="297" spans="1:27" x14ac:dyDescent="0.2">
      <c r="A297" s="5" t="s">
        <v>454</v>
      </c>
      <c r="B297" s="5" t="s">
        <v>455</v>
      </c>
      <c r="C297" s="5" t="s">
        <v>237</v>
      </c>
      <c r="D297" s="5" t="s">
        <v>450</v>
      </c>
      <c r="E297" s="5" t="s">
        <v>88</v>
      </c>
      <c r="F297" s="5" t="s">
        <v>18</v>
      </c>
      <c r="G297" s="12" t="s">
        <v>89</v>
      </c>
      <c r="H297" s="12"/>
      <c r="I297" s="6">
        <v>0</v>
      </c>
      <c r="J297" s="6">
        <v>0</v>
      </c>
      <c r="K297" s="6">
        <v>0</v>
      </c>
      <c r="L297" s="16">
        <v>0</v>
      </c>
      <c r="M297" s="5"/>
      <c r="N297" s="9">
        <v>110</v>
      </c>
      <c r="O297" s="6">
        <v>114</v>
      </c>
      <c r="P297" s="6">
        <v>154</v>
      </c>
      <c r="Q297" s="6">
        <v>40</v>
      </c>
      <c r="R297" s="16">
        <v>44</v>
      </c>
      <c r="S297" s="5"/>
      <c r="T297" s="17">
        <v>9990</v>
      </c>
      <c r="U297" s="7">
        <v>10509.19</v>
      </c>
      <c r="V297" s="7">
        <v>0</v>
      </c>
      <c r="W297" s="7">
        <v>14509.19</v>
      </c>
      <c r="X297" s="7">
        <v>4000</v>
      </c>
      <c r="Y297" s="7">
        <v>4519.1899999999996</v>
      </c>
      <c r="Z297" s="10" t="str">
        <f t="shared" si="8"/>
        <v>Plumbing</v>
      </c>
      <c r="AA297" s="24" t="str">
        <f t="shared" si="9"/>
        <v xml:space="preserve"> 3971. LAX People Mover</v>
      </c>
    </row>
    <row r="298" spans="1:27" x14ac:dyDescent="0.2">
      <c r="A298" s="5" t="s">
        <v>456</v>
      </c>
      <c r="B298" s="5" t="s">
        <v>457</v>
      </c>
      <c r="C298" s="5" t="s">
        <v>225</v>
      </c>
      <c r="D298" s="5" t="s">
        <v>78</v>
      </c>
      <c r="E298" s="5" t="s">
        <v>88</v>
      </c>
      <c r="F298" s="5" t="s">
        <v>18</v>
      </c>
      <c r="G298" s="12" t="s">
        <v>89</v>
      </c>
      <c r="H298" s="12"/>
      <c r="I298" s="6">
        <v>0</v>
      </c>
      <c r="J298" s="6">
        <v>0</v>
      </c>
      <c r="K298" s="6">
        <v>0</v>
      </c>
      <c r="L298" s="16">
        <v>0</v>
      </c>
      <c r="M298" s="5"/>
      <c r="N298" s="9">
        <v>22</v>
      </c>
      <c r="O298" s="6">
        <v>32</v>
      </c>
      <c r="P298" s="6">
        <v>32</v>
      </c>
      <c r="Q298" s="6">
        <v>0</v>
      </c>
      <c r="R298" s="16">
        <v>10</v>
      </c>
      <c r="S298" s="5"/>
      <c r="T298" s="17">
        <v>1980</v>
      </c>
      <c r="U298" s="7">
        <v>2792</v>
      </c>
      <c r="V298" s="7">
        <v>0</v>
      </c>
      <c r="W298" s="7">
        <v>2792</v>
      </c>
      <c r="X298" s="7">
        <v>0</v>
      </c>
      <c r="Y298" s="7">
        <v>812</v>
      </c>
      <c r="Z298" s="10" t="str">
        <f t="shared" si="8"/>
        <v>Plumbing</v>
      </c>
      <c r="AA298" s="24" t="str">
        <f t="shared" si="9"/>
        <v xml:space="preserve"> 3971. LAX People Mover</v>
      </c>
    </row>
    <row r="299" spans="1:27" ht="25.5" x14ac:dyDescent="0.2">
      <c r="A299" s="5" t="s">
        <v>458</v>
      </c>
      <c r="B299" s="5" t="s">
        <v>459</v>
      </c>
      <c r="C299" s="5" t="s">
        <v>16</v>
      </c>
      <c r="D299" s="5" t="s">
        <v>460</v>
      </c>
      <c r="E299" s="5" t="s">
        <v>123</v>
      </c>
      <c r="F299" s="5" t="s">
        <v>18</v>
      </c>
      <c r="G299" s="12" t="s">
        <v>89</v>
      </c>
      <c r="H299" s="12"/>
      <c r="I299" s="6">
        <v>0</v>
      </c>
      <c r="J299" s="6">
        <v>0</v>
      </c>
      <c r="K299" s="6">
        <v>0</v>
      </c>
      <c r="L299" s="16">
        <v>0</v>
      </c>
      <c r="M299" s="5"/>
      <c r="N299" s="9">
        <v>0</v>
      </c>
      <c r="O299" s="6">
        <v>15</v>
      </c>
      <c r="P299" s="6">
        <v>15</v>
      </c>
      <c r="Q299" s="6">
        <v>0</v>
      </c>
      <c r="R299" s="16">
        <v>15</v>
      </c>
      <c r="S299" s="5"/>
      <c r="T299" s="17">
        <v>0</v>
      </c>
      <c r="U299" s="7">
        <v>1550.94</v>
      </c>
      <c r="V299" s="7">
        <v>0</v>
      </c>
      <c r="W299" s="7">
        <v>1550.94</v>
      </c>
      <c r="X299" s="7">
        <v>0</v>
      </c>
      <c r="Y299" s="7">
        <v>1550.94</v>
      </c>
      <c r="Z299" s="10" t="str">
        <f t="shared" si="8"/>
        <v>Plumbing</v>
      </c>
      <c r="AA299" s="24" t="str">
        <f t="shared" si="9"/>
        <v xml:space="preserve"> 3971. LAX People Mover</v>
      </c>
    </row>
    <row r="300" spans="1:27" x14ac:dyDescent="0.2">
      <c r="A300" s="5" t="s">
        <v>461</v>
      </c>
      <c r="B300" s="5" t="s">
        <v>462</v>
      </c>
      <c r="C300" s="5" t="s">
        <v>225</v>
      </c>
      <c r="D300" s="5" t="s">
        <v>460</v>
      </c>
      <c r="E300" s="5" t="s">
        <v>88</v>
      </c>
      <c r="F300" s="5" t="s">
        <v>18</v>
      </c>
      <c r="G300" s="12" t="s">
        <v>89</v>
      </c>
      <c r="H300" s="12"/>
      <c r="I300" s="6">
        <v>0</v>
      </c>
      <c r="J300" s="6">
        <v>0</v>
      </c>
      <c r="K300" s="6">
        <v>0</v>
      </c>
      <c r="L300" s="16">
        <v>0</v>
      </c>
      <c r="M300" s="5"/>
      <c r="N300" s="9">
        <v>290</v>
      </c>
      <c r="O300" s="6">
        <v>536</v>
      </c>
      <c r="P300" s="6">
        <v>536</v>
      </c>
      <c r="Q300" s="6">
        <v>0</v>
      </c>
      <c r="R300" s="16">
        <v>246</v>
      </c>
      <c r="S300" s="5"/>
      <c r="T300" s="17">
        <v>26106.9</v>
      </c>
      <c r="U300" s="7">
        <v>41932.19</v>
      </c>
      <c r="V300" s="7">
        <v>0</v>
      </c>
      <c r="W300" s="7">
        <v>41932.19</v>
      </c>
      <c r="X300" s="7">
        <v>0</v>
      </c>
      <c r="Y300" s="7">
        <v>15825.29</v>
      </c>
      <c r="Z300" s="10" t="str">
        <f t="shared" si="8"/>
        <v>Plumbing</v>
      </c>
      <c r="AA300" s="24" t="str">
        <f t="shared" si="9"/>
        <v xml:space="preserve"> 3971. LAX People Mover</v>
      </c>
    </row>
    <row r="301" spans="1:27" x14ac:dyDescent="0.2">
      <c r="A301" s="5" t="s">
        <v>463</v>
      </c>
      <c r="B301" s="5" t="s">
        <v>462</v>
      </c>
      <c r="C301" s="5" t="s">
        <v>227</v>
      </c>
      <c r="D301" s="5" t="s">
        <v>460</v>
      </c>
      <c r="E301" s="5" t="s">
        <v>88</v>
      </c>
      <c r="F301" s="5" t="s">
        <v>18</v>
      </c>
      <c r="G301" s="12" t="s">
        <v>89</v>
      </c>
      <c r="H301" s="12"/>
      <c r="I301" s="6">
        <v>0</v>
      </c>
      <c r="J301" s="6">
        <v>0</v>
      </c>
      <c r="K301" s="6">
        <v>0</v>
      </c>
      <c r="L301" s="16">
        <v>0</v>
      </c>
      <c r="M301" s="5"/>
      <c r="N301" s="9">
        <v>172</v>
      </c>
      <c r="O301" s="6">
        <v>230</v>
      </c>
      <c r="P301" s="6">
        <v>302</v>
      </c>
      <c r="Q301" s="6">
        <v>72</v>
      </c>
      <c r="R301" s="16">
        <v>130</v>
      </c>
      <c r="S301" s="5"/>
      <c r="T301" s="17">
        <v>15480</v>
      </c>
      <c r="U301" s="7">
        <v>21097.31</v>
      </c>
      <c r="V301" s="7">
        <v>0</v>
      </c>
      <c r="W301" s="7">
        <v>28657.31</v>
      </c>
      <c r="X301" s="7">
        <v>7560</v>
      </c>
      <c r="Y301" s="7">
        <v>13177.31</v>
      </c>
      <c r="Z301" s="10" t="str">
        <f t="shared" si="8"/>
        <v>Plumbing</v>
      </c>
      <c r="AA301" s="24" t="str">
        <f t="shared" si="9"/>
        <v xml:space="preserve"> 3971. LAX People Mover</v>
      </c>
    </row>
    <row r="302" spans="1:27" ht="25.5" x14ac:dyDescent="0.2">
      <c r="A302" s="5" t="s">
        <v>464</v>
      </c>
      <c r="B302" s="5" t="s">
        <v>465</v>
      </c>
      <c r="C302" s="5" t="s">
        <v>245</v>
      </c>
      <c r="D302" s="5" t="s">
        <v>460</v>
      </c>
      <c r="E302" s="5" t="s">
        <v>123</v>
      </c>
      <c r="F302" s="5" t="s">
        <v>18</v>
      </c>
      <c r="G302" s="12" t="s">
        <v>89</v>
      </c>
      <c r="H302" s="12"/>
      <c r="I302" s="6">
        <v>0</v>
      </c>
      <c r="J302" s="6">
        <v>0</v>
      </c>
      <c r="K302" s="6">
        <v>0</v>
      </c>
      <c r="L302" s="16">
        <v>0</v>
      </c>
      <c r="M302" s="5"/>
      <c r="N302" s="9">
        <v>0</v>
      </c>
      <c r="O302" s="6">
        <v>76</v>
      </c>
      <c r="P302" s="6">
        <v>76</v>
      </c>
      <c r="Q302" s="6">
        <v>0</v>
      </c>
      <c r="R302" s="16">
        <v>76</v>
      </c>
      <c r="S302" s="5"/>
      <c r="T302" s="17">
        <v>0</v>
      </c>
      <c r="U302" s="7">
        <v>7151.78</v>
      </c>
      <c r="V302" s="7">
        <v>0</v>
      </c>
      <c r="W302" s="7">
        <v>7151.78</v>
      </c>
      <c r="X302" s="7">
        <v>0</v>
      </c>
      <c r="Y302" s="7">
        <v>7151.78</v>
      </c>
      <c r="Z302" s="10" t="str">
        <f t="shared" si="8"/>
        <v>Plumbing</v>
      </c>
      <c r="AA302" s="24" t="str">
        <f t="shared" si="9"/>
        <v xml:space="preserve"> 3971. LAX People Mover</v>
      </c>
    </row>
    <row r="303" spans="1:27" x14ac:dyDescent="0.2">
      <c r="A303" s="5" t="s">
        <v>466</v>
      </c>
      <c r="B303" s="5" t="s">
        <v>462</v>
      </c>
      <c r="C303" s="5" t="s">
        <v>229</v>
      </c>
      <c r="D303" s="5" t="s">
        <v>460</v>
      </c>
      <c r="E303" s="5" t="s">
        <v>88</v>
      </c>
      <c r="F303" s="5" t="s">
        <v>18</v>
      </c>
      <c r="G303" s="12" t="s">
        <v>89</v>
      </c>
      <c r="H303" s="12"/>
      <c r="I303" s="6">
        <v>0</v>
      </c>
      <c r="J303" s="6">
        <v>0</v>
      </c>
      <c r="K303" s="6">
        <v>0</v>
      </c>
      <c r="L303" s="16">
        <v>0</v>
      </c>
      <c r="M303" s="5"/>
      <c r="N303" s="9">
        <v>132</v>
      </c>
      <c r="O303" s="6">
        <v>366</v>
      </c>
      <c r="P303" s="6">
        <v>414</v>
      </c>
      <c r="Q303" s="6">
        <v>48</v>
      </c>
      <c r="R303" s="16">
        <v>282</v>
      </c>
      <c r="S303" s="5"/>
      <c r="T303" s="17">
        <v>11880</v>
      </c>
      <c r="U303" s="7">
        <v>28122.29</v>
      </c>
      <c r="V303" s="7">
        <v>0</v>
      </c>
      <c r="W303" s="7">
        <v>33162.29</v>
      </c>
      <c r="X303" s="7">
        <v>5040</v>
      </c>
      <c r="Y303" s="7">
        <v>21282.29</v>
      </c>
      <c r="Z303" s="10" t="str">
        <f t="shared" si="8"/>
        <v>Plumbing</v>
      </c>
      <c r="AA303" s="24" t="str">
        <f t="shared" si="9"/>
        <v xml:space="preserve"> 3971. LAX People Mover</v>
      </c>
    </row>
    <row r="304" spans="1:27" x14ac:dyDescent="0.2">
      <c r="A304" s="5" t="s">
        <v>467</v>
      </c>
      <c r="B304" s="5" t="s">
        <v>462</v>
      </c>
      <c r="C304" s="5" t="s">
        <v>231</v>
      </c>
      <c r="D304" s="5" t="s">
        <v>460</v>
      </c>
      <c r="E304" s="5" t="s">
        <v>88</v>
      </c>
      <c r="F304" s="5" t="s">
        <v>18</v>
      </c>
      <c r="G304" s="12" t="s">
        <v>89</v>
      </c>
      <c r="H304" s="12"/>
      <c r="I304" s="6">
        <v>0</v>
      </c>
      <c r="J304" s="6">
        <v>0</v>
      </c>
      <c r="K304" s="6">
        <v>0</v>
      </c>
      <c r="L304" s="16">
        <v>0</v>
      </c>
      <c r="M304" s="5"/>
      <c r="N304" s="9">
        <v>129</v>
      </c>
      <c r="O304" s="6">
        <v>357</v>
      </c>
      <c r="P304" s="6">
        <v>357</v>
      </c>
      <c r="Q304" s="6">
        <v>0</v>
      </c>
      <c r="R304" s="16">
        <v>228</v>
      </c>
      <c r="S304" s="5"/>
      <c r="T304" s="17">
        <v>11610</v>
      </c>
      <c r="U304" s="7">
        <v>32703.58</v>
      </c>
      <c r="V304" s="7">
        <v>0</v>
      </c>
      <c r="W304" s="7">
        <v>32703.58</v>
      </c>
      <c r="X304" s="7">
        <v>0</v>
      </c>
      <c r="Y304" s="7">
        <v>21093.58</v>
      </c>
      <c r="Z304" s="10" t="str">
        <f t="shared" si="8"/>
        <v>Plumbing</v>
      </c>
      <c r="AA304" s="24" t="str">
        <f t="shared" si="9"/>
        <v xml:space="preserve"> 3971. LAX People Mover</v>
      </c>
    </row>
    <row r="305" spans="1:27" x14ac:dyDescent="0.2">
      <c r="A305" s="5" t="s">
        <v>468</v>
      </c>
      <c r="B305" s="5" t="s">
        <v>462</v>
      </c>
      <c r="C305" s="5" t="s">
        <v>233</v>
      </c>
      <c r="D305" s="5" t="s">
        <v>460</v>
      </c>
      <c r="E305" s="5" t="s">
        <v>88</v>
      </c>
      <c r="F305" s="5" t="s">
        <v>18</v>
      </c>
      <c r="G305" s="12" t="s">
        <v>89</v>
      </c>
      <c r="H305" s="12"/>
      <c r="I305" s="6">
        <v>0</v>
      </c>
      <c r="J305" s="6">
        <v>0</v>
      </c>
      <c r="K305" s="6">
        <v>0</v>
      </c>
      <c r="L305" s="16">
        <v>0</v>
      </c>
      <c r="M305" s="5"/>
      <c r="N305" s="9">
        <v>14</v>
      </c>
      <c r="O305" s="6">
        <v>8</v>
      </c>
      <c r="P305" s="6">
        <v>8</v>
      </c>
      <c r="Q305" s="6">
        <v>0</v>
      </c>
      <c r="R305" s="16">
        <v>-6</v>
      </c>
      <c r="S305" s="5"/>
      <c r="T305" s="17">
        <v>1260</v>
      </c>
      <c r="U305" s="7">
        <v>749.09</v>
      </c>
      <c r="V305" s="7">
        <v>0</v>
      </c>
      <c r="W305" s="7">
        <v>749.09</v>
      </c>
      <c r="X305" s="7">
        <v>0</v>
      </c>
      <c r="Y305" s="7">
        <v>-510.91</v>
      </c>
      <c r="Z305" s="10" t="str">
        <f t="shared" si="8"/>
        <v>Plumbing</v>
      </c>
      <c r="AA305" s="24" t="str">
        <f t="shared" si="9"/>
        <v xml:space="preserve"> 3971. LAX People Mover</v>
      </c>
    </row>
    <row r="306" spans="1:27" x14ac:dyDescent="0.2">
      <c r="A306" s="5" t="s">
        <v>469</v>
      </c>
      <c r="B306" s="5" t="s">
        <v>465</v>
      </c>
      <c r="C306" s="5" t="s">
        <v>237</v>
      </c>
      <c r="D306" s="5" t="s">
        <v>460</v>
      </c>
      <c r="E306" s="5" t="s">
        <v>88</v>
      </c>
      <c r="F306" s="5" t="s">
        <v>18</v>
      </c>
      <c r="G306" s="12" t="s">
        <v>89</v>
      </c>
      <c r="H306" s="12"/>
      <c r="I306" s="6">
        <v>0</v>
      </c>
      <c r="J306" s="6">
        <v>0</v>
      </c>
      <c r="K306" s="6">
        <v>0</v>
      </c>
      <c r="L306" s="16">
        <v>0</v>
      </c>
      <c r="M306" s="5"/>
      <c r="N306" s="9">
        <v>563</v>
      </c>
      <c r="O306" s="6">
        <v>777</v>
      </c>
      <c r="P306" s="6">
        <v>777</v>
      </c>
      <c r="Q306" s="6">
        <v>0</v>
      </c>
      <c r="R306" s="16">
        <v>214</v>
      </c>
      <c r="S306" s="5"/>
      <c r="T306" s="17">
        <v>50670</v>
      </c>
      <c r="U306" s="7">
        <v>69800.509999999995</v>
      </c>
      <c r="V306" s="7">
        <v>0</v>
      </c>
      <c r="W306" s="7">
        <v>69800.509999999995</v>
      </c>
      <c r="X306" s="7">
        <v>0</v>
      </c>
      <c r="Y306" s="7">
        <v>19130.509999999998</v>
      </c>
      <c r="Z306" s="10" t="str">
        <f t="shared" si="8"/>
        <v>Plumbing</v>
      </c>
      <c r="AA306" s="24" t="str">
        <f t="shared" si="9"/>
        <v xml:space="preserve"> 3971. LAX People Mover</v>
      </c>
    </row>
    <row r="307" spans="1:27" x14ac:dyDescent="0.2">
      <c r="A307" s="5" t="s">
        <v>470</v>
      </c>
      <c r="B307" s="5" t="s">
        <v>465</v>
      </c>
      <c r="C307" s="5" t="s">
        <v>239</v>
      </c>
      <c r="D307" s="5" t="s">
        <v>460</v>
      </c>
      <c r="E307" s="5" t="s">
        <v>88</v>
      </c>
      <c r="F307" s="5" t="s">
        <v>18</v>
      </c>
      <c r="G307" s="12" t="s">
        <v>89</v>
      </c>
      <c r="H307" s="12"/>
      <c r="I307" s="6">
        <v>0</v>
      </c>
      <c r="J307" s="6">
        <v>0</v>
      </c>
      <c r="K307" s="6">
        <v>0</v>
      </c>
      <c r="L307" s="16">
        <v>0</v>
      </c>
      <c r="M307" s="5"/>
      <c r="N307" s="9">
        <v>142</v>
      </c>
      <c r="O307" s="6">
        <v>287</v>
      </c>
      <c r="P307" s="6">
        <v>287</v>
      </c>
      <c r="Q307" s="6">
        <v>0</v>
      </c>
      <c r="R307" s="16">
        <v>145</v>
      </c>
      <c r="S307" s="5"/>
      <c r="T307" s="17">
        <v>12780</v>
      </c>
      <c r="U307" s="7">
        <v>24502.67</v>
      </c>
      <c r="V307" s="7">
        <v>0</v>
      </c>
      <c r="W307" s="7">
        <v>24502.67</v>
      </c>
      <c r="X307" s="7">
        <v>0</v>
      </c>
      <c r="Y307" s="7">
        <v>11722.67</v>
      </c>
      <c r="Z307" s="10" t="str">
        <f t="shared" si="8"/>
        <v>Plumbing</v>
      </c>
      <c r="AA307" s="24" t="str">
        <f t="shared" si="9"/>
        <v xml:space="preserve"> 3971. LAX People Mover</v>
      </c>
    </row>
    <row r="308" spans="1:27" x14ac:dyDescent="0.2">
      <c r="A308" s="5" t="s">
        <v>471</v>
      </c>
      <c r="B308" s="5" t="s">
        <v>472</v>
      </c>
      <c r="C308" s="5" t="s">
        <v>225</v>
      </c>
      <c r="D308" s="5" t="s">
        <v>95</v>
      </c>
      <c r="E308" s="5" t="s">
        <v>88</v>
      </c>
      <c r="F308" s="5" t="s">
        <v>18</v>
      </c>
      <c r="G308" s="12" t="s">
        <v>89</v>
      </c>
      <c r="H308" s="12"/>
      <c r="I308" s="6">
        <v>0</v>
      </c>
      <c r="J308" s="6">
        <v>0</v>
      </c>
      <c r="K308" s="6">
        <v>0</v>
      </c>
      <c r="L308" s="16">
        <v>0</v>
      </c>
      <c r="M308" s="5"/>
      <c r="N308" s="9">
        <v>37</v>
      </c>
      <c r="O308" s="6">
        <v>58</v>
      </c>
      <c r="P308" s="6">
        <v>58</v>
      </c>
      <c r="Q308" s="6">
        <v>0</v>
      </c>
      <c r="R308" s="16">
        <v>21</v>
      </c>
      <c r="S308" s="5"/>
      <c r="T308" s="17">
        <v>3330</v>
      </c>
      <c r="U308" s="7">
        <v>4961.47</v>
      </c>
      <c r="V308" s="7">
        <v>0</v>
      </c>
      <c r="W308" s="7">
        <v>4961.47</v>
      </c>
      <c r="X308" s="7">
        <v>0</v>
      </c>
      <c r="Y308" s="7">
        <v>1631.47</v>
      </c>
      <c r="Z308" s="10" t="str">
        <f t="shared" si="8"/>
        <v>Plumbing</v>
      </c>
      <c r="AA308" s="24" t="str">
        <f t="shared" si="9"/>
        <v xml:space="preserve"> 3971. LAX People Mover</v>
      </c>
    </row>
    <row r="309" spans="1:27" ht="25.5" x14ac:dyDescent="0.2">
      <c r="A309" s="5" t="s">
        <v>473</v>
      </c>
      <c r="B309" s="5" t="s">
        <v>474</v>
      </c>
      <c r="C309" s="5" t="s">
        <v>385</v>
      </c>
      <c r="D309" s="5" t="s">
        <v>95</v>
      </c>
      <c r="E309" s="5" t="s">
        <v>123</v>
      </c>
      <c r="F309" s="5" t="s">
        <v>18</v>
      </c>
      <c r="G309" s="12" t="s">
        <v>89</v>
      </c>
      <c r="H309" s="12"/>
      <c r="I309" s="6">
        <v>0</v>
      </c>
      <c r="J309" s="6">
        <v>0</v>
      </c>
      <c r="K309" s="6">
        <v>0</v>
      </c>
      <c r="L309" s="16">
        <v>0</v>
      </c>
      <c r="M309" s="5"/>
      <c r="N309" s="9">
        <v>0</v>
      </c>
      <c r="O309" s="6">
        <v>190</v>
      </c>
      <c r="P309" s="6">
        <v>190</v>
      </c>
      <c r="Q309" s="6">
        <v>0</v>
      </c>
      <c r="R309" s="16">
        <v>190</v>
      </c>
      <c r="S309" s="5"/>
      <c r="T309" s="17">
        <v>0</v>
      </c>
      <c r="U309" s="7">
        <v>15455.08</v>
      </c>
      <c r="V309" s="7">
        <v>0</v>
      </c>
      <c r="W309" s="7">
        <v>15455.08</v>
      </c>
      <c r="X309" s="7">
        <v>0</v>
      </c>
      <c r="Y309" s="7">
        <v>15455.08</v>
      </c>
      <c r="Z309" s="10" t="str">
        <f t="shared" si="8"/>
        <v>Plumbing</v>
      </c>
      <c r="AA309" s="24" t="str">
        <f t="shared" si="9"/>
        <v xml:space="preserve"> 3971. LAX People Mover</v>
      </c>
    </row>
    <row r="310" spans="1:27" ht="25.5" x14ac:dyDescent="0.2">
      <c r="A310" s="5" t="s">
        <v>475</v>
      </c>
      <c r="B310" s="5" t="s">
        <v>476</v>
      </c>
      <c r="C310" s="5" t="s">
        <v>16</v>
      </c>
      <c r="D310" s="5" t="s">
        <v>95</v>
      </c>
      <c r="E310" s="5" t="s">
        <v>123</v>
      </c>
      <c r="F310" s="5" t="s">
        <v>18</v>
      </c>
      <c r="G310" s="12" t="s">
        <v>89</v>
      </c>
      <c r="H310" s="12"/>
      <c r="I310" s="6">
        <v>0</v>
      </c>
      <c r="J310" s="6">
        <v>0</v>
      </c>
      <c r="K310" s="6">
        <v>0</v>
      </c>
      <c r="L310" s="16">
        <v>0</v>
      </c>
      <c r="M310" s="5"/>
      <c r="N310" s="9">
        <v>0</v>
      </c>
      <c r="O310" s="6">
        <v>0</v>
      </c>
      <c r="P310" s="6">
        <v>0</v>
      </c>
      <c r="Q310" s="6">
        <v>0</v>
      </c>
      <c r="R310" s="16">
        <v>0</v>
      </c>
      <c r="S310" s="5"/>
      <c r="T310" s="1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10" t="str">
        <f t="shared" si="8"/>
        <v>Plumbing</v>
      </c>
      <c r="AA310" s="24" t="str">
        <f t="shared" si="9"/>
        <v xml:space="preserve"> 3971. LAX People Mover</v>
      </c>
    </row>
    <row r="311" spans="1:27" x14ac:dyDescent="0.2">
      <c r="A311" s="5" t="s">
        <v>477</v>
      </c>
      <c r="B311" s="5" t="s">
        <v>478</v>
      </c>
      <c r="C311" s="5" t="s">
        <v>225</v>
      </c>
      <c r="D311" s="5" t="s">
        <v>95</v>
      </c>
      <c r="E311" s="5" t="s">
        <v>88</v>
      </c>
      <c r="F311" s="5" t="s">
        <v>18</v>
      </c>
      <c r="G311" s="12" t="s">
        <v>89</v>
      </c>
      <c r="H311" s="12"/>
      <c r="I311" s="6">
        <v>0</v>
      </c>
      <c r="J311" s="6">
        <v>0</v>
      </c>
      <c r="K311" s="6">
        <v>0</v>
      </c>
      <c r="L311" s="16">
        <v>0</v>
      </c>
      <c r="M311" s="5"/>
      <c r="N311" s="9">
        <v>619</v>
      </c>
      <c r="O311" s="6">
        <v>867</v>
      </c>
      <c r="P311" s="6">
        <v>867</v>
      </c>
      <c r="Q311" s="6">
        <v>0</v>
      </c>
      <c r="R311" s="16">
        <v>248</v>
      </c>
      <c r="S311" s="5"/>
      <c r="T311" s="17">
        <v>55710</v>
      </c>
      <c r="U311" s="7">
        <v>63463.46</v>
      </c>
      <c r="V311" s="7">
        <v>0</v>
      </c>
      <c r="W311" s="7">
        <v>63463.46</v>
      </c>
      <c r="X311" s="7">
        <v>0</v>
      </c>
      <c r="Y311" s="7">
        <v>7753.46</v>
      </c>
      <c r="Z311" s="10" t="str">
        <f t="shared" si="8"/>
        <v>Plumbing</v>
      </c>
      <c r="AA311" s="24" t="str">
        <f t="shared" si="9"/>
        <v xml:space="preserve"> 3971. LAX People Mover</v>
      </c>
    </row>
    <row r="312" spans="1:27" ht="25.5" x14ac:dyDescent="0.2">
      <c r="A312" s="5" t="s">
        <v>479</v>
      </c>
      <c r="B312" s="5" t="s">
        <v>107</v>
      </c>
      <c r="C312" s="5" t="s">
        <v>16</v>
      </c>
      <c r="D312" s="5" t="s">
        <v>107</v>
      </c>
      <c r="E312" s="5" t="s">
        <v>123</v>
      </c>
      <c r="F312" s="5" t="s">
        <v>18</v>
      </c>
      <c r="G312" s="12" t="s">
        <v>89</v>
      </c>
      <c r="H312" s="12"/>
      <c r="I312" s="6">
        <v>0</v>
      </c>
      <c r="J312" s="6">
        <v>0</v>
      </c>
      <c r="K312" s="6">
        <v>0</v>
      </c>
      <c r="L312" s="16">
        <v>0</v>
      </c>
      <c r="M312" s="5"/>
      <c r="N312" s="9">
        <v>0</v>
      </c>
      <c r="O312" s="6">
        <v>0</v>
      </c>
      <c r="P312" s="6">
        <v>0</v>
      </c>
      <c r="Q312" s="6">
        <v>0</v>
      </c>
      <c r="R312" s="16">
        <v>0</v>
      </c>
      <c r="S312" s="5"/>
      <c r="T312" s="1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10" t="str">
        <f t="shared" si="8"/>
        <v>Plumbing</v>
      </c>
      <c r="AA312" s="24" t="str">
        <f t="shared" si="9"/>
        <v xml:space="preserve"> 3971. LAX People Mover</v>
      </c>
    </row>
    <row r="313" spans="1:27" x14ac:dyDescent="0.2">
      <c r="A313" s="5" t="s">
        <v>480</v>
      </c>
      <c r="B313" s="5" t="s">
        <v>481</v>
      </c>
      <c r="C313" s="5" t="s">
        <v>225</v>
      </c>
      <c r="D313" s="5" t="s">
        <v>107</v>
      </c>
      <c r="E313" s="5" t="s">
        <v>88</v>
      </c>
      <c r="F313" s="5" t="s">
        <v>18</v>
      </c>
      <c r="G313" s="12" t="s">
        <v>89</v>
      </c>
      <c r="H313" s="12"/>
      <c r="I313" s="6">
        <v>0</v>
      </c>
      <c r="J313" s="6">
        <v>0</v>
      </c>
      <c r="K313" s="6">
        <v>0</v>
      </c>
      <c r="L313" s="16">
        <v>0</v>
      </c>
      <c r="M313" s="5"/>
      <c r="N313" s="9">
        <v>600</v>
      </c>
      <c r="O313" s="6">
        <v>1828</v>
      </c>
      <c r="P313" s="6">
        <v>1828</v>
      </c>
      <c r="Q313" s="6">
        <v>0</v>
      </c>
      <c r="R313" s="16">
        <v>1228</v>
      </c>
      <c r="S313" s="5"/>
      <c r="T313" s="17">
        <v>54000</v>
      </c>
      <c r="U313" s="7">
        <v>129933.16</v>
      </c>
      <c r="V313" s="7">
        <v>0</v>
      </c>
      <c r="W313" s="7">
        <v>129933.16</v>
      </c>
      <c r="X313" s="7">
        <v>0</v>
      </c>
      <c r="Y313" s="7">
        <v>75933.16</v>
      </c>
      <c r="Z313" s="10" t="str">
        <f t="shared" si="8"/>
        <v>Plumbing</v>
      </c>
      <c r="AA313" s="24" t="str">
        <f t="shared" si="9"/>
        <v xml:space="preserve"> 3971. LAX People Mover</v>
      </c>
    </row>
    <row r="314" spans="1:27" x14ac:dyDescent="0.2">
      <c r="A314" s="5" t="s">
        <v>482</v>
      </c>
      <c r="B314" s="5" t="s">
        <v>481</v>
      </c>
      <c r="C314" s="5" t="s">
        <v>122</v>
      </c>
      <c r="D314" s="5" t="s">
        <v>107</v>
      </c>
      <c r="E314" s="5" t="s">
        <v>88</v>
      </c>
      <c r="F314" s="5" t="s">
        <v>18</v>
      </c>
      <c r="G314" s="12" t="s">
        <v>89</v>
      </c>
      <c r="H314" s="12"/>
      <c r="I314" s="6">
        <v>0</v>
      </c>
      <c r="J314" s="6">
        <v>0</v>
      </c>
      <c r="K314" s="6">
        <v>0</v>
      </c>
      <c r="L314" s="16">
        <v>0</v>
      </c>
      <c r="M314" s="5"/>
      <c r="N314" s="9">
        <v>6</v>
      </c>
      <c r="O314" s="6">
        <v>0</v>
      </c>
      <c r="P314" s="6">
        <v>0</v>
      </c>
      <c r="Q314" s="6">
        <v>0</v>
      </c>
      <c r="R314" s="16">
        <v>-6</v>
      </c>
      <c r="S314" s="5"/>
      <c r="T314" s="17">
        <v>540</v>
      </c>
      <c r="U314" s="7">
        <v>0</v>
      </c>
      <c r="V314" s="7">
        <v>0</v>
      </c>
      <c r="W314" s="7">
        <v>0</v>
      </c>
      <c r="X314" s="7">
        <v>0</v>
      </c>
      <c r="Y314" s="7">
        <v>-540</v>
      </c>
      <c r="Z314" s="10" t="str">
        <f t="shared" si="8"/>
        <v>Plumbing</v>
      </c>
      <c r="AA314" s="24" t="str">
        <f t="shared" si="9"/>
        <v xml:space="preserve"> 3971. LAX People Mover</v>
      </c>
    </row>
    <row r="315" spans="1:27" x14ac:dyDescent="0.2">
      <c r="A315" s="5" t="s">
        <v>483</v>
      </c>
      <c r="B315" s="5" t="s">
        <v>481</v>
      </c>
      <c r="C315" s="5" t="s">
        <v>227</v>
      </c>
      <c r="D315" s="5" t="s">
        <v>107</v>
      </c>
      <c r="E315" s="5" t="s">
        <v>88</v>
      </c>
      <c r="F315" s="5" t="s">
        <v>18</v>
      </c>
      <c r="G315" s="12" t="s">
        <v>89</v>
      </c>
      <c r="H315" s="12"/>
      <c r="I315" s="6">
        <v>0</v>
      </c>
      <c r="J315" s="6">
        <v>0</v>
      </c>
      <c r="K315" s="6">
        <v>0</v>
      </c>
      <c r="L315" s="16">
        <v>0</v>
      </c>
      <c r="M315" s="5"/>
      <c r="N315" s="9">
        <v>793</v>
      </c>
      <c r="O315" s="6">
        <v>1577</v>
      </c>
      <c r="P315" s="6">
        <v>1577</v>
      </c>
      <c r="Q315" s="6">
        <v>0</v>
      </c>
      <c r="R315" s="16">
        <v>784</v>
      </c>
      <c r="S315" s="5"/>
      <c r="T315" s="17">
        <v>71370</v>
      </c>
      <c r="U315" s="7">
        <v>116397.61</v>
      </c>
      <c r="V315" s="7">
        <v>0</v>
      </c>
      <c r="W315" s="7">
        <v>116397.61</v>
      </c>
      <c r="X315" s="7">
        <v>0</v>
      </c>
      <c r="Y315" s="7">
        <v>45027.61</v>
      </c>
      <c r="Z315" s="10" t="str">
        <f t="shared" si="8"/>
        <v>Plumbing</v>
      </c>
      <c r="AA315" s="24" t="str">
        <f t="shared" si="9"/>
        <v xml:space="preserve"> 3971. LAX People Mover</v>
      </c>
    </row>
    <row r="316" spans="1:27" x14ac:dyDescent="0.2">
      <c r="A316" s="5" t="s">
        <v>483</v>
      </c>
      <c r="B316" s="5" t="s">
        <v>481</v>
      </c>
      <c r="C316" s="5" t="s">
        <v>227</v>
      </c>
      <c r="D316" s="5" t="s">
        <v>107</v>
      </c>
      <c r="E316" s="5" t="s">
        <v>88</v>
      </c>
      <c r="F316" s="5" t="s">
        <v>25</v>
      </c>
      <c r="G316" s="12" t="s">
        <v>89</v>
      </c>
      <c r="H316" s="12"/>
      <c r="I316" s="6">
        <v>0</v>
      </c>
      <c r="J316" s="6">
        <v>0</v>
      </c>
      <c r="K316" s="6">
        <v>0</v>
      </c>
      <c r="L316" s="16">
        <v>0</v>
      </c>
      <c r="M316" s="5"/>
      <c r="N316" s="9">
        <v>10</v>
      </c>
      <c r="O316" s="6">
        <v>0</v>
      </c>
      <c r="P316" s="6">
        <v>0</v>
      </c>
      <c r="Q316" s="6">
        <v>0</v>
      </c>
      <c r="R316" s="16">
        <v>-10</v>
      </c>
      <c r="S316" s="5"/>
      <c r="T316" s="17">
        <v>900</v>
      </c>
      <c r="U316" s="7">
        <v>0</v>
      </c>
      <c r="V316" s="7">
        <v>0</v>
      </c>
      <c r="W316" s="7">
        <v>0</v>
      </c>
      <c r="X316" s="7">
        <v>0</v>
      </c>
      <c r="Y316" s="7">
        <v>-900</v>
      </c>
      <c r="Z316" s="10" t="str">
        <f t="shared" si="8"/>
        <v>Plumbing</v>
      </c>
      <c r="AA316" s="24" t="str">
        <f t="shared" si="9"/>
        <v xml:space="preserve"> 3971. LAX People Mover</v>
      </c>
    </row>
    <row r="317" spans="1:27" ht="25.5" x14ac:dyDescent="0.2">
      <c r="A317" s="5" t="s">
        <v>484</v>
      </c>
      <c r="B317" s="5" t="s">
        <v>481</v>
      </c>
      <c r="C317" s="5" t="s">
        <v>245</v>
      </c>
      <c r="D317" s="5" t="s">
        <v>107</v>
      </c>
      <c r="E317" s="5" t="s">
        <v>123</v>
      </c>
      <c r="F317" s="5" t="s">
        <v>18</v>
      </c>
      <c r="G317" s="12" t="s">
        <v>89</v>
      </c>
      <c r="H317" s="12"/>
      <c r="I317" s="6">
        <v>0</v>
      </c>
      <c r="J317" s="6">
        <v>0</v>
      </c>
      <c r="K317" s="6">
        <v>0</v>
      </c>
      <c r="L317" s="16">
        <v>0</v>
      </c>
      <c r="M317" s="5"/>
      <c r="N317" s="9">
        <v>0</v>
      </c>
      <c r="O317" s="6">
        <v>20</v>
      </c>
      <c r="P317" s="6">
        <v>20</v>
      </c>
      <c r="Q317" s="6">
        <v>0</v>
      </c>
      <c r="R317" s="16">
        <v>20</v>
      </c>
      <c r="S317" s="5"/>
      <c r="T317" s="17">
        <v>0</v>
      </c>
      <c r="U317" s="7">
        <v>2011.78</v>
      </c>
      <c r="V317" s="7">
        <v>0</v>
      </c>
      <c r="W317" s="7">
        <v>2011.78</v>
      </c>
      <c r="X317" s="7">
        <v>0</v>
      </c>
      <c r="Y317" s="7">
        <v>2011.78</v>
      </c>
      <c r="Z317" s="10" t="str">
        <f t="shared" si="8"/>
        <v>Plumbing</v>
      </c>
      <c r="AA317" s="24" t="str">
        <f t="shared" si="9"/>
        <v xml:space="preserve"> 3971. LAX People Mover</v>
      </c>
    </row>
    <row r="318" spans="1:27" x14ac:dyDescent="0.2">
      <c r="A318" s="5" t="s">
        <v>485</v>
      </c>
      <c r="B318" s="5" t="s">
        <v>481</v>
      </c>
      <c r="C318" s="5" t="s">
        <v>229</v>
      </c>
      <c r="D318" s="5" t="s">
        <v>107</v>
      </c>
      <c r="E318" s="5" t="s">
        <v>88</v>
      </c>
      <c r="F318" s="5" t="s">
        <v>18</v>
      </c>
      <c r="G318" s="12" t="s">
        <v>89</v>
      </c>
      <c r="H318" s="12"/>
      <c r="I318" s="6">
        <v>0</v>
      </c>
      <c r="J318" s="6">
        <v>0</v>
      </c>
      <c r="K318" s="6">
        <v>0</v>
      </c>
      <c r="L318" s="16">
        <v>0</v>
      </c>
      <c r="M318" s="5"/>
      <c r="N318" s="9">
        <v>236</v>
      </c>
      <c r="O318" s="6">
        <v>1865</v>
      </c>
      <c r="P318" s="6">
        <v>1865</v>
      </c>
      <c r="Q318" s="6">
        <v>0</v>
      </c>
      <c r="R318" s="16">
        <v>1629</v>
      </c>
      <c r="S318" s="5"/>
      <c r="T318" s="17">
        <v>21240</v>
      </c>
      <c r="U318" s="7">
        <v>131115.75</v>
      </c>
      <c r="V318" s="7">
        <v>0</v>
      </c>
      <c r="W318" s="7">
        <v>131115.75</v>
      </c>
      <c r="X318" s="7">
        <v>0</v>
      </c>
      <c r="Y318" s="7">
        <v>109875.75</v>
      </c>
      <c r="Z318" s="10" t="str">
        <f t="shared" si="8"/>
        <v>Plumbing</v>
      </c>
      <c r="AA318" s="24" t="str">
        <f t="shared" si="9"/>
        <v xml:space="preserve"> 3971. LAX People Mover</v>
      </c>
    </row>
    <row r="319" spans="1:27" x14ac:dyDescent="0.2">
      <c r="A319" s="5" t="s">
        <v>486</v>
      </c>
      <c r="B319" s="5" t="s">
        <v>481</v>
      </c>
      <c r="C319" s="5" t="s">
        <v>231</v>
      </c>
      <c r="D319" s="5" t="s">
        <v>107</v>
      </c>
      <c r="E319" s="5" t="s">
        <v>88</v>
      </c>
      <c r="F319" s="5" t="s">
        <v>18</v>
      </c>
      <c r="G319" s="12" t="s">
        <v>89</v>
      </c>
      <c r="H319" s="12"/>
      <c r="I319" s="6">
        <v>0</v>
      </c>
      <c r="J319" s="6">
        <v>0</v>
      </c>
      <c r="K319" s="6">
        <v>0</v>
      </c>
      <c r="L319" s="16">
        <v>0</v>
      </c>
      <c r="M319" s="5"/>
      <c r="N319" s="9">
        <v>630</v>
      </c>
      <c r="O319" s="6">
        <v>1557</v>
      </c>
      <c r="P319" s="6">
        <v>1557</v>
      </c>
      <c r="Q319" s="6">
        <v>0</v>
      </c>
      <c r="R319" s="16">
        <v>927</v>
      </c>
      <c r="S319" s="5"/>
      <c r="T319" s="17">
        <v>56700</v>
      </c>
      <c r="U319" s="7">
        <v>125466.95</v>
      </c>
      <c r="V319" s="7">
        <v>0</v>
      </c>
      <c r="W319" s="7">
        <v>125466.95</v>
      </c>
      <c r="X319" s="7">
        <v>0</v>
      </c>
      <c r="Y319" s="7">
        <v>68766.95</v>
      </c>
      <c r="Z319" s="10" t="str">
        <f t="shared" si="8"/>
        <v>Plumbing</v>
      </c>
      <c r="AA319" s="24" t="str">
        <f t="shared" si="9"/>
        <v xml:space="preserve"> 3971. LAX People Mover</v>
      </c>
    </row>
    <row r="320" spans="1:27" x14ac:dyDescent="0.2">
      <c r="A320" s="5" t="s">
        <v>487</v>
      </c>
      <c r="B320" s="5" t="s">
        <v>481</v>
      </c>
      <c r="C320" s="5" t="s">
        <v>233</v>
      </c>
      <c r="D320" s="5" t="s">
        <v>107</v>
      </c>
      <c r="E320" s="5" t="s">
        <v>88</v>
      </c>
      <c r="F320" s="5" t="s">
        <v>18</v>
      </c>
      <c r="G320" s="12" t="s">
        <v>89</v>
      </c>
      <c r="H320" s="12"/>
      <c r="I320" s="6">
        <v>0</v>
      </c>
      <c r="J320" s="6">
        <v>0</v>
      </c>
      <c r="K320" s="6">
        <v>0</v>
      </c>
      <c r="L320" s="16">
        <v>0</v>
      </c>
      <c r="M320" s="5"/>
      <c r="N320" s="9">
        <v>9</v>
      </c>
      <c r="O320" s="6">
        <v>16</v>
      </c>
      <c r="P320" s="6">
        <v>16</v>
      </c>
      <c r="Q320" s="6">
        <v>0</v>
      </c>
      <c r="R320" s="16">
        <v>7</v>
      </c>
      <c r="S320" s="5"/>
      <c r="T320" s="17">
        <v>810</v>
      </c>
      <c r="U320" s="7">
        <v>1504.2</v>
      </c>
      <c r="V320" s="7">
        <v>0</v>
      </c>
      <c r="W320" s="7">
        <v>1504.2</v>
      </c>
      <c r="X320" s="7">
        <v>0</v>
      </c>
      <c r="Y320" s="7">
        <v>694.2</v>
      </c>
      <c r="Z320" s="10" t="str">
        <f t="shared" si="8"/>
        <v>Plumbing</v>
      </c>
      <c r="AA320" s="24" t="str">
        <f t="shared" si="9"/>
        <v xml:space="preserve"> 3971. LAX People Mover</v>
      </c>
    </row>
    <row r="321" spans="1:27" x14ac:dyDescent="0.2">
      <c r="A321" s="5" t="s">
        <v>488</v>
      </c>
      <c r="B321" s="5" t="s">
        <v>481</v>
      </c>
      <c r="C321" s="5" t="s">
        <v>235</v>
      </c>
      <c r="D321" s="5" t="s">
        <v>107</v>
      </c>
      <c r="E321" s="5" t="s">
        <v>88</v>
      </c>
      <c r="F321" s="5" t="s">
        <v>18</v>
      </c>
      <c r="G321" s="12" t="s">
        <v>89</v>
      </c>
      <c r="H321" s="12"/>
      <c r="I321" s="6">
        <v>0</v>
      </c>
      <c r="J321" s="6">
        <v>0</v>
      </c>
      <c r="K321" s="6">
        <v>0</v>
      </c>
      <c r="L321" s="16">
        <v>0</v>
      </c>
      <c r="M321" s="5"/>
      <c r="N321" s="9">
        <v>8</v>
      </c>
      <c r="O321" s="6">
        <v>10</v>
      </c>
      <c r="P321" s="6">
        <v>10</v>
      </c>
      <c r="Q321" s="6">
        <v>0</v>
      </c>
      <c r="R321" s="16">
        <v>2</v>
      </c>
      <c r="S321" s="5"/>
      <c r="T321" s="17">
        <v>720</v>
      </c>
      <c r="U321" s="7">
        <v>940.15</v>
      </c>
      <c r="V321" s="7">
        <v>0</v>
      </c>
      <c r="W321" s="7">
        <v>940.15</v>
      </c>
      <c r="X321" s="7">
        <v>0</v>
      </c>
      <c r="Y321" s="7">
        <v>220.15</v>
      </c>
      <c r="Z321" s="10" t="str">
        <f t="shared" si="8"/>
        <v>Plumbing</v>
      </c>
      <c r="AA321" s="24" t="str">
        <f t="shared" si="9"/>
        <v xml:space="preserve"> 3971. LAX People Mover</v>
      </c>
    </row>
    <row r="322" spans="1:27" x14ac:dyDescent="0.2">
      <c r="A322" s="5" t="s">
        <v>489</v>
      </c>
      <c r="B322" s="5" t="s">
        <v>481</v>
      </c>
      <c r="C322" s="5" t="s">
        <v>237</v>
      </c>
      <c r="D322" s="5" t="s">
        <v>107</v>
      </c>
      <c r="E322" s="5" t="s">
        <v>88</v>
      </c>
      <c r="F322" s="5" t="s">
        <v>18</v>
      </c>
      <c r="G322" s="12" t="s">
        <v>89</v>
      </c>
      <c r="H322" s="12"/>
      <c r="I322" s="6">
        <v>0</v>
      </c>
      <c r="J322" s="6">
        <v>0</v>
      </c>
      <c r="K322" s="6">
        <v>0</v>
      </c>
      <c r="L322" s="16">
        <v>0</v>
      </c>
      <c r="M322" s="5"/>
      <c r="N322" s="9">
        <v>142</v>
      </c>
      <c r="O322" s="6">
        <v>2568</v>
      </c>
      <c r="P322" s="6">
        <v>2568</v>
      </c>
      <c r="Q322" s="6">
        <v>0</v>
      </c>
      <c r="R322" s="16">
        <v>2426</v>
      </c>
      <c r="S322" s="5"/>
      <c r="T322" s="17">
        <v>12780</v>
      </c>
      <c r="U322" s="7">
        <v>215178.6</v>
      </c>
      <c r="V322" s="7">
        <v>0</v>
      </c>
      <c r="W322" s="7">
        <v>215178.6</v>
      </c>
      <c r="X322" s="7">
        <v>0</v>
      </c>
      <c r="Y322" s="7">
        <v>202398.6</v>
      </c>
      <c r="Z322" s="10" t="str">
        <f t="shared" si="8"/>
        <v>Plumbing</v>
      </c>
      <c r="AA322" s="24" t="str">
        <f t="shared" si="9"/>
        <v xml:space="preserve"> 3971. LAX People Mover</v>
      </c>
    </row>
    <row r="323" spans="1:27" x14ac:dyDescent="0.2">
      <c r="A323" s="5" t="s">
        <v>490</v>
      </c>
      <c r="B323" s="5" t="s">
        <v>481</v>
      </c>
      <c r="C323" s="5" t="s">
        <v>239</v>
      </c>
      <c r="D323" s="5" t="s">
        <v>107</v>
      </c>
      <c r="E323" s="5" t="s">
        <v>88</v>
      </c>
      <c r="F323" s="5" t="s">
        <v>18</v>
      </c>
      <c r="G323" s="12" t="s">
        <v>89</v>
      </c>
      <c r="H323" s="12"/>
      <c r="I323" s="6">
        <v>0</v>
      </c>
      <c r="J323" s="6">
        <v>0</v>
      </c>
      <c r="K323" s="6">
        <v>0</v>
      </c>
      <c r="L323" s="16">
        <v>0</v>
      </c>
      <c r="M323" s="5"/>
      <c r="N323" s="9">
        <v>1228</v>
      </c>
      <c r="O323" s="6">
        <v>1466</v>
      </c>
      <c r="P323" s="6">
        <v>1466</v>
      </c>
      <c r="Q323" s="6">
        <v>0</v>
      </c>
      <c r="R323" s="16">
        <v>238</v>
      </c>
      <c r="S323" s="5"/>
      <c r="T323" s="17">
        <v>110520</v>
      </c>
      <c r="U323" s="7">
        <v>105060.2</v>
      </c>
      <c r="V323" s="7">
        <v>0</v>
      </c>
      <c r="W323" s="7">
        <v>105060.2</v>
      </c>
      <c r="X323" s="7">
        <v>0</v>
      </c>
      <c r="Y323" s="7">
        <v>-5459.8</v>
      </c>
      <c r="Z323" s="10" t="str">
        <f t="shared" si="8"/>
        <v>Plumbing</v>
      </c>
      <c r="AA323" s="24" t="str">
        <f t="shared" si="9"/>
        <v xml:space="preserve"> 3971. LAX People Mover</v>
      </c>
    </row>
    <row r="324" spans="1:27" ht="25.5" x14ac:dyDescent="0.2">
      <c r="A324" s="5" t="s">
        <v>491</v>
      </c>
      <c r="B324" s="5" t="s">
        <v>492</v>
      </c>
      <c r="C324" s="5" t="s">
        <v>385</v>
      </c>
      <c r="D324" s="5" t="s">
        <v>493</v>
      </c>
      <c r="E324" s="5" t="s">
        <v>123</v>
      </c>
      <c r="F324" s="5" t="s">
        <v>18</v>
      </c>
      <c r="G324" s="12" t="s">
        <v>89</v>
      </c>
      <c r="H324" s="12"/>
      <c r="I324" s="6">
        <v>0</v>
      </c>
      <c r="J324" s="6">
        <v>0</v>
      </c>
      <c r="K324" s="6">
        <v>0</v>
      </c>
      <c r="L324" s="16">
        <v>0</v>
      </c>
      <c r="M324" s="5"/>
      <c r="N324" s="9">
        <v>0</v>
      </c>
      <c r="O324" s="6">
        <v>0</v>
      </c>
      <c r="P324" s="6">
        <v>0</v>
      </c>
      <c r="Q324" s="6">
        <v>0</v>
      </c>
      <c r="R324" s="16">
        <v>0</v>
      </c>
      <c r="S324" s="5"/>
      <c r="T324" s="1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10" t="str">
        <f t="shared" si="8"/>
        <v>Plumbing</v>
      </c>
      <c r="AA324" s="24" t="str">
        <f t="shared" si="9"/>
        <v xml:space="preserve"> 3971. LAX People Mover</v>
      </c>
    </row>
    <row r="325" spans="1:27" ht="25.5" x14ac:dyDescent="0.2">
      <c r="A325" s="5" t="s">
        <v>494</v>
      </c>
      <c r="B325" s="5" t="s">
        <v>493</v>
      </c>
      <c r="C325" s="5" t="s">
        <v>16</v>
      </c>
      <c r="D325" s="5" t="s">
        <v>493</v>
      </c>
      <c r="E325" s="5" t="s">
        <v>123</v>
      </c>
      <c r="F325" s="5" t="s">
        <v>18</v>
      </c>
      <c r="G325" s="12" t="s">
        <v>89</v>
      </c>
      <c r="H325" s="12"/>
      <c r="I325" s="6">
        <v>0</v>
      </c>
      <c r="J325" s="6">
        <v>0</v>
      </c>
      <c r="K325" s="6">
        <v>0</v>
      </c>
      <c r="L325" s="16">
        <v>0</v>
      </c>
      <c r="M325" s="5"/>
      <c r="N325" s="9">
        <v>0</v>
      </c>
      <c r="O325" s="6">
        <v>0</v>
      </c>
      <c r="P325" s="6">
        <v>0</v>
      </c>
      <c r="Q325" s="6">
        <v>0</v>
      </c>
      <c r="R325" s="16">
        <v>0</v>
      </c>
      <c r="S325" s="5"/>
      <c r="T325" s="1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10" t="str">
        <f t="shared" ref="Z325:Z388" si="10">IF(G325="PLUM", "Plumbing", IF(G325="PIPE", "Piping", IF(G325="HVAC", "Sheet Metal", G325)))</f>
        <v>Plumbing</v>
      </c>
      <c r="AA325" s="24" t="str">
        <f t="shared" ref="AA325:AA388" si="11">IF(ISBLANK(B325), "", $A$2)</f>
        <v xml:space="preserve"> 3971. LAX People Mover</v>
      </c>
    </row>
    <row r="326" spans="1:27" x14ac:dyDescent="0.2">
      <c r="A326" s="5" t="s">
        <v>495</v>
      </c>
      <c r="B326" s="5" t="s">
        <v>496</v>
      </c>
      <c r="C326" s="5" t="s">
        <v>225</v>
      </c>
      <c r="D326" s="5" t="s">
        <v>493</v>
      </c>
      <c r="E326" s="5" t="s">
        <v>88</v>
      </c>
      <c r="F326" s="5" t="s">
        <v>18</v>
      </c>
      <c r="G326" s="12" t="s">
        <v>89</v>
      </c>
      <c r="H326" s="12"/>
      <c r="I326" s="6">
        <v>0</v>
      </c>
      <c r="J326" s="6">
        <v>0</v>
      </c>
      <c r="K326" s="6">
        <v>0</v>
      </c>
      <c r="L326" s="16">
        <v>0</v>
      </c>
      <c r="M326" s="5"/>
      <c r="N326" s="9">
        <v>223</v>
      </c>
      <c r="O326" s="6">
        <v>442.5</v>
      </c>
      <c r="P326" s="6">
        <v>442.5</v>
      </c>
      <c r="Q326" s="6">
        <v>0</v>
      </c>
      <c r="R326" s="16">
        <v>219.5</v>
      </c>
      <c r="S326" s="5"/>
      <c r="T326" s="17">
        <v>20070</v>
      </c>
      <c r="U326" s="7">
        <v>35398.81</v>
      </c>
      <c r="V326" s="7">
        <v>0</v>
      </c>
      <c r="W326" s="7">
        <v>35398.81</v>
      </c>
      <c r="X326" s="7">
        <v>0</v>
      </c>
      <c r="Y326" s="7">
        <v>15328.81</v>
      </c>
      <c r="Z326" s="10" t="str">
        <f t="shared" si="10"/>
        <v>Plumbing</v>
      </c>
      <c r="AA326" s="24" t="str">
        <f t="shared" si="11"/>
        <v xml:space="preserve"> 3971. LAX People Mover</v>
      </c>
    </row>
    <row r="327" spans="1:27" x14ac:dyDescent="0.2">
      <c r="A327" s="5" t="s">
        <v>497</v>
      </c>
      <c r="B327" s="5" t="s">
        <v>496</v>
      </c>
      <c r="C327" s="5" t="s">
        <v>227</v>
      </c>
      <c r="D327" s="5" t="s">
        <v>493</v>
      </c>
      <c r="E327" s="5" t="s">
        <v>88</v>
      </c>
      <c r="F327" s="5" t="s">
        <v>18</v>
      </c>
      <c r="G327" s="12" t="s">
        <v>89</v>
      </c>
      <c r="H327" s="12"/>
      <c r="I327" s="6">
        <v>0</v>
      </c>
      <c r="J327" s="6">
        <v>0</v>
      </c>
      <c r="K327" s="6">
        <v>0</v>
      </c>
      <c r="L327" s="16">
        <v>0</v>
      </c>
      <c r="M327" s="5"/>
      <c r="N327" s="9">
        <v>243</v>
      </c>
      <c r="O327" s="6">
        <v>774</v>
      </c>
      <c r="P327" s="6">
        <v>774</v>
      </c>
      <c r="Q327" s="6">
        <v>0</v>
      </c>
      <c r="R327" s="16">
        <v>531</v>
      </c>
      <c r="S327" s="5"/>
      <c r="T327" s="17">
        <v>21720</v>
      </c>
      <c r="U327" s="7">
        <v>66633.38</v>
      </c>
      <c r="V327" s="7">
        <v>0</v>
      </c>
      <c r="W327" s="7">
        <v>66633.38</v>
      </c>
      <c r="X327" s="7">
        <v>0</v>
      </c>
      <c r="Y327" s="7">
        <v>44913.38</v>
      </c>
      <c r="Z327" s="10" t="str">
        <f t="shared" si="10"/>
        <v>Plumbing</v>
      </c>
      <c r="AA327" s="24" t="str">
        <f t="shared" si="11"/>
        <v xml:space="preserve"> 3971. LAX People Mover</v>
      </c>
    </row>
    <row r="328" spans="1:27" x14ac:dyDescent="0.2">
      <c r="A328" s="5" t="s">
        <v>498</v>
      </c>
      <c r="B328" s="5" t="s">
        <v>496</v>
      </c>
      <c r="C328" s="5" t="s">
        <v>229</v>
      </c>
      <c r="D328" s="5" t="s">
        <v>493</v>
      </c>
      <c r="E328" s="5" t="s">
        <v>88</v>
      </c>
      <c r="F328" s="5" t="s">
        <v>18</v>
      </c>
      <c r="G328" s="12" t="s">
        <v>89</v>
      </c>
      <c r="H328" s="12"/>
      <c r="I328" s="6">
        <v>0</v>
      </c>
      <c r="J328" s="6">
        <v>0</v>
      </c>
      <c r="K328" s="6">
        <v>0</v>
      </c>
      <c r="L328" s="16">
        <v>0</v>
      </c>
      <c r="M328" s="5"/>
      <c r="N328" s="9">
        <v>149</v>
      </c>
      <c r="O328" s="6">
        <v>379</v>
      </c>
      <c r="P328" s="6">
        <v>379</v>
      </c>
      <c r="Q328" s="6">
        <v>0</v>
      </c>
      <c r="R328" s="16">
        <v>230</v>
      </c>
      <c r="S328" s="5"/>
      <c r="T328" s="17">
        <v>13377.5</v>
      </c>
      <c r="U328" s="7">
        <v>34418.26</v>
      </c>
      <c r="V328" s="7">
        <v>0</v>
      </c>
      <c r="W328" s="7">
        <v>34418.26</v>
      </c>
      <c r="X328" s="7">
        <v>0</v>
      </c>
      <c r="Y328" s="7">
        <v>21040.76</v>
      </c>
      <c r="Z328" s="10" t="str">
        <f t="shared" si="10"/>
        <v>Plumbing</v>
      </c>
      <c r="AA328" s="24" t="str">
        <f t="shared" si="11"/>
        <v xml:space="preserve"> 3971. LAX People Mover</v>
      </c>
    </row>
    <row r="329" spans="1:27" x14ac:dyDescent="0.2">
      <c r="A329" s="5" t="s">
        <v>499</v>
      </c>
      <c r="B329" s="5" t="s">
        <v>496</v>
      </c>
      <c r="C329" s="5" t="s">
        <v>231</v>
      </c>
      <c r="D329" s="5" t="s">
        <v>493</v>
      </c>
      <c r="E329" s="5" t="s">
        <v>88</v>
      </c>
      <c r="F329" s="5" t="s">
        <v>18</v>
      </c>
      <c r="G329" s="12" t="s">
        <v>89</v>
      </c>
      <c r="H329" s="12"/>
      <c r="I329" s="6">
        <v>0</v>
      </c>
      <c r="J329" s="6">
        <v>0</v>
      </c>
      <c r="K329" s="6">
        <v>0</v>
      </c>
      <c r="L329" s="16">
        <v>0</v>
      </c>
      <c r="M329" s="5"/>
      <c r="N329" s="9">
        <v>109</v>
      </c>
      <c r="O329" s="6">
        <v>637</v>
      </c>
      <c r="P329" s="6">
        <v>637</v>
      </c>
      <c r="Q329" s="6">
        <v>0</v>
      </c>
      <c r="R329" s="16">
        <v>528</v>
      </c>
      <c r="S329" s="5"/>
      <c r="T329" s="17">
        <v>9751.5</v>
      </c>
      <c r="U329" s="7">
        <v>57975.01</v>
      </c>
      <c r="V329" s="7">
        <v>0</v>
      </c>
      <c r="W329" s="7">
        <v>57975.01</v>
      </c>
      <c r="X329" s="7">
        <v>0</v>
      </c>
      <c r="Y329" s="7">
        <v>48223.51</v>
      </c>
      <c r="Z329" s="10" t="str">
        <f t="shared" si="10"/>
        <v>Plumbing</v>
      </c>
      <c r="AA329" s="24" t="str">
        <f t="shared" si="11"/>
        <v xml:space="preserve"> 3971. LAX People Mover</v>
      </c>
    </row>
    <row r="330" spans="1:27" x14ac:dyDescent="0.2">
      <c r="A330" s="5" t="s">
        <v>500</v>
      </c>
      <c r="B330" s="5" t="s">
        <v>496</v>
      </c>
      <c r="C330" s="5" t="s">
        <v>233</v>
      </c>
      <c r="D330" s="5" t="s">
        <v>493</v>
      </c>
      <c r="E330" s="5" t="s">
        <v>88</v>
      </c>
      <c r="F330" s="5" t="s">
        <v>18</v>
      </c>
      <c r="G330" s="12" t="s">
        <v>89</v>
      </c>
      <c r="H330" s="12"/>
      <c r="I330" s="6">
        <v>0</v>
      </c>
      <c r="J330" s="6">
        <v>0</v>
      </c>
      <c r="K330" s="6">
        <v>0</v>
      </c>
      <c r="L330" s="16">
        <v>0</v>
      </c>
      <c r="M330" s="5"/>
      <c r="N330" s="9">
        <v>11</v>
      </c>
      <c r="O330" s="6">
        <v>40</v>
      </c>
      <c r="P330" s="6">
        <v>40</v>
      </c>
      <c r="Q330" s="6">
        <v>0</v>
      </c>
      <c r="R330" s="16">
        <v>29</v>
      </c>
      <c r="S330" s="5"/>
      <c r="T330" s="17">
        <v>990</v>
      </c>
      <c r="U330" s="7">
        <v>3401.11</v>
      </c>
      <c r="V330" s="7">
        <v>0</v>
      </c>
      <c r="W330" s="7">
        <v>3401.11</v>
      </c>
      <c r="X330" s="7">
        <v>0</v>
      </c>
      <c r="Y330" s="7">
        <v>2411.11</v>
      </c>
      <c r="Z330" s="10" t="str">
        <f t="shared" si="10"/>
        <v>Plumbing</v>
      </c>
      <c r="AA330" s="24" t="str">
        <f t="shared" si="11"/>
        <v xml:space="preserve"> 3971. LAX People Mover</v>
      </c>
    </row>
    <row r="331" spans="1:27" x14ac:dyDescent="0.2">
      <c r="A331" s="5" t="s">
        <v>501</v>
      </c>
      <c r="B331" s="5" t="s">
        <v>496</v>
      </c>
      <c r="C331" s="5" t="s">
        <v>235</v>
      </c>
      <c r="D331" s="5" t="s">
        <v>493</v>
      </c>
      <c r="E331" s="5" t="s">
        <v>88</v>
      </c>
      <c r="F331" s="5" t="s">
        <v>18</v>
      </c>
      <c r="G331" s="12" t="s">
        <v>89</v>
      </c>
      <c r="H331" s="12"/>
      <c r="I331" s="6">
        <v>0</v>
      </c>
      <c r="J331" s="6">
        <v>0</v>
      </c>
      <c r="K331" s="6">
        <v>0</v>
      </c>
      <c r="L331" s="16">
        <v>0</v>
      </c>
      <c r="M331" s="5"/>
      <c r="N331" s="9">
        <v>16</v>
      </c>
      <c r="O331" s="6">
        <v>99</v>
      </c>
      <c r="P331" s="6">
        <v>99</v>
      </c>
      <c r="Q331" s="6">
        <v>0</v>
      </c>
      <c r="R331" s="16">
        <v>83</v>
      </c>
      <c r="S331" s="5"/>
      <c r="T331" s="17">
        <v>1440</v>
      </c>
      <c r="U331" s="7">
        <v>7847.84</v>
      </c>
      <c r="V331" s="7">
        <v>0</v>
      </c>
      <c r="W331" s="7">
        <v>7847.84</v>
      </c>
      <c r="X331" s="7">
        <v>0</v>
      </c>
      <c r="Y331" s="7">
        <v>6407.84</v>
      </c>
      <c r="Z331" s="10" t="str">
        <f t="shared" si="10"/>
        <v>Plumbing</v>
      </c>
      <c r="AA331" s="24" t="str">
        <f t="shared" si="11"/>
        <v xml:space="preserve"> 3971. LAX People Mover</v>
      </c>
    </row>
    <row r="332" spans="1:27" x14ac:dyDescent="0.2">
      <c r="A332" s="5" t="s">
        <v>502</v>
      </c>
      <c r="B332" s="5" t="s">
        <v>503</v>
      </c>
      <c r="C332" s="5" t="s">
        <v>237</v>
      </c>
      <c r="D332" s="5" t="s">
        <v>493</v>
      </c>
      <c r="E332" s="5" t="s">
        <v>88</v>
      </c>
      <c r="F332" s="5" t="s">
        <v>18</v>
      </c>
      <c r="G332" s="12" t="s">
        <v>89</v>
      </c>
      <c r="H332" s="12"/>
      <c r="I332" s="6">
        <v>0</v>
      </c>
      <c r="J332" s="6">
        <v>0</v>
      </c>
      <c r="K332" s="6">
        <v>0</v>
      </c>
      <c r="L332" s="16">
        <v>0</v>
      </c>
      <c r="M332" s="5"/>
      <c r="N332" s="9">
        <v>307</v>
      </c>
      <c r="O332" s="6">
        <v>2371</v>
      </c>
      <c r="P332" s="6">
        <v>2371</v>
      </c>
      <c r="Q332" s="6">
        <v>0</v>
      </c>
      <c r="R332" s="16">
        <v>2064</v>
      </c>
      <c r="S332" s="5"/>
      <c r="T332" s="17">
        <v>27630</v>
      </c>
      <c r="U332" s="7">
        <v>206123.11</v>
      </c>
      <c r="V332" s="7">
        <v>0</v>
      </c>
      <c r="W332" s="7">
        <v>206123.11</v>
      </c>
      <c r="X332" s="7">
        <v>0</v>
      </c>
      <c r="Y332" s="7">
        <v>178493.11</v>
      </c>
      <c r="Z332" s="10" t="str">
        <f t="shared" si="10"/>
        <v>Plumbing</v>
      </c>
      <c r="AA332" s="24" t="str">
        <f t="shared" si="11"/>
        <v xml:space="preserve"> 3971. LAX People Mover</v>
      </c>
    </row>
    <row r="333" spans="1:27" x14ac:dyDescent="0.2">
      <c r="A333" s="5" t="s">
        <v>504</v>
      </c>
      <c r="B333" s="5" t="s">
        <v>503</v>
      </c>
      <c r="C333" s="5" t="s">
        <v>239</v>
      </c>
      <c r="D333" s="5" t="s">
        <v>493</v>
      </c>
      <c r="E333" s="5" t="s">
        <v>88</v>
      </c>
      <c r="F333" s="5" t="s">
        <v>18</v>
      </c>
      <c r="G333" s="12" t="s">
        <v>89</v>
      </c>
      <c r="H333" s="12"/>
      <c r="I333" s="6">
        <v>0</v>
      </c>
      <c r="J333" s="6">
        <v>0</v>
      </c>
      <c r="K333" s="6">
        <v>0</v>
      </c>
      <c r="L333" s="16">
        <v>0</v>
      </c>
      <c r="M333" s="5"/>
      <c r="N333" s="9">
        <v>139</v>
      </c>
      <c r="O333" s="6">
        <v>477</v>
      </c>
      <c r="P333" s="6">
        <v>477</v>
      </c>
      <c r="Q333" s="6">
        <v>0</v>
      </c>
      <c r="R333" s="16">
        <v>338</v>
      </c>
      <c r="S333" s="5"/>
      <c r="T333" s="17">
        <v>12510</v>
      </c>
      <c r="U333" s="7">
        <v>42345.97</v>
      </c>
      <c r="V333" s="7">
        <v>0</v>
      </c>
      <c r="W333" s="7">
        <v>42345.97</v>
      </c>
      <c r="X333" s="7">
        <v>0</v>
      </c>
      <c r="Y333" s="7">
        <v>29835.97</v>
      </c>
      <c r="Z333" s="10" t="str">
        <f t="shared" si="10"/>
        <v>Plumbing</v>
      </c>
      <c r="AA333" s="24" t="str">
        <f t="shared" si="11"/>
        <v xml:space="preserve"> 3971. LAX People Mover</v>
      </c>
    </row>
    <row r="334" spans="1:27" x14ac:dyDescent="0.2">
      <c r="A334" s="5" t="s">
        <v>505</v>
      </c>
      <c r="B334" s="5" t="s">
        <v>51</v>
      </c>
      <c r="C334" s="5" t="s">
        <v>225</v>
      </c>
      <c r="D334" s="5" t="s">
        <v>506</v>
      </c>
      <c r="E334" s="5" t="s">
        <v>88</v>
      </c>
      <c r="F334" s="5" t="s">
        <v>18</v>
      </c>
      <c r="G334" s="12" t="s">
        <v>89</v>
      </c>
      <c r="H334" s="12"/>
      <c r="I334" s="6">
        <v>0</v>
      </c>
      <c r="J334" s="6">
        <v>0</v>
      </c>
      <c r="K334" s="6">
        <v>0</v>
      </c>
      <c r="L334" s="16">
        <v>0</v>
      </c>
      <c r="M334" s="5"/>
      <c r="N334" s="9">
        <v>407</v>
      </c>
      <c r="O334" s="6">
        <v>452</v>
      </c>
      <c r="P334" s="6">
        <v>452</v>
      </c>
      <c r="Q334" s="6">
        <v>0</v>
      </c>
      <c r="R334" s="16">
        <v>45</v>
      </c>
      <c r="S334" s="5"/>
      <c r="T334" s="17">
        <v>36630</v>
      </c>
      <c r="U334" s="7">
        <v>28915.18</v>
      </c>
      <c r="V334" s="7">
        <v>0</v>
      </c>
      <c r="W334" s="7">
        <v>28915.18</v>
      </c>
      <c r="X334" s="7">
        <v>0</v>
      </c>
      <c r="Y334" s="7">
        <v>-7714.82</v>
      </c>
      <c r="Z334" s="10" t="str">
        <f t="shared" si="10"/>
        <v>Plumbing</v>
      </c>
      <c r="AA334" s="24" t="str">
        <f t="shared" si="11"/>
        <v xml:space="preserve"> 3971. LAX People Mover</v>
      </c>
    </row>
    <row r="335" spans="1:27" x14ac:dyDescent="0.2">
      <c r="A335" s="5" t="s">
        <v>507</v>
      </c>
      <c r="B335" s="5" t="s">
        <v>51</v>
      </c>
      <c r="C335" s="5" t="s">
        <v>122</v>
      </c>
      <c r="D335" s="5" t="s">
        <v>506</v>
      </c>
      <c r="E335" s="5" t="s">
        <v>88</v>
      </c>
      <c r="F335" s="5" t="s">
        <v>18</v>
      </c>
      <c r="G335" s="12" t="s">
        <v>89</v>
      </c>
      <c r="H335" s="12"/>
      <c r="I335" s="6">
        <v>0</v>
      </c>
      <c r="J335" s="6">
        <v>0</v>
      </c>
      <c r="K335" s="6">
        <v>0</v>
      </c>
      <c r="L335" s="16">
        <v>0</v>
      </c>
      <c r="M335" s="5"/>
      <c r="N335" s="9">
        <v>5</v>
      </c>
      <c r="O335" s="6">
        <v>0</v>
      </c>
      <c r="P335" s="6">
        <v>0</v>
      </c>
      <c r="Q335" s="6">
        <v>0</v>
      </c>
      <c r="R335" s="16">
        <v>-5</v>
      </c>
      <c r="S335" s="5"/>
      <c r="T335" s="17">
        <v>450</v>
      </c>
      <c r="U335" s="7">
        <v>0</v>
      </c>
      <c r="V335" s="7">
        <v>0</v>
      </c>
      <c r="W335" s="7">
        <v>0</v>
      </c>
      <c r="X335" s="7">
        <v>0</v>
      </c>
      <c r="Y335" s="7">
        <v>-450</v>
      </c>
      <c r="Z335" s="10" t="str">
        <f t="shared" si="10"/>
        <v>Plumbing</v>
      </c>
      <c r="AA335" s="24" t="str">
        <f t="shared" si="11"/>
        <v xml:space="preserve"> 3971. LAX People Mover</v>
      </c>
    </row>
    <row r="336" spans="1:27" x14ac:dyDescent="0.2">
      <c r="A336" s="5" t="s">
        <v>508</v>
      </c>
      <c r="B336" s="5" t="s">
        <v>51</v>
      </c>
      <c r="C336" s="5" t="s">
        <v>227</v>
      </c>
      <c r="D336" s="5" t="s">
        <v>506</v>
      </c>
      <c r="E336" s="5" t="s">
        <v>88</v>
      </c>
      <c r="F336" s="5" t="s">
        <v>18</v>
      </c>
      <c r="G336" s="12" t="s">
        <v>89</v>
      </c>
      <c r="H336" s="12"/>
      <c r="I336" s="6">
        <v>0</v>
      </c>
      <c r="J336" s="6">
        <v>0</v>
      </c>
      <c r="K336" s="6">
        <v>0</v>
      </c>
      <c r="L336" s="16">
        <v>0</v>
      </c>
      <c r="M336" s="5"/>
      <c r="N336" s="9">
        <v>280</v>
      </c>
      <c r="O336" s="6">
        <v>576</v>
      </c>
      <c r="P336" s="6">
        <v>576</v>
      </c>
      <c r="Q336" s="6">
        <v>0</v>
      </c>
      <c r="R336" s="16">
        <v>296</v>
      </c>
      <c r="S336" s="5"/>
      <c r="T336" s="17">
        <v>25200</v>
      </c>
      <c r="U336" s="7">
        <v>41520.18</v>
      </c>
      <c r="V336" s="7">
        <v>0</v>
      </c>
      <c r="W336" s="7">
        <v>41520.18</v>
      </c>
      <c r="X336" s="7">
        <v>0</v>
      </c>
      <c r="Y336" s="7">
        <v>16320.18</v>
      </c>
      <c r="Z336" s="10" t="str">
        <f t="shared" si="10"/>
        <v>Plumbing</v>
      </c>
      <c r="AA336" s="24" t="str">
        <f t="shared" si="11"/>
        <v xml:space="preserve"> 3971. LAX People Mover</v>
      </c>
    </row>
    <row r="337" spans="1:27" x14ac:dyDescent="0.2">
      <c r="A337" s="5" t="s">
        <v>509</v>
      </c>
      <c r="B337" s="5" t="s">
        <v>51</v>
      </c>
      <c r="C337" s="5" t="s">
        <v>229</v>
      </c>
      <c r="D337" s="5" t="s">
        <v>506</v>
      </c>
      <c r="E337" s="5" t="s">
        <v>88</v>
      </c>
      <c r="F337" s="5" t="s">
        <v>18</v>
      </c>
      <c r="G337" s="12" t="s">
        <v>89</v>
      </c>
      <c r="H337" s="12"/>
      <c r="I337" s="6">
        <v>0</v>
      </c>
      <c r="J337" s="6">
        <v>0</v>
      </c>
      <c r="K337" s="6">
        <v>0</v>
      </c>
      <c r="L337" s="16">
        <v>0</v>
      </c>
      <c r="M337" s="5"/>
      <c r="N337" s="9">
        <v>177</v>
      </c>
      <c r="O337" s="6">
        <v>800</v>
      </c>
      <c r="P337" s="6">
        <v>800</v>
      </c>
      <c r="Q337" s="6">
        <v>0</v>
      </c>
      <c r="R337" s="16">
        <v>623</v>
      </c>
      <c r="S337" s="5"/>
      <c r="T337" s="17">
        <v>15930</v>
      </c>
      <c r="U337" s="7">
        <v>54408.76</v>
      </c>
      <c r="V337" s="7">
        <v>0</v>
      </c>
      <c r="W337" s="7">
        <v>54408.76</v>
      </c>
      <c r="X337" s="7">
        <v>0</v>
      </c>
      <c r="Y337" s="7">
        <v>38478.76</v>
      </c>
      <c r="Z337" s="10" t="str">
        <f t="shared" si="10"/>
        <v>Plumbing</v>
      </c>
      <c r="AA337" s="24" t="str">
        <f t="shared" si="11"/>
        <v xml:space="preserve"> 3971. LAX People Mover</v>
      </c>
    </row>
    <row r="338" spans="1:27" x14ac:dyDescent="0.2">
      <c r="A338" s="5" t="s">
        <v>510</v>
      </c>
      <c r="B338" s="5" t="s">
        <v>51</v>
      </c>
      <c r="C338" s="5" t="s">
        <v>231</v>
      </c>
      <c r="D338" s="5" t="s">
        <v>506</v>
      </c>
      <c r="E338" s="5" t="s">
        <v>88</v>
      </c>
      <c r="F338" s="5" t="s">
        <v>18</v>
      </c>
      <c r="G338" s="12" t="s">
        <v>89</v>
      </c>
      <c r="H338" s="12"/>
      <c r="I338" s="6">
        <v>0</v>
      </c>
      <c r="J338" s="6">
        <v>0</v>
      </c>
      <c r="K338" s="6">
        <v>0</v>
      </c>
      <c r="L338" s="16">
        <v>0</v>
      </c>
      <c r="M338" s="5"/>
      <c r="N338" s="9">
        <v>174</v>
      </c>
      <c r="O338" s="6">
        <v>320</v>
      </c>
      <c r="P338" s="6">
        <v>320</v>
      </c>
      <c r="Q338" s="6">
        <v>0</v>
      </c>
      <c r="R338" s="16">
        <v>146</v>
      </c>
      <c r="S338" s="5"/>
      <c r="T338" s="17">
        <v>15660</v>
      </c>
      <c r="U338" s="7">
        <v>25036.2</v>
      </c>
      <c r="V338" s="7">
        <v>0</v>
      </c>
      <c r="W338" s="7">
        <v>25036.2</v>
      </c>
      <c r="X338" s="7">
        <v>0</v>
      </c>
      <c r="Y338" s="7">
        <v>9376.2000000000007</v>
      </c>
      <c r="Z338" s="10" t="str">
        <f t="shared" si="10"/>
        <v>Plumbing</v>
      </c>
      <c r="AA338" s="24" t="str">
        <f t="shared" si="11"/>
        <v xml:space="preserve"> 3971. LAX People Mover</v>
      </c>
    </row>
    <row r="339" spans="1:27" x14ac:dyDescent="0.2">
      <c r="A339" s="5" t="s">
        <v>511</v>
      </c>
      <c r="B339" s="5" t="s">
        <v>51</v>
      </c>
      <c r="C339" s="5" t="s">
        <v>233</v>
      </c>
      <c r="D339" s="5" t="s">
        <v>506</v>
      </c>
      <c r="E339" s="5" t="s">
        <v>88</v>
      </c>
      <c r="F339" s="5" t="s">
        <v>18</v>
      </c>
      <c r="G339" s="12" t="s">
        <v>89</v>
      </c>
      <c r="H339" s="12"/>
      <c r="I339" s="6">
        <v>0</v>
      </c>
      <c r="J339" s="6">
        <v>0</v>
      </c>
      <c r="K339" s="6">
        <v>0</v>
      </c>
      <c r="L339" s="16">
        <v>0</v>
      </c>
      <c r="M339" s="5"/>
      <c r="N339" s="9">
        <v>24</v>
      </c>
      <c r="O339" s="6">
        <v>14</v>
      </c>
      <c r="P339" s="6">
        <v>14</v>
      </c>
      <c r="Q339" s="6">
        <v>0</v>
      </c>
      <c r="R339" s="16">
        <v>-10</v>
      </c>
      <c r="S339" s="5"/>
      <c r="T339" s="17">
        <v>2160</v>
      </c>
      <c r="U339" s="7">
        <v>1374.51</v>
      </c>
      <c r="V339" s="7">
        <v>0</v>
      </c>
      <c r="W339" s="7">
        <v>1374.51</v>
      </c>
      <c r="X339" s="7">
        <v>0</v>
      </c>
      <c r="Y339" s="7">
        <v>-785.49</v>
      </c>
      <c r="Z339" s="10" t="str">
        <f t="shared" si="10"/>
        <v>Plumbing</v>
      </c>
      <c r="AA339" s="24" t="str">
        <f t="shared" si="11"/>
        <v xml:space="preserve"> 3971. LAX People Mover</v>
      </c>
    </row>
    <row r="340" spans="1:27" x14ac:dyDescent="0.2">
      <c r="A340" s="5" t="s">
        <v>512</v>
      </c>
      <c r="B340" s="5" t="s">
        <v>51</v>
      </c>
      <c r="C340" s="5" t="s">
        <v>235</v>
      </c>
      <c r="D340" s="5" t="s">
        <v>506</v>
      </c>
      <c r="E340" s="5" t="s">
        <v>88</v>
      </c>
      <c r="F340" s="5" t="s">
        <v>18</v>
      </c>
      <c r="G340" s="12" t="s">
        <v>89</v>
      </c>
      <c r="H340" s="12"/>
      <c r="I340" s="6">
        <v>0</v>
      </c>
      <c r="J340" s="6">
        <v>0</v>
      </c>
      <c r="K340" s="6">
        <v>0</v>
      </c>
      <c r="L340" s="16">
        <v>0</v>
      </c>
      <c r="M340" s="5"/>
      <c r="N340" s="9">
        <v>14</v>
      </c>
      <c r="O340" s="6">
        <v>10</v>
      </c>
      <c r="P340" s="6">
        <v>10</v>
      </c>
      <c r="Q340" s="6">
        <v>0</v>
      </c>
      <c r="R340" s="16">
        <v>-4</v>
      </c>
      <c r="S340" s="5"/>
      <c r="T340" s="17">
        <v>1260</v>
      </c>
      <c r="U340" s="7">
        <v>940.16</v>
      </c>
      <c r="V340" s="7">
        <v>0</v>
      </c>
      <c r="W340" s="7">
        <v>940.16</v>
      </c>
      <c r="X340" s="7">
        <v>0</v>
      </c>
      <c r="Y340" s="7">
        <v>-319.83999999999997</v>
      </c>
      <c r="Z340" s="10" t="str">
        <f t="shared" si="10"/>
        <v>Plumbing</v>
      </c>
      <c r="AA340" s="24" t="str">
        <f t="shared" si="11"/>
        <v xml:space="preserve"> 3971. LAX People Mover</v>
      </c>
    </row>
    <row r="341" spans="1:27" x14ac:dyDescent="0.2">
      <c r="A341" s="5" t="s">
        <v>513</v>
      </c>
      <c r="B341" s="5" t="s">
        <v>51</v>
      </c>
      <c r="C341" s="5" t="s">
        <v>237</v>
      </c>
      <c r="D341" s="5" t="s">
        <v>506</v>
      </c>
      <c r="E341" s="5" t="s">
        <v>88</v>
      </c>
      <c r="F341" s="5" t="s">
        <v>18</v>
      </c>
      <c r="G341" s="12" t="s">
        <v>89</v>
      </c>
      <c r="H341" s="12"/>
      <c r="I341" s="6">
        <v>0</v>
      </c>
      <c r="J341" s="6">
        <v>0</v>
      </c>
      <c r="K341" s="6">
        <v>0</v>
      </c>
      <c r="L341" s="16">
        <v>0</v>
      </c>
      <c r="M341" s="5"/>
      <c r="N341" s="9">
        <v>558</v>
      </c>
      <c r="O341" s="6">
        <v>861</v>
      </c>
      <c r="P341" s="6">
        <v>890</v>
      </c>
      <c r="Q341" s="6">
        <v>29</v>
      </c>
      <c r="R341" s="16">
        <v>332</v>
      </c>
      <c r="S341" s="5"/>
      <c r="T341" s="17">
        <v>50220</v>
      </c>
      <c r="U341" s="7">
        <v>67983.850000000006</v>
      </c>
      <c r="V341" s="7">
        <v>0</v>
      </c>
      <c r="W341" s="7">
        <v>71149.75</v>
      </c>
      <c r="X341" s="7">
        <v>3165.9</v>
      </c>
      <c r="Y341" s="7">
        <v>20929.75</v>
      </c>
      <c r="Z341" s="10" t="str">
        <f t="shared" si="10"/>
        <v>Plumbing</v>
      </c>
      <c r="AA341" s="24" t="str">
        <f t="shared" si="11"/>
        <v xml:space="preserve"> 3971. LAX People Mover</v>
      </c>
    </row>
    <row r="342" spans="1:27" x14ac:dyDescent="0.2">
      <c r="A342" s="5" t="s">
        <v>514</v>
      </c>
      <c r="B342" s="5" t="s">
        <v>51</v>
      </c>
      <c r="C342" s="5" t="s">
        <v>239</v>
      </c>
      <c r="D342" s="5" t="s">
        <v>506</v>
      </c>
      <c r="E342" s="5" t="s">
        <v>88</v>
      </c>
      <c r="F342" s="5" t="s">
        <v>18</v>
      </c>
      <c r="G342" s="12" t="s">
        <v>89</v>
      </c>
      <c r="H342" s="12"/>
      <c r="I342" s="6">
        <v>0</v>
      </c>
      <c r="J342" s="6">
        <v>0</v>
      </c>
      <c r="K342" s="6">
        <v>0</v>
      </c>
      <c r="L342" s="16">
        <v>0</v>
      </c>
      <c r="M342" s="5"/>
      <c r="N342" s="9">
        <v>247</v>
      </c>
      <c r="O342" s="6">
        <v>190</v>
      </c>
      <c r="P342" s="6">
        <v>190</v>
      </c>
      <c r="Q342" s="6">
        <v>0</v>
      </c>
      <c r="R342" s="16">
        <v>-57</v>
      </c>
      <c r="S342" s="5"/>
      <c r="T342" s="17">
        <v>22230</v>
      </c>
      <c r="U342" s="7">
        <v>12289.58</v>
      </c>
      <c r="V342" s="7">
        <v>0</v>
      </c>
      <c r="W342" s="7">
        <v>12289.58</v>
      </c>
      <c r="X342" s="7">
        <v>0</v>
      </c>
      <c r="Y342" s="7">
        <v>-9940.42</v>
      </c>
      <c r="Z342" s="10" t="str">
        <f t="shared" si="10"/>
        <v>Plumbing</v>
      </c>
      <c r="AA342" s="24" t="str">
        <f t="shared" si="11"/>
        <v xml:space="preserve"> 3971. LAX People Mover</v>
      </c>
    </row>
    <row r="343" spans="1:27" ht="25.5" x14ac:dyDescent="0.2">
      <c r="A343" s="5" t="s">
        <v>515</v>
      </c>
      <c r="B343" s="5" t="s">
        <v>50</v>
      </c>
      <c r="C343" s="5" t="s">
        <v>16</v>
      </c>
      <c r="D343" s="5" t="s">
        <v>22</v>
      </c>
      <c r="E343" s="5" t="s">
        <v>123</v>
      </c>
      <c r="F343" s="5" t="s">
        <v>18</v>
      </c>
      <c r="G343" s="12" t="s">
        <v>89</v>
      </c>
      <c r="H343" s="12"/>
      <c r="I343" s="6">
        <v>0</v>
      </c>
      <c r="J343" s="6">
        <v>0</v>
      </c>
      <c r="K343" s="6">
        <v>0</v>
      </c>
      <c r="L343" s="16">
        <v>0</v>
      </c>
      <c r="M343" s="5"/>
      <c r="N343" s="9">
        <v>73</v>
      </c>
      <c r="O343" s="6">
        <v>838</v>
      </c>
      <c r="P343" s="6">
        <v>878</v>
      </c>
      <c r="Q343" s="6">
        <v>40</v>
      </c>
      <c r="R343" s="16">
        <v>805</v>
      </c>
      <c r="S343" s="5"/>
      <c r="T343" s="17">
        <v>6863.5</v>
      </c>
      <c r="U343" s="7">
        <v>65884.289999999994</v>
      </c>
      <c r="V343" s="7">
        <v>0</v>
      </c>
      <c r="W343" s="7">
        <v>69684.289999999994</v>
      </c>
      <c r="X343" s="7">
        <v>3800</v>
      </c>
      <c r="Y343" s="7">
        <v>62820.79</v>
      </c>
      <c r="Z343" s="10" t="str">
        <f t="shared" si="10"/>
        <v>Plumbing</v>
      </c>
      <c r="AA343" s="24" t="str">
        <f t="shared" si="11"/>
        <v xml:space="preserve"> 3971. LAX People Mover</v>
      </c>
    </row>
    <row r="344" spans="1:27" ht="25.5" x14ac:dyDescent="0.2">
      <c r="A344" s="5" t="s">
        <v>516</v>
      </c>
      <c r="B344" s="5" t="s">
        <v>517</v>
      </c>
      <c r="C344" s="5" t="s">
        <v>16</v>
      </c>
      <c r="D344" s="5" t="s">
        <v>104</v>
      </c>
      <c r="E344" s="5" t="s">
        <v>123</v>
      </c>
      <c r="F344" s="5" t="s">
        <v>18</v>
      </c>
      <c r="G344" s="12" t="s">
        <v>89</v>
      </c>
      <c r="H344" s="12"/>
      <c r="I344" s="6">
        <v>0</v>
      </c>
      <c r="J344" s="6">
        <v>0</v>
      </c>
      <c r="K344" s="6">
        <v>0</v>
      </c>
      <c r="L344" s="16">
        <v>0</v>
      </c>
      <c r="M344" s="5"/>
      <c r="N344" s="9">
        <v>847</v>
      </c>
      <c r="O344" s="6">
        <v>815</v>
      </c>
      <c r="P344" s="6">
        <v>847</v>
      </c>
      <c r="Q344" s="6">
        <v>32</v>
      </c>
      <c r="R344" s="16">
        <v>0</v>
      </c>
      <c r="S344" s="5"/>
      <c r="T344" s="17">
        <v>76230</v>
      </c>
      <c r="U344" s="7">
        <v>64089.67</v>
      </c>
      <c r="V344" s="7">
        <v>0</v>
      </c>
      <c r="W344" s="7">
        <v>67091.59</v>
      </c>
      <c r="X344" s="7">
        <v>3001.92</v>
      </c>
      <c r="Y344" s="7">
        <v>-9138.41</v>
      </c>
      <c r="Z344" s="10" t="str">
        <f t="shared" si="10"/>
        <v>Plumbing</v>
      </c>
      <c r="AA344" s="24" t="str">
        <f t="shared" si="11"/>
        <v xml:space="preserve"> 3971. LAX People Mover</v>
      </c>
    </row>
    <row r="345" spans="1:27" ht="25.5" x14ac:dyDescent="0.2">
      <c r="A345" s="5" t="s">
        <v>518</v>
      </c>
      <c r="B345" s="5" t="s">
        <v>47</v>
      </c>
      <c r="C345" s="5" t="s">
        <v>16</v>
      </c>
      <c r="D345" s="5" t="s">
        <v>22</v>
      </c>
      <c r="E345" s="5" t="s">
        <v>123</v>
      </c>
      <c r="F345" s="5" t="s">
        <v>18</v>
      </c>
      <c r="G345" s="12" t="s">
        <v>89</v>
      </c>
      <c r="H345" s="12"/>
      <c r="I345" s="6">
        <v>0</v>
      </c>
      <c r="J345" s="6">
        <v>0</v>
      </c>
      <c r="K345" s="6">
        <v>0</v>
      </c>
      <c r="L345" s="16">
        <v>0</v>
      </c>
      <c r="M345" s="5"/>
      <c r="N345" s="9">
        <v>408</v>
      </c>
      <c r="O345" s="6">
        <v>113</v>
      </c>
      <c r="P345" s="6">
        <v>368</v>
      </c>
      <c r="Q345" s="6">
        <v>255</v>
      </c>
      <c r="R345" s="16">
        <v>-40</v>
      </c>
      <c r="S345" s="5"/>
      <c r="T345" s="17">
        <v>36720</v>
      </c>
      <c r="U345" s="7">
        <v>10857.67</v>
      </c>
      <c r="V345" s="7">
        <v>0</v>
      </c>
      <c r="W345" s="7">
        <v>34553.79</v>
      </c>
      <c r="X345" s="7">
        <v>23696.12</v>
      </c>
      <c r="Y345" s="7">
        <v>-2166.21</v>
      </c>
      <c r="Z345" s="10" t="str">
        <f t="shared" si="10"/>
        <v>Plumbing</v>
      </c>
      <c r="AA345" s="24" t="str">
        <f t="shared" si="11"/>
        <v xml:space="preserve"> 3971. LAX People Mover</v>
      </c>
    </row>
    <row r="346" spans="1:27" ht="25.5" x14ac:dyDescent="0.2">
      <c r="A346" s="5" t="s">
        <v>519</v>
      </c>
      <c r="B346" s="5" t="s">
        <v>520</v>
      </c>
      <c r="C346" s="5" t="s">
        <v>16</v>
      </c>
      <c r="D346" s="5" t="s">
        <v>22</v>
      </c>
      <c r="E346" s="5" t="s">
        <v>123</v>
      </c>
      <c r="F346" s="5" t="s">
        <v>18</v>
      </c>
      <c r="G346" s="12" t="s">
        <v>89</v>
      </c>
      <c r="H346" s="12"/>
      <c r="I346" s="6">
        <v>0</v>
      </c>
      <c r="J346" s="6">
        <v>0</v>
      </c>
      <c r="K346" s="6">
        <v>0</v>
      </c>
      <c r="L346" s="16">
        <v>0</v>
      </c>
      <c r="M346" s="5"/>
      <c r="N346" s="9">
        <v>0</v>
      </c>
      <c r="O346" s="6">
        <v>543</v>
      </c>
      <c r="P346" s="6">
        <v>543</v>
      </c>
      <c r="Q346" s="6">
        <v>0</v>
      </c>
      <c r="R346" s="16">
        <v>543</v>
      </c>
      <c r="S346" s="5"/>
      <c r="T346" s="17">
        <v>0</v>
      </c>
      <c r="U346" s="7">
        <v>50911.57</v>
      </c>
      <c r="V346" s="7">
        <v>0</v>
      </c>
      <c r="W346" s="7">
        <v>50911.57</v>
      </c>
      <c r="X346" s="7">
        <v>0</v>
      </c>
      <c r="Y346" s="7">
        <v>50911.57</v>
      </c>
      <c r="Z346" s="10" t="str">
        <f t="shared" si="10"/>
        <v>Plumbing</v>
      </c>
      <c r="AA346" s="24" t="str">
        <f t="shared" si="11"/>
        <v xml:space="preserve"> 3971. LAX People Mover</v>
      </c>
    </row>
    <row r="347" spans="1:27" x14ac:dyDescent="0.2">
      <c r="A347" s="5" t="s">
        <v>521</v>
      </c>
      <c r="B347" s="5" t="s">
        <v>522</v>
      </c>
      <c r="C347" s="5" t="s">
        <v>225</v>
      </c>
      <c r="D347" s="5" t="s">
        <v>523</v>
      </c>
      <c r="E347" s="5" t="s">
        <v>88</v>
      </c>
      <c r="F347" s="5" t="s">
        <v>18</v>
      </c>
      <c r="G347" s="12" t="s">
        <v>89</v>
      </c>
      <c r="H347" s="12"/>
      <c r="I347" s="6">
        <v>0</v>
      </c>
      <c r="J347" s="6">
        <v>0</v>
      </c>
      <c r="K347" s="6">
        <v>0</v>
      </c>
      <c r="L347" s="16">
        <v>0</v>
      </c>
      <c r="M347" s="5"/>
      <c r="N347" s="9">
        <v>149</v>
      </c>
      <c r="O347" s="6">
        <v>84</v>
      </c>
      <c r="P347" s="6">
        <v>84</v>
      </c>
      <c r="Q347" s="6">
        <v>0</v>
      </c>
      <c r="R347" s="16">
        <v>-65</v>
      </c>
      <c r="S347" s="5"/>
      <c r="T347" s="17">
        <v>13410</v>
      </c>
      <c r="U347" s="7">
        <v>8236.65</v>
      </c>
      <c r="V347" s="7">
        <v>0</v>
      </c>
      <c r="W347" s="7">
        <v>8236.65</v>
      </c>
      <c r="X347" s="7">
        <v>0</v>
      </c>
      <c r="Y347" s="7">
        <v>-5173.3500000000004</v>
      </c>
      <c r="Z347" s="10" t="str">
        <f t="shared" si="10"/>
        <v>Plumbing</v>
      </c>
      <c r="AA347" s="24" t="str">
        <f t="shared" si="11"/>
        <v xml:space="preserve"> 3971. LAX People Mover</v>
      </c>
    </row>
    <row r="348" spans="1:27" ht="25.5" x14ac:dyDescent="0.2">
      <c r="A348" s="5" t="s">
        <v>524</v>
      </c>
      <c r="B348" s="5" t="s">
        <v>525</v>
      </c>
      <c r="C348" s="5" t="s">
        <v>16</v>
      </c>
      <c r="D348" s="5" t="s">
        <v>104</v>
      </c>
      <c r="E348" s="5" t="s">
        <v>123</v>
      </c>
      <c r="F348" s="5" t="s">
        <v>18</v>
      </c>
      <c r="G348" s="12" t="s">
        <v>89</v>
      </c>
      <c r="H348" s="12"/>
      <c r="I348" s="6">
        <v>0</v>
      </c>
      <c r="J348" s="6">
        <v>0</v>
      </c>
      <c r="K348" s="6">
        <v>0</v>
      </c>
      <c r="L348" s="16">
        <v>0</v>
      </c>
      <c r="M348" s="5"/>
      <c r="N348" s="9">
        <v>0</v>
      </c>
      <c r="O348" s="6">
        <v>188</v>
      </c>
      <c r="P348" s="6">
        <v>188</v>
      </c>
      <c r="Q348" s="6">
        <v>0</v>
      </c>
      <c r="R348" s="16">
        <v>188</v>
      </c>
      <c r="S348" s="5"/>
      <c r="T348" s="17">
        <v>0</v>
      </c>
      <c r="U348" s="7">
        <v>17455.3</v>
      </c>
      <c r="V348" s="7">
        <v>0</v>
      </c>
      <c r="W348" s="7">
        <v>17455.3</v>
      </c>
      <c r="X348" s="7">
        <v>0</v>
      </c>
      <c r="Y348" s="7">
        <v>17455.3</v>
      </c>
      <c r="Z348" s="10" t="str">
        <f t="shared" si="10"/>
        <v>Plumbing</v>
      </c>
      <c r="AA348" s="24" t="str">
        <f t="shared" si="11"/>
        <v xml:space="preserve"> 3971. LAX People Mover</v>
      </c>
    </row>
    <row r="349" spans="1:27" ht="25.5" x14ac:dyDescent="0.2">
      <c r="A349" s="5" t="s">
        <v>526</v>
      </c>
      <c r="B349" s="5" t="s">
        <v>527</v>
      </c>
      <c r="C349" s="5" t="s">
        <v>16</v>
      </c>
      <c r="D349" s="5" t="s">
        <v>22</v>
      </c>
      <c r="E349" s="5" t="s">
        <v>123</v>
      </c>
      <c r="F349" s="5" t="s">
        <v>18</v>
      </c>
      <c r="G349" s="12" t="s">
        <v>89</v>
      </c>
      <c r="H349" s="12"/>
      <c r="I349" s="6">
        <v>0</v>
      </c>
      <c r="J349" s="6">
        <v>0</v>
      </c>
      <c r="K349" s="6">
        <v>0</v>
      </c>
      <c r="L349" s="16">
        <v>0</v>
      </c>
      <c r="M349" s="5"/>
      <c r="N349" s="9">
        <v>480</v>
      </c>
      <c r="O349" s="6">
        <v>846</v>
      </c>
      <c r="P349" s="6">
        <v>846</v>
      </c>
      <c r="Q349" s="6">
        <v>0</v>
      </c>
      <c r="R349" s="16">
        <v>366</v>
      </c>
      <c r="S349" s="5"/>
      <c r="T349" s="17">
        <v>43200</v>
      </c>
      <c r="U349" s="7">
        <v>72377.33</v>
      </c>
      <c r="V349" s="7">
        <v>0</v>
      </c>
      <c r="W349" s="7">
        <v>72907.11</v>
      </c>
      <c r="X349" s="7">
        <v>529.78</v>
      </c>
      <c r="Y349" s="7">
        <v>29707.11</v>
      </c>
      <c r="Z349" s="10" t="str">
        <f t="shared" si="10"/>
        <v>Plumbing</v>
      </c>
      <c r="AA349" s="24" t="str">
        <f t="shared" si="11"/>
        <v xml:space="preserve"> 3971. LAX People Mover</v>
      </c>
    </row>
    <row r="350" spans="1:27" x14ac:dyDescent="0.2">
      <c r="A350" s="5" t="s">
        <v>528</v>
      </c>
      <c r="B350" s="5" t="s">
        <v>529</v>
      </c>
      <c r="C350" s="5" t="s">
        <v>340</v>
      </c>
      <c r="D350" s="5" t="s">
        <v>46</v>
      </c>
      <c r="E350" s="5" t="s">
        <v>88</v>
      </c>
      <c r="F350" s="5" t="s">
        <v>18</v>
      </c>
      <c r="G350" s="12" t="s">
        <v>164</v>
      </c>
      <c r="H350" s="12"/>
      <c r="I350" s="6">
        <v>0</v>
      </c>
      <c r="J350" s="6">
        <v>0</v>
      </c>
      <c r="K350" s="6">
        <v>0</v>
      </c>
      <c r="L350" s="16">
        <v>0</v>
      </c>
      <c r="M350" s="5"/>
      <c r="N350" s="9">
        <v>18</v>
      </c>
      <c r="O350" s="6">
        <v>1703</v>
      </c>
      <c r="P350" s="6">
        <v>1762</v>
      </c>
      <c r="Q350" s="6">
        <v>59</v>
      </c>
      <c r="R350" s="16">
        <v>1744</v>
      </c>
      <c r="S350" s="5"/>
      <c r="T350" s="17">
        <v>1840</v>
      </c>
      <c r="U350" s="7">
        <v>157813.5</v>
      </c>
      <c r="V350" s="7">
        <v>0</v>
      </c>
      <c r="W350" s="7">
        <v>163955.34</v>
      </c>
      <c r="X350" s="7">
        <v>6141.84</v>
      </c>
      <c r="Y350" s="7">
        <v>162115.34</v>
      </c>
      <c r="Z350" s="10" t="str">
        <f t="shared" si="10"/>
        <v>Piping</v>
      </c>
      <c r="AA350" s="24" t="str">
        <f t="shared" si="11"/>
        <v xml:space="preserve"> 3971. LAX People Mover</v>
      </c>
    </row>
    <row r="351" spans="1:27" x14ac:dyDescent="0.2">
      <c r="A351" s="5" t="s">
        <v>530</v>
      </c>
      <c r="B351" s="5" t="s">
        <v>531</v>
      </c>
      <c r="C351" s="5" t="s">
        <v>225</v>
      </c>
      <c r="D351" s="5" t="s">
        <v>46</v>
      </c>
      <c r="E351" s="5" t="s">
        <v>88</v>
      </c>
      <c r="F351" s="5" t="s">
        <v>18</v>
      </c>
      <c r="G351" s="12" t="s">
        <v>164</v>
      </c>
      <c r="H351" s="12"/>
      <c r="I351" s="6">
        <v>0</v>
      </c>
      <c r="J351" s="6">
        <v>0</v>
      </c>
      <c r="K351" s="6">
        <v>0</v>
      </c>
      <c r="L351" s="16">
        <v>0</v>
      </c>
      <c r="M351" s="5"/>
      <c r="N351" s="9">
        <v>290</v>
      </c>
      <c r="O351" s="6">
        <v>184.5</v>
      </c>
      <c r="P351" s="6">
        <v>184.5</v>
      </c>
      <c r="Q351" s="6">
        <v>0</v>
      </c>
      <c r="R351" s="16">
        <v>-105.5</v>
      </c>
      <c r="S351" s="5"/>
      <c r="T351" s="17">
        <v>26100</v>
      </c>
      <c r="U351" s="7">
        <v>17834.55</v>
      </c>
      <c r="V351" s="7">
        <v>0</v>
      </c>
      <c r="W351" s="7">
        <v>17834.55</v>
      </c>
      <c r="X351" s="7">
        <v>0</v>
      </c>
      <c r="Y351" s="7">
        <v>-8265.4500000000007</v>
      </c>
      <c r="Z351" s="10" t="str">
        <f t="shared" si="10"/>
        <v>Piping</v>
      </c>
      <c r="AA351" s="24" t="str">
        <f t="shared" si="11"/>
        <v xml:space="preserve"> 3971. LAX People Mover</v>
      </c>
    </row>
    <row r="352" spans="1:27" x14ac:dyDescent="0.2">
      <c r="A352" s="5" t="s">
        <v>532</v>
      </c>
      <c r="B352" s="5" t="s">
        <v>531</v>
      </c>
      <c r="C352" s="5" t="s">
        <v>122</v>
      </c>
      <c r="D352" s="5" t="s">
        <v>46</v>
      </c>
      <c r="E352" s="5" t="s">
        <v>88</v>
      </c>
      <c r="F352" s="5" t="s">
        <v>18</v>
      </c>
      <c r="G352" s="12" t="s">
        <v>164</v>
      </c>
      <c r="H352" s="12"/>
      <c r="I352" s="6">
        <v>0</v>
      </c>
      <c r="J352" s="6">
        <v>0</v>
      </c>
      <c r="K352" s="6">
        <v>0</v>
      </c>
      <c r="L352" s="16">
        <v>0</v>
      </c>
      <c r="M352" s="5"/>
      <c r="N352" s="9">
        <v>12</v>
      </c>
      <c r="O352" s="6">
        <v>0</v>
      </c>
      <c r="P352" s="6">
        <v>0</v>
      </c>
      <c r="Q352" s="6">
        <v>0</v>
      </c>
      <c r="R352" s="16">
        <v>-12</v>
      </c>
      <c r="S352" s="5"/>
      <c r="T352" s="17">
        <v>1080</v>
      </c>
      <c r="U352" s="7">
        <v>0</v>
      </c>
      <c r="V352" s="7">
        <v>0</v>
      </c>
      <c r="W352" s="7">
        <v>0</v>
      </c>
      <c r="X352" s="7">
        <v>0</v>
      </c>
      <c r="Y352" s="7">
        <v>-1080</v>
      </c>
      <c r="Z352" s="10" t="str">
        <f t="shared" si="10"/>
        <v>Piping</v>
      </c>
      <c r="AA352" s="24" t="str">
        <f t="shared" si="11"/>
        <v xml:space="preserve"> 3971. LAX People Mover</v>
      </c>
    </row>
    <row r="353" spans="1:27" x14ac:dyDescent="0.2">
      <c r="A353" s="5" t="s">
        <v>533</v>
      </c>
      <c r="B353" s="5" t="s">
        <v>531</v>
      </c>
      <c r="C353" s="5" t="s">
        <v>227</v>
      </c>
      <c r="D353" s="5" t="s">
        <v>46</v>
      </c>
      <c r="E353" s="5" t="s">
        <v>88</v>
      </c>
      <c r="F353" s="5" t="s">
        <v>18</v>
      </c>
      <c r="G353" s="12" t="s">
        <v>164</v>
      </c>
      <c r="H353" s="12"/>
      <c r="I353" s="6">
        <v>0</v>
      </c>
      <c r="J353" s="6">
        <v>0</v>
      </c>
      <c r="K353" s="6">
        <v>0</v>
      </c>
      <c r="L353" s="16">
        <v>0</v>
      </c>
      <c r="M353" s="5"/>
      <c r="N353" s="9">
        <v>58</v>
      </c>
      <c r="O353" s="6">
        <v>0</v>
      </c>
      <c r="P353" s="6">
        <v>0</v>
      </c>
      <c r="Q353" s="6">
        <v>0</v>
      </c>
      <c r="R353" s="16">
        <v>-58</v>
      </c>
      <c r="S353" s="5"/>
      <c r="T353" s="17">
        <v>5220</v>
      </c>
      <c r="U353" s="7">
        <v>0</v>
      </c>
      <c r="V353" s="7">
        <v>0</v>
      </c>
      <c r="W353" s="7">
        <v>0</v>
      </c>
      <c r="X353" s="7">
        <v>0</v>
      </c>
      <c r="Y353" s="7">
        <v>-5220</v>
      </c>
      <c r="Z353" s="10" t="str">
        <f t="shared" si="10"/>
        <v>Piping</v>
      </c>
      <c r="AA353" s="24" t="str">
        <f t="shared" si="11"/>
        <v xml:space="preserve"> 3971. LAX People Mover</v>
      </c>
    </row>
    <row r="354" spans="1:27" x14ac:dyDescent="0.2">
      <c r="A354" s="5" t="s">
        <v>534</v>
      </c>
      <c r="B354" s="5" t="s">
        <v>531</v>
      </c>
      <c r="C354" s="5" t="s">
        <v>245</v>
      </c>
      <c r="D354" s="5" t="s">
        <v>46</v>
      </c>
      <c r="E354" s="5" t="s">
        <v>88</v>
      </c>
      <c r="F354" s="5" t="s">
        <v>18</v>
      </c>
      <c r="G354" s="12" t="s">
        <v>164</v>
      </c>
      <c r="H354" s="12"/>
      <c r="I354" s="6">
        <v>0</v>
      </c>
      <c r="J354" s="6">
        <v>0</v>
      </c>
      <c r="K354" s="6">
        <v>0</v>
      </c>
      <c r="L354" s="16">
        <v>0</v>
      </c>
      <c r="M354" s="5"/>
      <c r="N354" s="9">
        <v>20</v>
      </c>
      <c r="O354" s="6">
        <v>0</v>
      </c>
      <c r="P354" s="6">
        <v>0</v>
      </c>
      <c r="Q354" s="6">
        <v>0</v>
      </c>
      <c r="R354" s="16">
        <v>-20</v>
      </c>
      <c r="S354" s="5"/>
      <c r="T354" s="17">
        <v>1800</v>
      </c>
      <c r="U354" s="7">
        <v>0</v>
      </c>
      <c r="V354" s="7">
        <v>0</v>
      </c>
      <c r="W354" s="7">
        <v>0</v>
      </c>
      <c r="X354" s="7">
        <v>0</v>
      </c>
      <c r="Y354" s="7">
        <v>-1800</v>
      </c>
      <c r="Z354" s="10" t="str">
        <f t="shared" si="10"/>
        <v>Piping</v>
      </c>
      <c r="AA354" s="24" t="str">
        <f t="shared" si="11"/>
        <v xml:space="preserve"> 3971. LAX People Mover</v>
      </c>
    </row>
    <row r="355" spans="1:27" x14ac:dyDescent="0.2">
      <c r="A355" s="5" t="s">
        <v>535</v>
      </c>
      <c r="B355" s="5" t="s">
        <v>531</v>
      </c>
      <c r="C355" s="5" t="s">
        <v>229</v>
      </c>
      <c r="D355" s="5" t="s">
        <v>46</v>
      </c>
      <c r="E355" s="5" t="s">
        <v>88</v>
      </c>
      <c r="F355" s="5" t="s">
        <v>18</v>
      </c>
      <c r="G355" s="12" t="s">
        <v>164</v>
      </c>
      <c r="H355" s="12"/>
      <c r="I355" s="6">
        <v>0</v>
      </c>
      <c r="J355" s="6">
        <v>0</v>
      </c>
      <c r="K355" s="6">
        <v>0</v>
      </c>
      <c r="L355" s="16">
        <v>0</v>
      </c>
      <c r="M355" s="5"/>
      <c r="N355" s="9">
        <v>45</v>
      </c>
      <c r="O355" s="6">
        <v>124.5</v>
      </c>
      <c r="P355" s="6">
        <v>124.5</v>
      </c>
      <c r="Q355" s="6">
        <v>0</v>
      </c>
      <c r="R355" s="16">
        <v>79.5</v>
      </c>
      <c r="S355" s="5"/>
      <c r="T355" s="17">
        <v>4050</v>
      </c>
      <c r="U355" s="7">
        <v>11940.92</v>
      </c>
      <c r="V355" s="7">
        <v>0</v>
      </c>
      <c r="W355" s="7">
        <v>11940.92</v>
      </c>
      <c r="X355" s="7">
        <v>0</v>
      </c>
      <c r="Y355" s="7">
        <v>7890.92</v>
      </c>
      <c r="Z355" s="10" t="str">
        <f t="shared" si="10"/>
        <v>Piping</v>
      </c>
      <c r="AA355" s="24" t="str">
        <f t="shared" si="11"/>
        <v xml:space="preserve"> 3971. LAX People Mover</v>
      </c>
    </row>
    <row r="356" spans="1:27" x14ac:dyDescent="0.2">
      <c r="A356" s="5" t="s">
        <v>536</v>
      </c>
      <c r="B356" s="5" t="s">
        <v>531</v>
      </c>
      <c r="C356" s="5" t="s">
        <v>231</v>
      </c>
      <c r="D356" s="5" t="s">
        <v>46</v>
      </c>
      <c r="E356" s="5" t="s">
        <v>88</v>
      </c>
      <c r="F356" s="5" t="s">
        <v>18</v>
      </c>
      <c r="G356" s="12" t="s">
        <v>164</v>
      </c>
      <c r="H356" s="12"/>
      <c r="I356" s="6">
        <v>0</v>
      </c>
      <c r="J356" s="6">
        <v>0</v>
      </c>
      <c r="K356" s="6">
        <v>0</v>
      </c>
      <c r="L356" s="16">
        <v>0</v>
      </c>
      <c r="M356" s="5"/>
      <c r="N356" s="9">
        <v>56</v>
      </c>
      <c r="O356" s="6">
        <v>7</v>
      </c>
      <c r="P356" s="6">
        <v>7</v>
      </c>
      <c r="Q356" s="6">
        <v>0</v>
      </c>
      <c r="R356" s="16">
        <v>-49</v>
      </c>
      <c r="S356" s="5"/>
      <c r="T356" s="17">
        <v>5040</v>
      </c>
      <c r="U356" s="7">
        <v>691.49</v>
      </c>
      <c r="V356" s="7">
        <v>0</v>
      </c>
      <c r="W356" s="7">
        <v>691.49</v>
      </c>
      <c r="X356" s="7">
        <v>0</v>
      </c>
      <c r="Y356" s="7">
        <v>-4348.51</v>
      </c>
      <c r="Z356" s="10" t="str">
        <f t="shared" si="10"/>
        <v>Piping</v>
      </c>
      <c r="AA356" s="24" t="str">
        <f t="shared" si="11"/>
        <v xml:space="preserve"> 3971. LAX People Mover</v>
      </c>
    </row>
    <row r="357" spans="1:27" x14ac:dyDescent="0.2">
      <c r="A357" s="5" t="s">
        <v>537</v>
      </c>
      <c r="B357" s="5" t="s">
        <v>531</v>
      </c>
      <c r="C357" s="5" t="s">
        <v>233</v>
      </c>
      <c r="D357" s="5" t="s">
        <v>46</v>
      </c>
      <c r="E357" s="5" t="s">
        <v>88</v>
      </c>
      <c r="F357" s="5" t="s">
        <v>18</v>
      </c>
      <c r="G357" s="12" t="s">
        <v>164</v>
      </c>
      <c r="H357" s="12"/>
      <c r="I357" s="6">
        <v>0</v>
      </c>
      <c r="J357" s="6">
        <v>0</v>
      </c>
      <c r="K357" s="6">
        <v>0</v>
      </c>
      <c r="L357" s="16">
        <v>0</v>
      </c>
      <c r="M357" s="5"/>
      <c r="N357" s="9">
        <v>30</v>
      </c>
      <c r="O357" s="6">
        <v>0</v>
      </c>
      <c r="P357" s="6">
        <v>0</v>
      </c>
      <c r="Q357" s="6">
        <v>0</v>
      </c>
      <c r="R357" s="16">
        <v>-30</v>
      </c>
      <c r="S357" s="5"/>
      <c r="T357" s="17">
        <v>2700</v>
      </c>
      <c r="U357" s="7">
        <v>0</v>
      </c>
      <c r="V357" s="7">
        <v>0</v>
      </c>
      <c r="W357" s="7">
        <v>0</v>
      </c>
      <c r="X357" s="7">
        <v>0</v>
      </c>
      <c r="Y357" s="7">
        <v>-2700</v>
      </c>
      <c r="Z357" s="10" t="str">
        <f t="shared" si="10"/>
        <v>Piping</v>
      </c>
      <c r="AA357" s="24" t="str">
        <f t="shared" si="11"/>
        <v xml:space="preserve"> 3971. LAX People Mover</v>
      </c>
    </row>
    <row r="358" spans="1:27" x14ac:dyDescent="0.2">
      <c r="A358" s="5" t="s">
        <v>538</v>
      </c>
      <c r="B358" s="5" t="s">
        <v>531</v>
      </c>
      <c r="C358" s="5" t="s">
        <v>235</v>
      </c>
      <c r="D358" s="5" t="s">
        <v>46</v>
      </c>
      <c r="E358" s="5" t="s">
        <v>88</v>
      </c>
      <c r="F358" s="5" t="s">
        <v>18</v>
      </c>
      <c r="G358" s="12" t="s">
        <v>164</v>
      </c>
      <c r="H358" s="12"/>
      <c r="I358" s="6">
        <v>0</v>
      </c>
      <c r="J358" s="6">
        <v>0</v>
      </c>
      <c r="K358" s="6">
        <v>0</v>
      </c>
      <c r="L358" s="16">
        <v>0</v>
      </c>
      <c r="M358" s="5"/>
      <c r="N358" s="9">
        <v>30</v>
      </c>
      <c r="O358" s="6">
        <v>0</v>
      </c>
      <c r="P358" s="6">
        <v>0</v>
      </c>
      <c r="Q358" s="6">
        <v>0</v>
      </c>
      <c r="R358" s="16">
        <v>-30</v>
      </c>
      <c r="S358" s="5"/>
      <c r="T358" s="17">
        <v>2700</v>
      </c>
      <c r="U358" s="7">
        <v>0</v>
      </c>
      <c r="V358" s="7">
        <v>0</v>
      </c>
      <c r="W358" s="7">
        <v>0</v>
      </c>
      <c r="X358" s="7">
        <v>0</v>
      </c>
      <c r="Y358" s="7">
        <v>-2700</v>
      </c>
      <c r="Z358" s="10" t="str">
        <f t="shared" si="10"/>
        <v>Piping</v>
      </c>
      <c r="AA358" s="24" t="str">
        <f t="shared" si="11"/>
        <v xml:space="preserve"> 3971. LAX People Mover</v>
      </c>
    </row>
    <row r="359" spans="1:27" x14ac:dyDescent="0.2">
      <c r="A359" s="5" t="s">
        <v>539</v>
      </c>
      <c r="B359" s="5" t="s">
        <v>531</v>
      </c>
      <c r="C359" s="5" t="s">
        <v>237</v>
      </c>
      <c r="D359" s="5" t="s">
        <v>46</v>
      </c>
      <c r="E359" s="5" t="s">
        <v>88</v>
      </c>
      <c r="F359" s="5" t="s">
        <v>18</v>
      </c>
      <c r="G359" s="12" t="s">
        <v>164</v>
      </c>
      <c r="H359" s="12"/>
      <c r="I359" s="6">
        <v>0</v>
      </c>
      <c r="J359" s="6">
        <v>0</v>
      </c>
      <c r="K359" s="6">
        <v>0</v>
      </c>
      <c r="L359" s="16">
        <v>0</v>
      </c>
      <c r="M359" s="5"/>
      <c r="N359" s="9">
        <v>326</v>
      </c>
      <c r="O359" s="6">
        <v>168</v>
      </c>
      <c r="P359" s="6">
        <v>168</v>
      </c>
      <c r="Q359" s="6">
        <v>0</v>
      </c>
      <c r="R359" s="16">
        <v>-158</v>
      </c>
      <c r="S359" s="5"/>
      <c r="T359" s="17">
        <v>29340</v>
      </c>
      <c r="U359" s="7">
        <v>16023.9</v>
      </c>
      <c r="V359" s="7">
        <v>0</v>
      </c>
      <c r="W359" s="7">
        <v>16023.9</v>
      </c>
      <c r="X359" s="7">
        <v>0</v>
      </c>
      <c r="Y359" s="7">
        <v>-13316.1</v>
      </c>
      <c r="Z359" s="10" t="str">
        <f t="shared" si="10"/>
        <v>Piping</v>
      </c>
      <c r="AA359" s="24" t="str">
        <f t="shared" si="11"/>
        <v xml:space="preserve"> 3971. LAX People Mover</v>
      </c>
    </row>
    <row r="360" spans="1:27" x14ac:dyDescent="0.2">
      <c r="A360" s="5" t="s">
        <v>540</v>
      </c>
      <c r="B360" s="5" t="s">
        <v>531</v>
      </c>
      <c r="C360" s="5" t="s">
        <v>239</v>
      </c>
      <c r="D360" s="5" t="s">
        <v>46</v>
      </c>
      <c r="E360" s="5" t="s">
        <v>88</v>
      </c>
      <c r="F360" s="5" t="s">
        <v>18</v>
      </c>
      <c r="G360" s="12" t="s">
        <v>164</v>
      </c>
      <c r="H360" s="12"/>
      <c r="I360" s="6">
        <v>0</v>
      </c>
      <c r="J360" s="6">
        <v>0</v>
      </c>
      <c r="K360" s="6">
        <v>0</v>
      </c>
      <c r="L360" s="16">
        <v>0</v>
      </c>
      <c r="M360" s="5"/>
      <c r="N360" s="9">
        <v>50</v>
      </c>
      <c r="O360" s="6">
        <v>143</v>
      </c>
      <c r="P360" s="6">
        <v>143</v>
      </c>
      <c r="Q360" s="6">
        <v>0</v>
      </c>
      <c r="R360" s="16">
        <v>93</v>
      </c>
      <c r="S360" s="5"/>
      <c r="T360" s="17">
        <v>4500</v>
      </c>
      <c r="U360" s="7">
        <v>13779.98</v>
      </c>
      <c r="V360" s="7">
        <v>0</v>
      </c>
      <c r="W360" s="7">
        <v>13779.98</v>
      </c>
      <c r="X360" s="7">
        <v>0</v>
      </c>
      <c r="Y360" s="7">
        <v>9279.98</v>
      </c>
      <c r="Z360" s="10" t="str">
        <f t="shared" si="10"/>
        <v>Piping</v>
      </c>
      <c r="AA360" s="24" t="str">
        <f t="shared" si="11"/>
        <v xml:space="preserve"> 3971. LAX People Mover</v>
      </c>
    </row>
    <row r="361" spans="1:27" x14ac:dyDescent="0.2">
      <c r="A361" s="5" t="s">
        <v>541</v>
      </c>
      <c r="B361" s="5" t="s">
        <v>542</v>
      </c>
      <c r="C361" s="5" t="s">
        <v>340</v>
      </c>
      <c r="D361" s="5" t="s">
        <v>46</v>
      </c>
      <c r="E361" s="5" t="s">
        <v>88</v>
      </c>
      <c r="F361" s="5" t="s">
        <v>18</v>
      </c>
      <c r="G361" s="12" t="s">
        <v>164</v>
      </c>
      <c r="H361" s="12"/>
      <c r="I361" s="6">
        <v>0</v>
      </c>
      <c r="J361" s="6">
        <v>0</v>
      </c>
      <c r="K361" s="6">
        <v>0</v>
      </c>
      <c r="L361" s="16">
        <v>0</v>
      </c>
      <c r="M361" s="5"/>
      <c r="N361" s="9">
        <v>0</v>
      </c>
      <c r="O361" s="6">
        <v>53.5</v>
      </c>
      <c r="P361" s="6">
        <v>53.5</v>
      </c>
      <c r="Q361" s="6">
        <v>0</v>
      </c>
      <c r="R361" s="16">
        <v>53.5</v>
      </c>
      <c r="S361" s="5"/>
      <c r="T361" s="17">
        <v>0</v>
      </c>
      <c r="U361" s="7">
        <v>3976.35</v>
      </c>
      <c r="V361" s="7">
        <v>0</v>
      </c>
      <c r="W361" s="7">
        <v>3976.35</v>
      </c>
      <c r="X361" s="7">
        <v>0</v>
      </c>
      <c r="Y361" s="7">
        <v>3976.35</v>
      </c>
      <c r="Z361" s="10" t="str">
        <f t="shared" si="10"/>
        <v>Piping</v>
      </c>
      <c r="AA361" s="24" t="str">
        <f t="shared" si="11"/>
        <v xml:space="preserve"> 3971. LAX People Mover</v>
      </c>
    </row>
    <row r="362" spans="1:27" x14ac:dyDescent="0.2">
      <c r="A362" s="5" t="s">
        <v>543</v>
      </c>
      <c r="B362" s="5" t="s">
        <v>544</v>
      </c>
      <c r="C362" s="5" t="s">
        <v>225</v>
      </c>
      <c r="D362" s="5" t="s">
        <v>46</v>
      </c>
      <c r="E362" s="5" t="s">
        <v>88</v>
      </c>
      <c r="F362" s="5" t="s">
        <v>18</v>
      </c>
      <c r="G362" s="12" t="s">
        <v>164</v>
      </c>
      <c r="H362" s="12"/>
      <c r="I362" s="6">
        <v>0</v>
      </c>
      <c r="J362" s="6">
        <v>0</v>
      </c>
      <c r="K362" s="6">
        <v>0</v>
      </c>
      <c r="L362" s="16">
        <v>0</v>
      </c>
      <c r="M362" s="5"/>
      <c r="N362" s="9">
        <v>87</v>
      </c>
      <c r="O362" s="6">
        <v>0</v>
      </c>
      <c r="P362" s="6">
        <v>0</v>
      </c>
      <c r="Q362" s="6">
        <v>0</v>
      </c>
      <c r="R362" s="16">
        <v>-87</v>
      </c>
      <c r="S362" s="5"/>
      <c r="T362" s="17">
        <v>7830</v>
      </c>
      <c r="U362" s="7">
        <v>0</v>
      </c>
      <c r="V362" s="7">
        <v>0</v>
      </c>
      <c r="W362" s="7">
        <v>0</v>
      </c>
      <c r="X362" s="7">
        <v>0</v>
      </c>
      <c r="Y362" s="7">
        <v>-7830</v>
      </c>
      <c r="Z362" s="10" t="str">
        <f t="shared" si="10"/>
        <v>Piping</v>
      </c>
      <c r="AA362" s="24" t="str">
        <f t="shared" si="11"/>
        <v xml:space="preserve"> 3971. LAX People Mover</v>
      </c>
    </row>
    <row r="363" spans="1:27" x14ac:dyDescent="0.2">
      <c r="A363" s="5" t="s">
        <v>545</v>
      </c>
      <c r="B363" s="5" t="s">
        <v>544</v>
      </c>
      <c r="C363" s="5" t="s">
        <v>227</v>
      </c>
      <c r="D363" s="5" t="s">
        <v>46</v>
      </c>
      <c r="E363" s="5" t="s">
        <v>88</v>
      </c>
      <c r="F363" s="5" t="s">
        <v>18</v>
      </c>
      <c r="G363" s="12" t="s">
        <v>164</v>
      </c>
      <c r="H363" s="12"/>
      <c r="I363" s="6">
        <v>0</v>
      </c>
      <c r="J363" s="6">
        <v>0</v>
      </c>
      <c r="K363" s="6">
        <v>0</v>
      </c>
      <c r="L363" s="16">
        <v>0</v>
      </c>
      <c r="M363" s="5"/>
      <c r="N363" s="9">
        <v>17</v>
      </c>
      <c r="O363" s="6">
        <v>0</v>
      </c>
      <c r="P363" s="6">
        <v>0</v>
      </c>
      <c r="Q363" s="6">
        <v>0</v>
      </c>
      <c r="R363" s="16">
        <v>-17</v>
      </c>
      <c r="S363" s="5"/>
      <c r="T363" s="17">
        <v>1530</v>
      </c>
      <c r="U363" s="7">
        <v>0</v>
      </c>
      <c r="V363" s="7">
        <v>0</v>
      </c>
      <c r="W363" s="7">
        <v>0</v>
      </c>
      <c r="X363" s="7">
        <v>0</v>
      </c>
      <c r="Y363" s="7">
        <v>-1530</v>
      </c>
      <c r="Z363" s="10" t="str">
        <f t="shared" si="10"/>
        <v>Piping</v>
      </c>
      <c r="AA363" s="24" t="str">
        <f t="shared" si="11"/>
        <v xml:space="preserve"> 3971. LAX People Mover</v>
      </c>
    </row>
    <row r="364" spans="1:27" x14ac:dyDescent="0.2">
      <c r="A364" s="5" t="s">
        <v>546</v>
      </c>
      <c r="B364" s="5" t="s">
        <v>544</v>
      </c>
      <c r="C364" s="5" t="s">
        <v>245</v>
      </c>
      <c r="D364" s="5" t="s">
        <v>46</v>
      </c>
      <c r="E364" s="5" t="s">
        <v>88</v>
      </c>
      <c r="F364" s="5" t="s">
        <v>18</v>
      </c>
      <c r="G364" s="12" t="s">
        <v>164</v>
      </c>
      <c r="H364" s="12"/>
      <c r="I364" s="6">
        <v>0</v>
      </c>
      <c r="J364" s="6">
        <v>0</v>
      </c>
      <c r="K364" s="6">
        <v>0</v>
      </c>
      <c r="L364" s="16">
        <v>0</v>
      </c>
      <c r="M364" s="5"/>
      <c r="N364" s="9">
        <v>6</v>
      </c>
      <c r="O364" s="6">
        <v>0</v>
      </c>
      <c r="P364" s="6">
        <v>0</v>
      </c>
      <c r="Q364" s="6">
        <v>0</v>
      </c>
      <c r="R364" s="16">
        <v>-6</v>
      </c>
      <c r="S364" s="5"/>
      <c r="T364" s="17">
        <v>540</v>
      </c>
      <c r="U364" s="7">
        <v>0</v>
      </c>
      <c r="V364" s="7">
        <v>0</v>
      </c>
      <c r="W364" s="7">
        <v>0</v>
      </c>
      <c r="X364" s="7">
        <v>0</v>
      </c>
      <c r="Y364" s="7">
        <v>-540</v>
      </c>
      <c r="Z364" s="10" t="str">
        <f t="shared" si="10"/>
        <v>Piping</v>
      </c>
      <c r="AA364" s="24" t="str">
        <f t="shared" si="11"/>
        <v xml:space="preserve"> 3971. LAX People Mover</v>
      </c>
    </row>
    <row r="365" spans="1:27" x14ac:dyDescent="0.2">
      <c r="A365" s="5" t="s">
        <v>547</v>
      </c>
      <c r="B365" s="5" t="s">
        <v>544</v>
      </c>
      <c r="C365" s="5" t="s">
        <v>229</v>
      </c>
      <c r="D365" s="5" t="s">
        <v>46</v>
      </c>
      <c r="E365" s="5" t="s">
        <v>88</v>
      </c>
      <c r="F365" s="5" t="s">
        <v>18</v>
      </c>
      <c r="G365" s="12" t="s">
        <v>164</v>
      </c>
      <c r="H365" s="12"/>
      <c r="I365" s="6">
        <v>0</v>
      </c>
      <c r="J365" s="6">
        <v>0</v>
      </c>
      <c r="K365" s="6">
        <v>0</v>
      </c>
      <c r="L365" s="16">
        <v>0</v>
      </c>
      <c r="M365" s="5"/>
      <c r="N365" s="9">
        <v>14</v>
      </c>
      <c r="O365" s="6">
        <v>0</v>
      </c>
      <c r="P365" s="6">
        <v>0</v>
      </c>
      <c r="Q365" s="6">
        <v>0</v>
      </c>
      <c r="R365" s="16">
        <v>-14</v>
      </c>
      <c r="S365" s="5"/>
      <c r="T365" s="17">
        <v>1260</v>
      </c>
      <c r="U365" s="7">
        <v>0</v>
      </c>
      <c r="V365" s="7">
        <v>0</v>
      </c>
      <c r="W365" s="7">
        <v>0</v>
      </c>
      <c r="X365" s="7">
        <v>0</v>
      </c>
      <c r="Y365" s="7">
        <v>-1260</v>
      </c>
      <c r="Z365" s="10" t="str">
        <f t="shared" si="10"/>
        <v>Piping</v>
      </c>
      <c r="AA365" s="24" t="str">
        <f t="shared" si="11"/>
        <v xml:space="preserve"> 3971. LAX People Mover</v>
      </c>
    </row>
    <row r="366" spans="1:27" x14ac:dyDescent="0.2">
      <c r="A366" s="5" t="s">
        <v>548</v>
      </c>
      <c r="B366" s="5" t="s">
        <v>544</v>
      </c>
      <c r="C366" s="5" t="s">
        <v>231</v>
      </c>
      <c r="D366" s="5" t="s">
        <v>46</v>
      </c>
      <c r="E366" s="5" t="s">
        <v>88</v>
      </c>
      <c r="F366" s="5" t="s">
        <v>18</v>
      </c>
      <c r="G366" s="12" t="s">
        <v>164</v>
      </c>
      <c r="H366" s="12"/>
      <c r="I366" s="6">
        <v>0</v>
      </c>
      <c r="J366" s="6">
        <v>0</v>
      </c>
      <c r="K366" s="6">
        <v>0</v>
      </c>
      <c r="L366" s="16">
        <v>0</v>
      </c>
      <c r="M366" s="5"/>
      <c r="N366" s="9">
        <v>17</v>
      </c>
      <c r="O366" s="6">
        <v>0</v>
      </c>
      <c r="P366" s="6">
        <v>0</v>
      </c>
      <c r="Q366" s="6">
        <v>0</v>
      </c>
      <c r="R366" s="16">
        <v>-17</v>
      </c>
      <c r="S366" s="5"/>
      <c r="T366" s="17">
        <v>1530</v>
      </c>
      <c r="U366" s="7">
        <v>0</v>
      </c>
      <c r="V366" s="7">
        <v>0</v>
      </c>
      <c r="W366" s="7">
        <v>0</v>
      </c>
      <c r="X366" s="7">
        <v>0</v>
      </c>
      <c r="Y366" s="7">
        <v>-1530</v>
      </c>
      <c r="Z366" s="10" t="str">
        <f t="shared" si="10"/>
        <v>Piping</v>
      </c>
      <c r="AA366" s="24" t="str">
        <f t="shared" si="11"/>
        <v xml:space="preserve"> 3971. LAX People Mover</v>
      </c>
    </row>
    <row r="367" spans="1:27" x14ac:dyDescent="0.2">
      <c r="A367" s="5" t="s">
        <v>549</v>
      </c>
      <c r="B367" s="5" t="s">
        <v>544</v>
      </c>
      <c r="C367" s="5" t="s">
        <v>237</v>
      </c>
      <c r="D367" s="5" t="s">
        <v>46</v>
      </c>
      <c r="E367" s="5" t="s">
        <v>88</v>
      </c>
      <c r="F367" s="5" t="s">
        <v>18</v>
      </c>
      <c r="G367" s="12" t="s">
        <v>164</v>
      </c>
      <c r="H367" s="12"/>
      <c r="I367" s="6">
        <v>0</v>
      </c>
      <c r="J367" s="6">
        <v>0</v>
      </c>
      <c r="K367" s="6">
        <v>0</v>
      </c>
      <c r="L367" s="16">
        <v>0</v>
      </c>
      <c r="M367" s="5"/>
      <c r="N367" s="9">
        <v>98</v>
      </c>
      <c r="O367" s="6">
        <v>0</v>
      </c>
      <c r="P367" s="6">
        <v>0</v>
      </c>
      <c r="Q367" s="6">
        <v>0</v>
      </c>
      <c r="R367" s="16">
        <v>-98</v>
      </c>
      <c r="S367" s="5"/>
      <c r="T367" s="17">
        <v>8820</v>
      </c>
      <c r="U367" s="7">
        <v>0</v>
      </c>
      <c r="V367" s="7">
        <v>0</v>
      </c>
      <c r="W367" s="7">
        <v>0</v>
      </c>
      <c r="X367" s="7">
        <v>0</v>
      </c>
      <c r="Y367" s="7">
        <v>-8820</v>
      </c>
      <c r="Z367" s="10" t="str">
        <f t="shared" si="10"/>
        <v>Piping</v>
      </c>
      <c r="AA367" s="24" t="str">
        <f t="shared" si="11"/>
        <v xml:space="preserve"> 3971. LAX People Mover</v>
      </c>
    </row>
    <row r="368" spans="1:27" x14ac:dyDescent="0.2">
      <c r="A368" s="5" t="s">
        <v>550</v>
      </c>
      <c r="B368" s="5" t="s">
        <v>544</v>
      </c>
      <c r="C368" s="5" t="s">
        <v>239</v>
      </c>
      <c r="D368" s="5" t="s">
        <v>46</v>
      </c>
      <c r="E368" s="5" t="s">
        <v>88</v>
      </c>
      <c r="F368" s="5" t="s">
        <v>18</v>
      </c>
      <c r="G368" s="12" t="s">
        <v>164</v>
      </c>
      <c r="H368" s="12"/>
      <c r="I368" s="6">
        <v>0</v>
      </c>
      <c r="J368" s="6">
        <v>0</v>
      </c>
      <c r="K368" s="6">
        <v>0</v>
      </c>
      <c r="L368" s="16">
        <v>0</v>
      </c>
      <c r="M368" s="5"/>
      <c r="N368" s="9">
        <v>15</v>
      </c>
      <c r="O368" s="6">
        <v>0</v>
      </c>
      <c r="P368" s="6">
        <v>0</v>
      </c>
      <c r="Q368" s="6">
        <v>0</v>
      </c>
      <c r="R368" s="16">
        <v>-15</v>
      </c>
      <c r="S368" s="5"/>
      <c r="T368" s="17">
        <v>1350</v>
      </c>
      <c r="U368" s="7">
        <v>0</v>
      </c>
      <c r="V368" s="7">
        <v>0</v>
      </c>
      <c r="W368" s="7">
        <v>0</v>
      </c>
      <c r="X368" s="7">
        <v>0</v>
      </c>
      <c r="Y368" s="7">
        <v>-1350</v>
      </c>
      <c r="Z368" s="10" t="str">
        <f t="shared" si="10"/>
        <v>Piping</v>
      </c>
      <c r="AA368" s="24" t="str">
        <f t="shared" si="11"/>
        <v xml:space="preserve"> 3971. LAX People Mover</v>
      </c>
    </row>
    <row r="369" spans="1:27" x14ac:dyDescent="0.2">
      <c r="A369" s="5" t="s">
        <v>551</v>
      </c>
      <c r="B369" s="5" t="s">
        <v>552</v>
      </c>
      <c r="C369" s="5" t="s">
        <v>225</v>
      </c>
      <c r="D369" s="5" t="s">
        <v>46</v>
      </c>
      <c r="E369" s="5" t="s">
        <v>88</v>
      </c>
      <c r="F369" s="5" t="s">
        <v>18</v>
      </c>
      <c r="G369" s="12" t="s">
        <v>164</v>
      </c>
      <c r="H369" s="12"/>
      <c r="I369" s="6">
        <v>0</v>
      </c>
      <c r="J369" s="6">
        <v>0</v>
      </c>
      <c r="K369" s="6">
        <v>0</v>
      </c>
      <c r="L369" s="16">
        <v>0</v>
      </c>
      <c r="M369" s="5"/>
      <c r="N369" s="9">
        <v>733</v>
      </c>
      <c r="O369" s="6">
        <v>459</v>
      </c>
      <c r="P369" s="6">
        <v>459</v>
      </c>
      <c r="Q369" s="6">
        <v>0</v>
      </c>
      <c r="R369" s="16">
        <v>-274</v>
      </c>
      <c r="S369" s="5"/>
      <c r="T369" s="17">
        <v>76103.600000000006</v>
      </c>
      <c r="U369" s="7">
        <v>45445.53</v>
      </c>
      <c r="V369" s="7">
        <v>0</v>
      </c>
      <c r="W369" s="7">
        <v>45445.53</v>
      </c>
      <c r="X369" s="7">
        <v>0</v>
      </c>
      <c r="Y369" s="7">
        <v>-30658.07</v>
      </c>
      <c r="Z369" s="10" t="str">
        <f t="shared" si="10"/>
        <v>Piping</v>
      </c>
      <c r="AA369" s="24" t="str">
        <f t="shared" si="11"/>
        <v xml:space="preserve"> 3971. LAX People Mover</v>
      </c>
    </row>
    <row r="370" spans="1:27" x14ac:dyDescent="0.2">
      <c r="A370" s="5" t="s">
        <v>553</v>
      </c>
      <c r="B370" s="5" t="s">
        <v>552</v>
      </c>
      <c r="C370" s="5" t="s">
        <v>227</v>
      </c>
      <c r="D370" s="5" t="s">
        <v>46</v>
      </c>
      <c r="E370" s="5" t="s">
        <v>88</v>
      </c>
      <c r="F370" s="5" t="s">
        <v>18</v>
      </c>
      <c r="G370" s="12" t="s">
        <v>164</v>
      </c>
      <c r="H370" s="12"/>
      <c r="I370" s="6">
        <v>0</v>
      </c>
      <c r="J370" s="6">
        <v>0</v>
      </c>
      <c r="K370" s="6">
        <v>0</v>
      </c>
      <c r="L370" s="16">
        <v>0</v>
      </c>
      <c r="M370" s="5"/>
      <c r="N370" s="9">
        <v>40</v>
      </c>
      <c r="O370" s="6">
        <v>0</v>
      </c>
      <c r="P370" s="6">
        <v>0</v>
      </c>
      <c r="Q370" s="6">
        <v>0</v>
      </c>
      <c r="R370" s="16">
        <v>-40</v>
      </c>
      <c r="S370" s="5"/>
      <c r="T370" s="17">
        <v>3600</v>
      </c>
      <c r="U370" s="7">
        <v>0</v>
      </c>
      <c r="V370" s="7">
        <v>0</v>
      </c>
      <c r="W370" s="7">
        <v>0</v>
      </c>
      <c r="X370" s="7">
        <v>0</v>
      </c>
      <c r="Y370" s="7">
        <v>-3600</v>
      </c>
      <c r="Z370" s="10" t="str">
        <f t="shared" si="10"/>
        <v>Piping</v>
      </c>
      <c r="AA370" s="24" t="str">
        <f t="shared" si="11"/>
        <v xml:space="preserve"> 3971. LAX People Mover</v>
      </c>
    </row>
    <row r="371" spans="1:27" x14ac:dyDescent="0.2">
      <c r="A371" s="5" t="s">
        <v>554</v>
      </c>
      <c r="B371" s="5" t="s">
        <v>552</v>
      </c>
      <c r="C371" s="5" t="s">
        <v>245</v>
      </c>
      <c r="D371" s="5" t="s">
        <v>46</v>
      </c>
      <c r="E371" s="5" t="s">
        <v>88</v>
      </c>
      <c r="F371" s="5" t="s">
        <v>18</v>
      </c>
      <c r="G371" s="12" t="s">
        <v>164</v>
      </c>
      <c r="H371" s="12"/>
      <c r="I371" s="6">
        <v>0</v>
      </c>
      <c r="J371" s="6">
        <v>0</v>
      </c>
      <c r="K371" s="6">
        <v>0</v>
      </c>
      <c r="L371" s="16">
        <v>0</v>
      </c>
      <c r="M371" s="5"/>
      <c r="N371" s="9">
        <v>14</v>
      </c>
      <c r="O371" s="6">
        <v>0</v>
      </c>
      <c r="P371" s="6">
        <v>0</v>
      </c>
      <c r="Q371" s="6">
        <v>0</v>
      </c>
      <c r="R371" s="16">
        <v>-14</v>
      </c>
      <c r="S371" s="5"/>
      <c r="T371" s="17">
        <v>1260</v>
      </c>
      <c r="U371" s="7">
        <v>0</v>
      </c>
      <c r="V371" s="7">
        <v>0</v>
      </c>
      <c r="W371" s="7">
        <v>0</v>
      </c>
      <c r="X371" s="7">
        <v>0</v>
      </c>
      <c r="Y371" s="7">
        <v>-1260</v>
      </c>
      <c r="Z371" s="10" t="str">
        <f t="shared" si="10"/>
        <v>Piping</v>
      </c>
      <c r="AA371" s="24" t="str">
        <f t="shared" si="11"/>
        <v xml:space="preserve"> 3971. LAX People Mover</v>
      </c>
    </row>
    <row r="372" spans="1:27" x14ac:dyDescent="0.2">
      <c r="A372" s="5" t="s">
        <v>555</v>
      </c>
      <c r="B372" s="5" t="s">
        <v>552</v>
      </c>
      <c r="C372" s="5" t="s">
        <v>229</v>
      </c>
      <c r="D372" s="5" t="s">
        <v>46</v>
      </c>
      <c r="E372" s="5" t="s">
        <v>88</v>
      </c>
      <c r="F372" s="5" t="s">
        <v>18</v>
      </c>
      <c r="G372" s="12" t="s">
        <v>164</v>
      </c>
      <c r="H372" s="12"/>
      <c r="I372" s="6">
        <v>0</v>
      </c>
      <c r="J372" s="6">
        <v>0</v>
      </c>
      <c r="K372" s="6">
        <v>0</v>
      </c>
      <c r="L372" s="16">
        <v>0</v>
      </c>
      <c r="M372" s="5"/>
      <c r="N372" s="9">
        <v>32</v>
      </c>
      <c r="O372" s="6">
        <v>0</v>
      </c>
      <c r="P372" s="6">
        <v>0</v>
      </c>
      <c r="Q372" s="6">
        <v>0</v>
      </c>
      <c r="R372" s="16">
        <v>-32</v>
      </c>
      <c r="S372" s="5"/>
      <c r="T372" s="17">
        <v>2880</v>
      </c>
      <c r="U372" s="7">
        <v>0</v>
      </c>
      <c r="V372" s="7">
        <v>0</v>
      </c>
      <c r="W372" s="7">
        <v>0</v>
      </c>
      <c r="X372" s="7">
        <v>0</v>
      </c>
      <c r="Y372" s="7">
        <v>-2880</v>
      </c>
      <c r="Z372" s="10" t="str">
        <f t="shared" si="10"/>
        <v>Piping</v>
      </c>
      <c r="AA372" s="24" t="str">
        <f t="shared" si="11"/>
        <v xml:space="preserve"> 3971. LAX People Mover</v>
      </c>
    </row>
    <row r="373" spans="1:27" x14ac:dyDescent="0.2">
      <c r="A373" s="5" t="s">
        <v>556</v>
      </c>
      <c r="B373" s="5" t="s">
        <v>552</v>
      </c>
      <c r="C373" s="5" t="s">
        <v>231</v>
      </c>
      <c r="D373" s="5" t="s">
        <v>46</v>
      </c>
      <c r="E373" s="5" t="s">
        <v>88</v>
      </c>
      <c r="F373" s="5" t="s">
        <v>18</v>
      </c>
      <c r="G373" s="12" t="s">
        <v>164</v>
      </c>
      <c r="H373" s="12"/>
      <c r="I373" s="6">
        <v>0</v>
      </c>
      <c r="J373" s="6">
        <v>0</v>
      </c>
      <c r="K373" s="6">
        <v>0</v>
      </c>
      <c r="L373" s="16">
        <v>0</v>
      </c>
      <c r="M373" s="5"/>
      <c r="N373" s="9">
        <v>39</v>
      </c>
      <c r="O373" s="6">
        <v>0</v>
      </c>
      <c r="P373" s="6">
        <v>0</v>
      </c>
      <c r="Q373" s="6">
        <v>0</v>
      </c>
      <c r="R373" s="16">
        <v>-39</v>
      </c>
      <c r="S373" s="5"/>
      <c r="T373" s="17">
        <v>3510</v>
      </c>
      <c r="U373" s="7">
        <v>0</v>
      </c>
      <c r="V373" s="7">
        <v>0</v>
      </c>
      <c r="W373" s="7">
        <v>0</v>
      </c>
      <c r="X373" s="7">
        <v>0</v>
      </c>
      <c r="Y373" s="7">
        <v>-3510</v>
      </c>
      <c r="Z373" s="10" t="str">
        <f t="shared" si="10"/>
        <v>Piping</v>
      </c>
      <c r="AA373" s="24" t="str">
        <f t="shared" si="11"/>
        <v xml:space="preserve"> 3971. LAX People Mover</v>
      </c>
    </row>
    <row r="374" spans="1:27" x14ac:dyDescent="0.2">
      <c r="A374" s="5" t="s">
        <v>557</v>
      </c>
      <c r="B374" s="5" t="s">
        <v>552</v>
      </c>
      <c r="C374" s="5" t="s">
        <v>237</v>
      </c>
      <c r="D374" s="5" t="s">
        <v>46</v>
      </c>
      <c r="E374" s="5" t="s">
        <v>88</v>
      </c>
      <c r="F374" s="5" t="s">
        <v>18</v>
      </c>
      <c r="G374" s="12" t="s">
        <v>164</v>
      </c>
      <c r="H374" s="12"/>
      <c r="I374" s="6">
        <v>0</v>
      </c>
      <c r="J374" s="6">
        <v>0</v>
      </c>
      <c r="K374" s="6">
        <v>0</v>
      </c>
      <c r="L374" s="16">
        <v>0</v>
      </c>
      <c r="M374" s="5"/>
      <c r="N374" s="9">
        <v>228</v>
      </c>
      <c r="O374" s="6">
        <v>0</v>
      </c>
      <c r="P374" s="6">
        <v>0</v>
      </c>
      <c r="Q374" s="6">
        <v>0</v>
      </c>
      <c r="R374" s="16">
        <v>-228</v>
      </c>
      <c r="S374" s="5"/>
      <c r="T374" s="17">
        <v>20520</v>
      </c>
      <c r="U374" s="7">
        <v>0</v>
      </c>
      <c r="V374" s="7">
        <v>0</v>
      </c>
      <c r="W374" s="7">
        <v>0</v>
      </c>
      <c r="X374" s="7">
        <v>0</v>
      </c>
      <c r="Y374" s="7">
        <v>-20520</v>
      </c>
      <c r="Z374" s="10" t="str">
        <f t="shared" si="10"/>
        <v>Piping</v>
      </c>
      <c r="AA374" s="24" t="str">
        <f t="shared" si="11"/>
        <v xml:space="preserve"> 3971. LAX People Mover</v>
      </c>
    </row>
    <row r="375" spans="1:27" x14ac:dyDescent="0.2">
      <c r="A375" s="5" t="s">
        <v>558</v>
      </c>
      <c r="B375" s="5" t="s">
        <v>552</v>
      </c>
      <c r="C375" s="5" t="s">
        <v>239</v>
      </c>
      <c r="D375" s="5" t="s">
        <v>46</v>
      </c>
      <c r="E375" s="5" t="s">
        <v>88</v>
      </c>
      <c r="F375" s="5" t="s">
        <v>18</v>
      </c>
      <c r="G375" s="12" t="s">
        <v>164</v>
      </c>
      <c r="H375" s="12"/>
      <c r="I375" s="6">
        <v>0</v>
      </c>
      <c r="J375" s="6">
        <v>0</v>
      </c>
      <c r="K375" s="6">
        <v>0</v>
      </c>
      <c r="L375" s="16">
        <v>0</v>
      </c>
      <c r="M375" s="5"/>
      <c r="N375" s="9">
        <v>35</v>
      </c>
      <c r="O375" s="6">
        <v>0</v>
      </c>
      <c r="P375" s="6">
        <v>0</v>
      </c>
      <c r="Q375" s="6">
        <v>0</v>
      </c>
      <c r="R375" s="16">
        <v>-35</v>
      </c>
      <c r="S375" s="5"/>
      <c r="T375" s="17">
        <v>3150</v>
      </c>
      <c r="U375" s="7">
        <v>0</v>
      </c>
      <c r="V375" s="7">
        <v>0</v>
      </c>
      <c r="W375" s="7">
        <v>0</v>
      </c>
      <c r="X375" s="7">
        <v>0</v>
      </c>
      <c r="Y375" s="7">
        <v>-3150</v>
      </c>
      <c r="Z375" s="10" t="str">
        <f t="shared" si="10"/>
        <v>Piping</v>
      </c>
      <c r="AA375" s="24" t="str">
        <f t="shared" si="11"/>
        <v xml:space="preserve"> 3971. LAX People Mover</v>
      </c>
    </row>
    <row r="376" spans="1:27" x14ac:dyDescent="0.2">
      <c r="A376" s="5" t="s">
        <v>559</v>
      </c>
      <c r="B376" s="5" t="s">
        <v>560</v>
      </c>
      <c r="C376" s="5" t="s">
        <v>16</v>
      </c>
      <c r="D376" s="5" t="s">
        <v>335</v>
      </c>
      <c r="E376" s="5" t="s">
        <v>88</v>
      </c>
      <c r="F376" s="5" t="s">
        <v>18</v>
      </c>
      <c r="G376" s="12" t="s">
        <v>164</v>
      </c>
      <c r="H376" s="12"/>
      <c r="I376" s="6">
        <v>0</v>
      </c>
      <c r="J376" s="6">
        <v>0</v>
      </c>
      <c r="K376" s="6">
        <v>0</v>
      </c>
      <c r="L376" s="16">
        <v>0</v>
      </c>
      <c r="M376" s="5"/>
      <c r="N376" s="9">
        <v>2067</v>
      </c>
      <c r="O376" s="6">
        <v>5512.5</v>
      </c>
      <c r="P376" s="6">
        <v>5512.5</v>
      </c>
      <c r="Q376" s="6">
        <v>0</v>
      </c>
      <c r="R376" s="16">
        <v>3445.5</v>
      </c>
      <c r="S376" s="5"/>
      <c r="T376" s="17">
        <v>185959.76</v>
      </c>
      <c r="U376" s="7">
        <v>577464.25</v>
      </c>
      <c r="V376" s="7">
        <v>0</v>
      </c>
      <c r="W376" s="7">
        <v>577464.25</v>
      </c>
      <c r="X376" s="7">
        <v>0</v>
      </c>
      <c r="Y376" s="7">
        <v>391504.49</v>
      </c>
      <c r="Z376" s="10" t="str">
        <f t="shared" si="10"/>
        <v>Piping</v>
      </c>
      <c r="AA376" s="24" t="str">
        <f t="shared" si="11"/>
        <v xml:space="preserve"> 3971. LAX People Mover</v>
      </c>
    </row>
    <row r="377" spans="1:27" x14ac:dyDescent="0.2">
      <c r="A377" s="5" t="s">
        <v>561</v>
      </c>
      <c r="B377" s="5" t="s">
        <v>562</v>
      </c>
      <c r="C377" s="5" t="s">
        <v>16</v>
      </c>
      <c r="D377" s="5" t="s">
        <v>23</v>
      </c>
      <c r="E377" s="5" t="s">
        <v>88</v>
      </c>
      <c r="F377" s="5" t="s">
        <v>18</v>
      </c>
      <c r="G377" s="12"/>
      <c r="H377" s="12"/>
      <c r="I377" s="6">
        <v>0</v>
      </c>
      <c r="J377" s="6">
        <v>0</v>
      </c>
      <c r="K377" s="6">
        <v>0</v>
      </c>
      <c r="L377" s="16">
        <v>0</v>
      </c>
      <c r="M377" s="5"/>
      <c r="N377" s="9">
        <v>0</v>
      </c>
      <c r="O377" s="6">
        <v>0</v>
      </c>
      <c r="P377" s="6">
        <v>0</v>
      </c>
      <c r="Q377" s="6">
        <v>0</v>
      </c>
      <c r="R377" s="16">
        <v>0</v>
      </c>
      <c r="S377" s="5"/>
      <c r="T377" s="1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10">
        <f t="shared" si="10"/>
        <v>0</v>
      </c>
      <c r="AA377" s="24" t="str">
        <f t="shared" si="11"/>
        <v xml:space="preserve"> 3971. LAX People Mover</v>
      </c>
    </row>
    <row r="378" spans="1:27" x14ac:dyDescent="0.2">
      <c r="A378" s="5" t="s">
        <v>563</v>
      </c>
      <c r="B378" s="5" t="s">
        <v>564</v>
      </c>
      <c r="C378" s="5" t="s">
        <v>225</v>
      </c>
      <c r="D378" s="5" t="s">
        <v>493</v>
      </c>
      <c r="E378" s="5" t="s">
        <v>88</v>
      </c>
      <c r="F378" s="5" t="s">
        <v>18</v>
      </c>
      <c r="G378" s="12" t="s">
        <v>164</v>
      </c>
      <c r="H378" s="12"/>
      <c r="I378" s="6">
        <v>0</v>
      </c>
      <c r="J378" s="6">
        <v>0</v>
      </c>
      <c r="K378" s="6">
        <v>0</v>
      </c>
      <c r="L378" s="16">
        <v>0</v>
      </c>
      <c r="M378" s="5"/>
      <c r="N378" s="9">
        <v>0</v>
      </c>
      <c r="O378" s="6">
        <v>144</v>
      </c>
      <c r="P378" s="6">
        <v>144</v>
      </c>
      <c r="Q378" s="6">
        <v>0</v>
      </c>
      <c r="R378" s="16">
        <v>144</v>
      </c>
      <c r="S378" s="5"/>
      <c r="T378" s="17">
        <v>0</v>
      </c>
      <c r="U378" s="7">
        <v>12307.41</v>
      </c>
      <c r="V378" s="7">
        <v>0</v>
      </c>
      <c r="W378" s="7">
        <v>12307.41</v>
      </c>
      <c r="X378" s="7">
        <v>0</v>
      </c>
      <c r="Y378" s="7">
        <v>12307.41</v>
      </c>
      <c r="Z378" s="10" t="str">
        <f t="shared" si="10"/>
        <v>Piping</v>
      </c>
      <c r="AA378" s="24" t="str">
        <f t="shared" si="11"/>
        <v xml:space="preserve"> 3971. LAX People Mover</v>
      </c>
    </row>
    <row r="379" spans="1:27" x14ac:dyDescent="0.2">
      <c r="A379" s="5" t="s">
        <v>565</v>
      </c>
      <c r="B379" s="5" t="s">
        <v>566</v>
      </c>
      <c r="C379" s="5" t="s">
        <v>385</v>
      </c>
      <c r="D379" s="5" t="s">
        <v>493</v>
      </c>
      <c r="E379" s="5" t="s">
        <v>88</v>
      </c>
      <c r="F379" s="5" t="s">
        <v>18</v>
      </c>
      <c r="G379" s="12" t="s">
        <v>164</v>
      </c>
      <c r="H379" s="12"/>
      <c r="I379" s="6">
        <v>0</v>
      </c>
      <c r="J379" s="6">
        <v>0</v>
      </c>
      <c r="K379" s="6">
        <v>0</v>
      </c>
      <c r="L379" s="16">
        <v>0</v>
      </c>
      <c r="M379" s="5"/>
      <c r="N379" s="9">
        <v>0</v>
      </c>
      <c r="O379" s="6">
        <v>176</v>
      </c>
      <c r="P379" s="6">
        <v>176</v>
      </c>
      <c r="Q379" s="6">
        <v>0</v>
      </c>
      <c r="R379" s="16">
        <v>176</v>
      </c>
      <c r="S379" s="5"/>
      <c r="T379" s="17">
        <v>0</v>
      </c>
      <c r="U379" s="7">
        <v>14496.77</v>
      </c>
      <c r="V379" s="7">
        <v>0</v>
      </c>
      <c r="W379" s="7">
        <v>14496.77</v>
      </c>
      <c r="X379" s="7">
        <v>0</v>
      </c>
      <c r="Y379" s="7">
        <v>14496.77</v>
      </c>
      <c r="Z379" s="10" t="str">
        <f t="shared" si="10"/>
        <v>Piping</v>
      </c>
      <c r="AA379" s="24" t="str">
        <f t="shared" si="11"/>
        <v xml:space="preserve"> 3971. LAX People Mover</v>
      </c>
    </row>
    <row r="380" spans="1:27" x14ac:dyDescent="0.2">
      <c r="A380" s="5" t="s">
        <v>567</v>
      </c>
      <c r="B380" s="5" t="s">
        <v>568</v>
      </c>
      <c r="C380" s="5" t="s">
        <v>385</v>
      </c>
      <c r="D380" s="5" t="s">
        <v>28</v>
      </c>
      <c r="E380" s="5" t="s">
        <v>88</v>
      </c>
      <c r="F380" s="5" t="s">
        <v>18</v>
      </c>
      <c r="G380" s="12" t="s">
        <v>164</v>
      </c>
      <c r="H380" s="12"/>
      <c r="I380" s="6">
        <v>0</v>
      </c>
      <c r="J380" s="6">
        <v>0</v>
      </c>
      <c r="K380" s="6">
        <v>0</v>
      </c>
      <c r="L380" s="16">
        <v>0</v>
      </c>
      <c r="M380" s="5"/>
      <c r="N380" s="9">
        <v>0</v>
      </c>
      <c r="O380" s="6">
        <v>784</v>
      </c>
      <c r="P380" s="6">
        <v>784</v>
      </c>
      <c r="Q380" s="6">
        <v>0</v>
      </c>
      <c r="R380" s="16">
        <v>784</v>
      </c>
      <c r="S380" s="5"/>
      <c r="T380" s="17">
        <v>0</v>
      </c>
      <c r="U380" s="7">
        <v>64475.37</v>
      </c>
      <c r="V380" s="7">
        <v>0</v>
      </c>
      <c r="W380" s="7">
        <v>64475.37</v>
      </c>
      <c r="X380" s="7">
        <v>0</v>
      </c>
      <c r="Y380" s="7">
        <v>64475.37</v>
      </c>
      <c r="Z380" s="10" t="str">
        <f t="shared" si="10"/>
        <v>Piping</v>
      </c>
      <c r="AA380" s="24" t="str">
        <f t="shared" si="11"/>
        <v xml:space="preserve"> 3971. LAX People Mover</v>
      </c>
    </row>
    <row r="381" spans="1:27" x14ac:dyDescent="0.2">
      <c r="A381" s="5" t="s">
        <v>569</v>
      </c>
      <c r="B381" s="5" t="s">
        <v>570</v>
      </c>
      <c r="C381" s="5" t="s">
        <v>225</v>
      </c>
      <c r="D381" s="5" t="s">
        <v>28</v>
      </c>
      <c r="E381" s="5" t="s">
        <v>88</v>
      </c>
      <c r="F381" s="5" t="s">
        <v>18</v>
      </c>
      <c r="G381" s="12" t="s">
        <v>164</v>
      </c>
      <c r="H381" s="12"/>
      <c r="I381" s="6">
        <v>0</v>
      </c>
      <c r="J381" s="6">
        <v>0</v>
      </c>
      <c r="K381" s="6">
        <v>0</v>
      </c>
      <c r="L381" s="16">
        <v>0</v>
      </c>
      <c r="M381" s="5"/>
      <c r="N381" s="9">
        <v>600</v>
      </c>
      <c r="O381" s="6">
        <v>1722.5</v>
      </c>
      <c r="P381" s="6">
        <v>1722.5</v>
      </c>
      <c r="Q381" s="6">
        <v>0</v>
      </c>
      <c r="R381" s="16">
        <v>1122.5</v>
      </c>
      <c r="S381" s="5"/>
      <c r="T381" s="17">
        <v>54000</v>
      </c>
      <c r="U381" s="7">
        <v>137863.91</v>
      </c>
      <c r="V381" s="7">
        <v>0</v>
      </c>
      <c r="W381" s="7">
        <v>137863.91</v>
      </c>
      <c r="X381" s="7">
        <v>0</v>
      </c>
      <c r="Y381" s="7">
        <v>83863.91</v>
      </c>
      <c r="Z381" s="10" t="str">
        <f t="shared" si="10"/>
        <v>Piping</v>
      </c>
      <c r="AA381" s="24" t="str">
        <f t="shared" si="11"/>
        <v xml:space="preserve"> 3971. LAX People Mover</v>
      </c>
    </row>
    <row r="382" spans="1:27" x14ac:dyDescent="0.2">
      <c r="A382" s="5" t="s">
        <v>571</v>
      </c>
      <c r="B382" s="5" t="s">
        <v>570</v>
      </c>
      <c r="C382" s="5" t="s">
        <v>237</v>
      </c>
      <c r="D382" s="5" t="s">
        <v>28</v>
      </c>
      <c r="E382" s="5" t="s">
        <v>88</v>
      </c>
      <c r="F382" s="5" t="s">
        <v>18</v>
      </c>
      <c r="G382" s="12" t="s">
        <v>164</v>
      </c>
      <c r="H382" s="12"/>
      <c r="I382" s="6">
        <v>0</v>
      </c>
      <c r="J382" s="6">
        <v>0</v>
      </c>
      <c r="K382" s="6">
        <v>0</v>
      </c>
      <c r="L382" s="16">
        <v>0</v>
      </c>
      <c r="M382" s="5"/>
      <c r="N382" s="9">
        <v>239</v>
      </c>
      <c r="O382" s="6">
        <v>485</v>
      </c>
      <c r="P382" s="6">
        <v>493</v>
      </c>
      <c r="Q382" s="6">
        <v>8</v>
      </c>
      <c r="R382" s="16">
        <v>254</v>
      </c>
      <c r="S382" s="5"/>
      <c r="T382" s="17">
        <v>21510</v>
      </c>
      <c r="U382" s="7">
        <v>43267.4</v>
      </c>
      <c r="V382" s="7">
        <v>0</v>
      </c>
      <c r="W382" s="7">
        <v>43987.4</v>
      </c>
      <c r="X382" s="7">
        <v>720</v>
      </c>
      <c r="Y382" s="7">
        <v>22477.4</v>
      </c>
      <c r="Z382" s="10" t="str">
        <f t="shared" si="10"/>
        <v>Piping</v>
      </c>
      <c r="AA382" s="24" t="str">
        <f t="shared" si="11"/>
        <v xml:space="preserve"> 3971. LAX People Mover</v>
      </c>
    </row>
    <row r="383" spans="1:27" x14ac:dyDescent="0.2">
      <c r="A383" s="5" t="s">
        <v>572</v>
      </c>
      <c r="B383" s="5" t="s">
        <v>573</v>
      </c>
      <c r="C383" s="5" t="s">
        <v>225</v>
      </c>
      <c r="D383" s="5" t="s">
        <v>28</v>
      </c>
      <c r="E383" s="5" t="s">
        <v>88</v>
      </c>
      <c r="F383" s="5" t="s">
        <v>18</v>
      </c>
      <c r="G383" s="12" t="s">
        <v>164</v>
      </c>
      <c r="H383" s="12"/>
      <c r="I383" s="6">
        <v>0</v>
      </c>
      <c r="J383" s="6">
        <v>0</v>
      </c>
      <c r="K383" s="6">
        <v>0</v>
      </c>
      <c r="L383" s="16">
        <v>0</v>
      </c>
      <c r="M383" s="5"/>
      <c r="N383" s="9">
        <v>700</v>
      </c>
      <c r="O383" s="6">
        <v>2261</v>
      </c>
      <c r="P383" s="6">
        <v>2261</v>
      </c>
      <c r="Q383" s="6">
        <v>0</v>
      </c>
      <c r="R383" s="16">
        <v>1561</v>
      </c>
      <c r="S383" s="5"/>
      <c r="T383" s="17">
        <v>63000</v>
      </c>
      <c r="U383" s="7">
        <v>177565.84</v>
      </c>
      <c r="V383" s="7">
        <v>0</v>
      </c>
      <c r="W383" s="7">
        <v>177565.84</v>
      </c>
      <c r="X383" s="7">
        <v>0</v>
      </c>
      <c r="Y383" s="7">
        <v>114565.84</v>
      </c>
      <c r="Z383" s="10" t="str">
        <f t="shared" si="10"/>
        <v>Piping</v>
      </c>
      <c r="AA383" s="24" t="str">
        <f t="shared" si="11"/>
        <v xml:space="preserve"> 3971. LAX People Mover</v>
      </c>
    </row>
    <row r="384" spans="1:27" x14ac:dyDescent="0.2">
      <c r="A384" s="5" t="s">
        <v>574</v>
      </c>
      <c r="B384" s="5" t="s">
        <v>573</v>
      </c>
      <c r="C384" s="5" t="s">
        <v>233</v>
      </c>
      <c r="D384" s="5" t="s">
        <v>28</v>
      </c>
      <c r="E384" s="5" t="s">
        <v>88</v>
      </c>
      <c r="F384" s="5" t="s">
        <v>18</v>
      </c>
      <c r="G384" s="12" t="s">
        <v>164</v>
      </c>
      <c r="H384" s="12"/>
      <c r="I384" s="6">
        <v>0</v>
      </c>
      <c r="J384" s="6">
        <v>0</v>
      </c>
      <c r="K384" s="6">
        <v>0</v>
      </c>
      <c r="L384" s="16">
        <v>0</v>
      </c>
      <c r="M384" s="5"/>
      <c r="N384" s="9">
        <v>75</v>
      </c>
      <c r="O384" s="6">
        <v>96</v>
      </c>
      <c r="P384" s="6">
        <v>96</v>
      </c>
      <c r="Q384" s="6">
        <v>0</v>
      </c>
      <c r="R384" s="16">
        <v>21</v>
      </c>
      <c r="S384" s="5"/>
      <c r="T384" s="17">
        <v>6750</v>
      </c>
      <c r="U384" s="7">
        <v>9282.57</v>
      </c>
      <c r="V384" s="7">
        <v>0</v>
      </c>
      <c r="W384" s="7">
        <v>9282.57</v>
      </c>
      <c r="X384" s="7">
        <v>0</v>
      </c>
      <c r="Y384" s="7">
        <v>2532.5700000000002</v>
      </c>
      <c r="Z384" s="10" t="str">
        <f t="shared" si="10"/>
        <v>Piping</v>
      </c>
      <c r="AA384" s="24" t="str">
        <f t="shared" si="11"/>
        <v xml:space="preserve"> 3971. LAX People Mover</v>
      </c>
    </row>
    <row r="385" spans="1:27" x14ac:dyDescent="0.2">
      <c r="A385" s="5" t="s">
        <v>575</v>
      </c>
      <c r="B385" s="5" t="s">
        <v>573</v>
      </c>
      <c r="C385" s="5" t="s">
        <v>235</v>
      </c>
      <c r="D385" s="5" t="s">
        <v>28</v>
      </c>
      <c r="E385" s="5" t="s">
        <v>88</v>
      </c>
      <c r="F385" s="5" t="s">
        <v>18</v>
      </c>
      <c r="G385" s="12" t="s">
        <v>164</v>
      </c>
      <c r="H385" s="12"/>
      <c r="I385" s="6">
        <v>0</v>
      </c>
      <c r="J385" s="6">
        <v>0</v>
      </c>
      <c r="K385" s="6">
        <v>0</v>
      </c>
      <c r="L385" s="16">
        <v>0</v>
      </c>
      <c r="M385" s="5"/>
      <c r="N385" s="9">
        <v>83</v>
      </c>
      <c r="O385" s="6">
        <v>0</v>
      </c>
      <c r="P385" s="6">
        <v>0</v>
      </c>
      <c r="Q385" s="6">
        <v>0</v>
      </c>
      <c r="R385" s="16">
        <v>-83</v>
      </c>
      <c r="S385" s="5"/>
      <c r="T385" s="17">
        <v>6990.88</v>
      </c>
      <c r="U385" s="7">
        <v>0</v>
      </c>
      <c r="V385" s="7">
        <v>0</v>
      </c>
      <c r="W385" s="7">
        <v>0</v>
      </c>
      <c r="X385" s="7">
        <v>0</v>
      </c>
      <c r="Y385" s="7">
        <v>-6990.88</v>
      </c>
      <c r="Z385" s="10" t="str">
        <f t="shared" si="10"/>
        <v>Piping</v>
      </c>
      <c r="AA385" s="24" t="str">
        <f t="shared" si="11"/>
        <v xml:space="preserve"> 3971. LAX People Mover</v>
      </c>
    </row>
    <row r="386" spans="1:27" x14ac:dyDescent="0.2">
      <c r="A386" s="5" t="s">
        <v>576</v>
      </c>
      <c r="B386" s="5" t="s">
        <v>577</v>
      </c>
      <c r="C386" s="5" t="s">
        <v>225</v>
      </c>
      <c r="D386" s="5" t="s">
        <v>28</v>
      </c>
      <c r="E386" s="5" t="s">
        <v>88</v>
      </c>
      <c r="F386" s="5" t="s">
        <v>18</v>
      </c>
      <c r="G386" s="12" t="s">
        <v>164</v>
      </c>
      <c r="H386" s="12"/>
      <c r="I386" s="6">
        <v>0</v>
      </c>
      <c r="J386" s="6">
        <v>0</v>
      </c>
      <c r="K386" s="6">
        <v>0</v>
      </c>
      <c r="L386" s="16">
        <v>0</v>
      </c>
      <c r="M386" s="5"/>
      <c r="N386" s="9">
        <v>82</v>
      </c>
      <c r="O386" s="6">
        <v>245</v>
      </c>
      <c r="P386" s="6">
        <v>245</v>
      </c>
      <c r="Q386" s="6">
        <v>0</v>
      </c>
      <c r="R386" s="16">
        <v>163</v>
      </c>
      <c r="S386" s="5"/>
      <c r="T386" s="17">
        <v>7380</v>
      </c>
      <c r="U386" s="7">
        <v>19454.73</v>
      </c>
      <c r="V386" s="7">
        <v>0</v>
      </c>
      <c r="W386" s="7">
        <v>19454.73</v>
      </c>
      <c r="X386" s="7">
        <v>0</v>
      </c>
      <c r="Y386" s="7">
        <v>12074.73</v>
      </c>
      <c r="Z386" s="10" t="str">
        <f t="shared" si="10"/>
        <v>Piping</v>
      </c>
      <c r="AA386" s="24" t="str">
        <f t="shared" si="11"/>
        <v xml:space="preserve"> 3971. LAX People Mover</v>
      </c>
    </row>
    <row r="387" spans="1:27" x14ac:dyDescent="0.2">
      <c r="A387" s="5" t="s">
        <v>578</v>
      </c>
      <c r="B387" s="5" t="s">
        <v>577</v>
      </c>
      <c r="C387" s="5" t="s">
        <v>122</v>
      </c>
      <c r="D387" s="5" t="s">
        <v>28</v>
      </c>
      <c r="E387" s="5" t="s">
        <v>88</v>
      </c>
      <c r="F387" s="5" t="s">
        <v>18</v>
      </c>
      <c r="G387" s="12" t="s">
        <v>164</v>
      </c>
      <c r="H387" s="12"/>
      <c r="I387" s="6">
        <v>0</v>
      </c>
      <c r="J387" s="6">
        <v>0</v>
      </c>
      <c r="K387" s="6">
        <v>0</v>
      </c>
      <c r="L387" s="16">
        <v>0</v>
      </c>
      <c r="M387" s="5"/>
      <c r="N387" s="9">
        <v>62</v>
      </c>
      <c r="O387" s="6">
        <v>69</v>
      </c>
      <c r="P387" s="6">
        <v>69</v>
      </c>
      <c r="Q387" s="6">
        <v>0</v>
      </c>
      <c r="R387" s="16">
        <v>7</v>
      </c>
      <c r="S387" s="5"/>
      <c r="T387" s="17">
        <v>5580</v>
      </c>
      <c r="U387" s="7">
        <v>6501.13</v>
      </c>
      <c r="V387" s="7">
        <v>0</v>
      </c>
      <c r="W387" s="7">
        <v>6501.13</v>
      </c>
      <c r="X387" s="7">
        <v>0</v>
      </c>
      <c r="Y387" s="7">
        <v>921.13</v>
      </c>
      <c r="Z387" s="10" t="str">
        <f t="shared" si="10"/>
        <v>Piping</v>
      </c>
      <c r="AA387" s="24" t="str">
        <f t="shared" si="11"/>
        <v xml:space="preserve"> 3971. LAX People Mover</v>
      </c>
    </row>
    <row r="388" spans="1:27" x14ac:dyDescent="0.2">
      <c r="A388" s="5" t="s">
        <v>579</v>
      </c>
      <c r="B388" s="5" t="s">
        <v>577</v>
      </c>
      <c r="C388" s="5" t="s">
        <v>227</v>
      </c>
      <c r="D388" s="5" t="s">
        <v>28</v>
      </c>
      <c r="E388" s="5" t="s">
        <v>88</v>
      </c>
      <c r="F388" s="5" t="s">
        <v>18</v>
      </c>
      <c r="G388" s="12" t="s">
        <v>164</v>
      </c>
      <c r="H388" s="12"/>
      <c r="I388" s="6">
        <v>0</v>
      </c>
      <c r="J388" s="6">
        <v>0</v>
      </c>
      <c r="K388" s="6">
        <v>0</v>
      </c>
      <c r="L388" s="16">
        <v>0</v>
      </c>
      <c r="M388" s="5"/>
      <c r="N388" s="9">
        <v>371</v>
      </c>
      <c r="O388" s="6">
        <v>728</v>
      </c>
      <c r="P388" s="6">
        <v>728</v>
      </c>
      <c r="Q388" s="6">
        <v>0</v>
      </c>
      <c r="R388" s="16">
        <v>357</v>
      </c>
      <c r="S388" s="5"/>
      <c r="T388" s="17">
        <v>33390</v>
      </c>
      <c r="U388" s="7">
        <v>62998.07</v>
      </c>
      <c r="V388" s="7">
        <v>0</v>
      </c>
      <c r="W388" s="7">
        <v>62998.07</v>
      </c>
      <c r="X388" s="7">
        <v>0</v>
      </c>
      <c r="Y388" s="7">
        <v>29608.07</v>
      </c>
      <c r="Z388" s="10" t="str">
        <f t="shared" si="10"/>
        <v>Piping</v>
      </c>
      <c r="AA388" s="24" t="str">
        <f t="shared" si="11"/>
        <v xml:space="preserve"> 3971. LAX People Mover</v>
      </c>
    </row>
    <row r="389" spans="1:27" x14ac:dyDescent="0.2">
      <c r="A389" s="5" t="s">
        <v>580</v>
      </c>
      <c r="B389" s="5" t="s">
        <v>577</v>
      </c>
      <c r="C389" s="5" t="s">
        <v>245</v>
      </c>
      <c r="D389" s="5" t="s">
        <v>28</v>
      </c>
      <c r="E389" s="5" t="s">
        <v>88</v>
      </c>
      <c r="F389" s="5" t="s">
        <v>18</v>
      </c>
      <c r="G389" s="12" t="s">
        <v>164</v>
      </c>
      <c r="H389" s="12"/>
      <c r="I389" s="6">
        <v>0</v>
      </c>
      <c r="J389" s="6">
        <v>0</v>
      </c>
      <c r="K389" s="6">
        <v>0</v>
      </c>
      <c r="L389" s="16">
        <v>0</v>
      </c>
      <c r="M389" s="5"/>
      <c r="N389" s="9">
        <v>200</v>
      </c>
      <c r="O389" s="6">
        <v>210</v>
      </c>
      <c r="P389" s="6">
        <v>210</v>
      </c>
      <c r="Q389" s="6">
        <v>0</v>
      </c>
      <c r="R389" s="16">
        <v>10</v>
      </c>
      <c r="S389" s="5"/>
      <c r="T389" s="17">
        <v>18000</v>
      </c>
      <c r="U389" s="7">
        <v>18404.39</v>
      </c>
      <c r="V389" s="7">
        <v>0</v>
      </c>
      <c r="W389" s="7">
        <v>18404.39</v>
      </c>
      <c r="X389" s="7">
        <v>0</v>
      </c>
      <c r="Y389" s="7">
        <v>404.39</v>
      </c>
      <c r="Z389" s="10" t="str">
        <f t="shared" ref="Z389:Z452" si="12">IF(G389="PLUM", "Plumbing", IF(G389="PIPE", "Piping", IF(G389="HVAC", "Sheet Metal", G389)))</f>
        <v>Piping</v>
      </c>
      <c r="AA389" s="24" t="str">
        <f t="shared" ref="AA389:AA452" si="13">IF(ISBLANK(B389), "", $A$2)</f>
        <v xml:space="preserve"> 3971. LAX People Mover</v>
      </c>
    </row>
    <row r="390" spans="1:27" x14ac:dyDescent="0.2">
      <c r="A390" s="5" t="s">
        <v>581</v>
      </c>
      <c r="B390" s="5" t="s">
        <v>577</v>
      </c>
      <c r="C390" s="5" t="s">
        <v>229</v>
      </c>
      <c r="D390" s="5" t="s">
        <v>28</v>
      </c>
      <c r="E390" s="5" t="s">
        <v>88</v>
      </c>
      <c r="F390" s="5" t="s">
        <v>18</v>
      </c>
      <c r="G390" s="12" t="s">
        <v>164</v>
      </c>
      <c r="H390" s="12"/>
      <c r="I390" s="6">
        <v>0</v>
      </c>
      <c r="J390" s="6">
        <v>0</v>
      </c>
      <c r="K390" s="6">
        <v>0</v>
      </c>
      <c r="L390" s="16">
        <v>0</v>
      </c>
      <c r="M390" s="5"/>
      <c r="N390" s="9">
        <v>300</v>
      </c>
      <c r="O390" s="6">
        <v>527</v>
      </c>
      <c r="P390" s="6">
        <v>527</v>
      </c>
      <c r="Q390" s="6">
        <v>0</v>
      </c>
      <c r="R390" s="16">
        <v>227</v>
      </c>
      <c r="S390" s="5"/>
      <c r="T390" s="17">
        <v>27000</v>
      </c>
      <c r="U390" s="7">
        <v>45590.5</v>
      </c>
      <c r="V390" s="7">
        <v>0</v>
      </c>
      <c r="W390" s="7">
        <v>45617.08</v>
      </c>
      <c r="X390" s="7">
        <v>26.58</v>
      </c>
      <c r="Y390" s="7">
        <v>18617.080000000002</v>
      </c>
      <c r="Z390" s="10" t="str">
        <f t="shared" si="12"/>
        <v>Piping</v>
      </c>
      <c r="AA390" s="24" t="str">
        <f t="shared" si="13"/>
        <v xml:space="preserve"> 3971. LAX People Mover</v>
      </c>
    </row>
    <row r="391" spans="1:27" x14ac:dyDescent="0.2">
      <c r="A391" s="5" t="s">
        <v>582</v>
      </c>
      <c r="B391" s="5" t="s">
        <v>577</v>
      </c>
      <c r="C391" s="5" t="s">
        <v>231</v>
      </c>
      <c r="D391" s="5" t="s">
        <v>28</v>
      </c>
      <c r="E391" s="5" t="s">
        <v>88</v>
      </c>
      <c r="F391" s="5" t="s">
        <v>18</v>
      </c>
      <c r="G391" s="12" t="s">
        <v>164</v>
      </c>
      <c r="H391" s="12"/>
      <c r="I391" s="6">
        <v>0</v>
      </c>
      <c r="J391" s="6">
        <v>0</v>
      </c>
      <c r="K391" s="6">
        <v>0</v>
      </c>
      <c r="L391" s="16">
        <v>0</v>
      </c>
      <c r="M391" s="5"/>
      <c r="N391" s="9">
        <v>320</v>
      </c>
      <c r="O391" s="6">
        <v>351</v>
      </c>
      <c r="P391" s="6">
        <v>351</v>
      </c>
      <c r="Q391" s="6">
        <v>0</v>
      </c>
      <c r="R391" s="16">
        <v>31</v>
      </c>
      <c r="S391" s="5"/>
      <c r="T391" s="17">
        <v>28800</v>
      </c>
      <c r="U391" s="7">
        <v>24353.11</v>
      </c>
      <c r="V391" s="7">
        <v>0</v>
      </c>
      <c r="W391" s="7">
        <v>24353.11</v>
      </c>
      <c r="X391" s="7">
        <v>0</v>
      </c>
      <c r="Y391" s="7">
        <v>-4446.8900000000003</v>
      </c>
      <c r="Z391" s="10" t="str">
        <f t="shared" si="12"/>
        <v>Piping</v>
      </c>
      <c r="AA391" s="24" t="str">
        <f t="shared" si="13"/>
        <v xml:space="preserve"> 3971. LAX People Mover</v>
      </c>
    </row>
    <row r="392" spans="1:27" x14ac:dyDescent="0.2">
      <c r="A392" s="5" t="s">
        <v>583</v>
      </c>
      <c r="B392" s="5" t="s">
        <v>577</v>
      </c>
      <c r="C392" s="5" t="s">
        <v>233</v>
      </c>
      <c r="D392" s="5" t="s">
        <v>28</v>
      </c>
      <c r="E392" s="5" t="s">
        <v>88</v>
      </c>
      <c r="F392" s="5" t="s">
        <v>18</v>
      </c>
      <c r="G392" s="5" t="s">
        <v>164</v>
      </c>
      <c r="H392" s="5"/>
      <c r="I392" s="6">
        <v>0</v>
      </c>
      <c r="J392" s="6">
        <v>0</v>
      </c>
      <c r="K392" s="6">
        <v>0</v>
      </c>
      <c r="L392" s="6">
        <v>0</v>
      </c>
      <c r="M392" s="5"/>
      <c r="N392" s="6">
        <v>180</v>
      </c>
      <c r="O392" s="6">
        <v>448</v>
      </c>
      <c r="P392" s="6">
        <v>448</v>
      </c>
      <c r="Q392" s="6">
        <v>0</v>
      </c>
      <c r="R392" s="6">
        <v>268</v>
      </c>
      <c r="S392" s="5"/>
      <c r="T392" s="7">
        <v>16200</v>
      </c>
      <c r="U392" s="7">
        <v>34987.32</v>
      </c>
      <c r="V392" s="7">
        <v>0</v>
      </c>
      <c r="W392" s="7">
        <v>34987.32</v>
      </c>
      <c r="X392" s="7">
        <v>0</v>
      </c>
      <c r="Y392" s="7">
        <v>18787.32</v>
      </c>
      <c r="Z392" s="10" t="str">
        <f t="shared" si="12"/>
        <v>Piping</v>
      </c>
      <c r="AA392" s="24" t="str">
        <f t="shared" si="13"/>
        <v xml:space="preserve"> 3971. LAX People Mover</v>
      </c>
    </row>
    <row r="393" spans="1:27" x14ac:dyDescent="0.2">
      <c r="A393" s="5" t="s">
        <v>584</v>
      </c>
      <c r="B393" s="5" t="s">
        <v>577</v>
      </c>
      <c r="C393" s="5" t="s">
        <v>235</v>
      </c>
      <c r="D393" s="5" t="s">
        <v>28</v>
      </c>
      <c r="E393" s="5" t="s">
        <v>88</v>
      </c>
      <c r="F393" s="5" t="s">
        <v>18</v>
      </c>
      <c r="G393" s="5" t="s">
        <v>164</v>
      </c>
      <c r="H393" s="5"/>
      <c r="I393" s="6">
        <v>0</v>
      </c>
      <c r="J393" s="6">
        <v>0</v>
      </c>
      <c r="K393" s="6">
        <v>0</v>
      </c>
      <c r="L393" s="6">
        <v>0</v>
      </c>
      <c r="M393" s="5"/>
      <c r="N393" s="6">
        <v>180</v>
      </c>
      <c r="O393" s="6">
        <v>466</v>
      </c>
      <c r="P393" s="6">
        <v>466</v>
      </c>
      <c r="Q393" s="6">
        <v>0</v>
      </c>
      <c r="R393" s="6">
        <v>286</v>
      </c>
      <c r="S393" s="5"/>
      <c r="T393" s="7">
        <v>16200</v>
      </c>
      <c r="U393" s="7">
        <v>36522.47</v>
      </c>
      <c r="V393" s="7">
        <v>0</v>
      </c>
      <c r="W393" s="7">
        <v>36522.47</v>
      </c>
      <c r="X393" s="7">
        <v>0</v>
      </c>
      <c r="Y393" s="7">
        <v>20322.47</v>
      </c>
      <c r="Z393" s="10" t="str">
        <f t="shared" si="12"/>
        <v>Piping</v>
      </c>
      <c r="AA393" s="24" t="str">
        <f t="shared" si="13"/>
        <v xml:space="preserve"> 3971. LAX People Mover</v>
      </c>
    </row>
    <row r="394" spans="1:27" x14ac:dyDescent="0.2">
      <c r="A394" s="5" t="s">
        <v>585</v>
      </c>
      <c r="B394" s="5" t="s">
        <v>577</v>
      </c>
      <c r="C394" s="5" t="s">
        <v>237</v>
      </c>
      <c r="D394" s="5" t="s">
        <v>28</v>
      </c>
      <c r="E394" s="5" t="s">
        <v>88</v>
      </c>
      <c r="F394" s="5" t="s">
        <v>18</v>
      </c>
      <c r="G394" s="5" t="s">
        <v>164</v>
      </c>
      <c r="H394" s="5"/>
      <c r="I394" s="6">
        <v>0</v>
      </c>
      <c r="J394" s="6">
        <v>0</v>
      </c>
      <c r="K394" s="6">
        <v>0</v>
      </c>
      <c r="L394" s="6">
        <v>0</v>
      </c>
      <c r="M394" s="5"/>
      <c r="N394" s="6">
        <v>1710</v>
      </c>
      <c r="O394" s="6">
        <v>2898.5</v>
      </c>
      <c r="P394" s="6">
        <v>2946.5</v>
      </c>
      <c r="Q394" s="6">
        <v>48</v>
      </c>
      <c r="R394" s="6">
        <v>1236.5</v>
      </c>
      <c r="S394" s="5"/>
      <c r="T394" s="7">
        <v>154355</v>
      </c>
      <c r="U394" s="7">
        <v>243168.46</v>
      </c>
      <c r="V394" s="7">
        <v>0</v>
      </c>
      <c r="W394" s="7">
        <v>248811.88</v>
      </c>
      <c r="X394" s="7">
        <v>5643.42</v>
      </c>
      <c r="Y394" s="7">
        <v>94456.88</v>
      </c>
      <c r="Z394" s="10" t="str">
        <f t="shared" si="12"/>
        <v>Piping</v>
      </c>
      <c r="AA394" s="24" t="str">
        <f t="shared" si="13"/>
        <v xml:space="preserve"> 3971. LAX People Mover</v>
      </c>
    </row>
    <row r="395" spans="1:27" x14ac:dyDescent="0.2">
      <c r="A395" s="5" t="s">
        <v>586</v>
      </c>
      <c r="B395" s="5" t="s">
        <v>577</v>
      </c>
      <c r="C395" s="5" t="s">
        <v>239</v>
      </c>
      <c r="D395" s="5" t="s">
        <v>28</v>
      </c>
      <c r="E395" s="5" t="s">
        <v>88</v>
      </c>
      <c r="F395" s="5" t="s">
        <v>18</v>
      </c>
      <c r="G395" s="5" t="s">
        <v>164</v>
      </c>
      <c r="H395" s="5"/>
      <c r="I395" s="6">
        <v>0</v>
      </c>
      <c r="J395" s="6">
        <v>0</v>
      </c>
      <c r="K395" s="6">
        <v>0</v>
      </c>
      <c r="L395" s="6">
        <v>0</v>
      </c>
      <c r="M395" s="5"/>
      <c r="N395" s="6">
        <v>300</v>
      </c>
      <c r="O395" s="6">
        <v>646</v>
      </c>
      <c r="P395" s="6">
        <v>646</v>
      </c>
      <c r="Q395" s="6">
        <v>0</v>
      </c>
      <c r="R395" s="6">
        <v>346</v>
      </c>
      <c r="S395" s="5"/>
      <c r="T395" s="7">
        <v>27000</v>
      </c>
      <c r="U395" s="7">
        <v>51102.1</v>
      </c>
      <c r="V395" s="7">
        <v>0</v>
      </c>
      <c r="W395" s="7">
        <v>51102.1</v>
      </c>
      <c r="X395" s="7">
        <v>0</v>
      </c>
      <c r="Y395" s="7">
        <v>24102.1</v>
      </c>
      <c r="Z395" s="10" t="str">
        <f t="shared" si="12"/>
        <v>Piping</v>
      </c>
      <c r="AA395" s="24" t="str">
        <f t="shared" si="13"/>
        <v xml:space="preserve"> 3971. LAX People Mover</v>
      </c>
    </row>
    <row r="396" spans="1:27" x14ac:dyDescent="0.2">
      <c r="A396" s="5" t="s">
        <v>587</v>
      </c>
      <c r="B396" s="5" t="s">
        <v>588</v>
      </c>
      <c r="C396" s="5" t="s">
        <v>385</v>
      </c>
      <c r="D396" s="5" t="s">
        <v>28</v>
      </c>
      <c r="E396" s="5" t="s">
        <v>88</v>
      </c>
      <c r="F396" s="5" t="s">
        <v>18</v>
      </c>
      <c r="G396" s="5" t="s">
        <v>164</v>
      </c>
      <c r="H396" s="5"/>
      <c r="I396" s="6">
        <v>0</v>
      </c>
      <c r="J396" s="6">
        <v>0</v>
      </c>
      <c r="K396" s="6">
        <v>0</v>
      </c>
      <c r="L396" s="6">
        <v>0</v>
      </c>
      <c r="M396" s="5"/>
      <c r="N396" s="6">
        <v>0</v>
      </c>
      <c r="O396" s="6">
        <v>21</v>
      </c>
      <c r="P396" s="6">
        <v>21</v>
      </c>
      <c r="Q396" s="6">
        <v>0</v>
      </c>
      <c r="R396" s="6">
        <v>21</v>
      </c>
      <c r="S396" s="5"/>
      <c r="T396" s="7">
        <v>0</v>
      </c>
      <c r="U396" s="7">
        <v>1668.22</v>
      </c>
      <c r="V396" s="7">
        <v>0</v>
      </c>
      <c r="W396" s="7">
        <v>1668.22</v>
      </c>
      <c r="X396" s="7">
        <v>0</v>
      </c>
      <c r="Y396" s="7">
        <v>1668.22</v>
      </c>
      <c r="Z396" s="10" t="str">
        <f t="shared" si="12"/>
        <v>Piping</v>
      </c>
      <c r="AA396" s="24" t="str">
        <f t="shared" si="13"/>
        <v xml:space="preserve"> 3971. LAX People Mover</v>
      </c>
    </row>
    <row r="397" spans="1:27" x14ac:dyDescent="0.2">
      <c r="A397" s="5" t="s">
        <v>589</v>
      </c>
      <c r="B397" s="5" t="s">
        <v>174</v>
      </c>
      <c r="C397" s="5" t="s">
        <v>225</v>
      </c>
      <c r="D397" s="5" t="s">
        <v>107</v>
      </c>
      <c r="E397" s="5" t="s">
        <v>88</v>
      </c>
      <c r="F397" s="5" t="s">
        <v>18</v>
      </c>
      <c r="G397" s="5" t="s">
        <v>164</v>
      </c>
      <c r="H397" s="5"/>
      <c r="I397" s="6">
        <v>0</v>
      </c>
      <c r="J397" s="6">
        <v>0</v>
      </c>
      <c r="K397" s="6">
        <v>0</v>
      </c>
      <c r="L397" s="6">
        <v>0</v>
      </c>
      <c r="M397" s="5"/>
      <c r="N397" s="6">
        <v>824</v>
      </c>
      <c r="O397" s="6">
        <v>1738</v>
      </c>
      <c r="P397" s="6">
        <v>1738</v>
      </c>
      <c r="Q397" s="6">
        <v>0</v>
      </c>
      <c r="R397" s="6">
        <v>914</v>
      </c>
      <c r="S397" s="5"/>
      <c r="T397" s="7">
        <v>74160</v>
      </c>
      <c r="U397" s="7">
        <v>139437.57999999999</v>
      </c>
      <c r="V397" s="7">
        <v>0</v>
      </c>
      <c r="W397" s="7">
        <v>139437.57999999999</v>
      </c>
      <c r="X397" s="7">
        <v>0</v>
      </c>
      <c r="Y397" s="7">
        <v>65277.58</v>
      </c>
      <c r="Z397" s="10" t="str">
        <f t="shared" si="12"/>
        <v>Piping</v>
      </c>
      <c r="AA397" s="24" t="str">
        <f t="shared" si="13"/>
        <v xml:space="preserve"> 3971. LAX People Mover</v>
      </c>
    </row>
    <row r="398" spans="1:27" x14ac:dyDescent="0.2">
      <c r="A398" s="5" t="s">
        <v>590</v>
      </c>
      <c r="B398" s="5" t="s">
        <v>174</v>
      </c>
      <c r="C398" s="5" t="s">
        <v>227</v>
      </c>
      <c r="D398" s="5" t="s">
        <v>107</v>
      </c>
      <c r="E398" s="5" t="s">
        <v>88</v>
      </c>
      <c r="F398" s="5" t="s">
        <v>18</v>
      </c>
      <c r="G398" s="5" t="s">
        <v>164</v>
      </c>
      <c r="H398" s="5"/>
      <c r="I398" s="6">
        <v>0</v>
      </c>
      <c r="J398" s="6">
        <v>0</v>
      </c>
      <c r="K398" s="6">
        <v>0</v>
      </c>
      <c r="L398" s="6">
        <v>0</v>
      </c>
      <c r="M398" s="5"/>
      <c r="N398" s="6">
        <v>250</v>
      </c>
      <c r="O398" s="6">
        <v>274</v>
      </c>
      <c r="P398" s="6">
        <v>274</v>
      </c>
      <c r="Q398" s="6">
        <v>0</v>
      </c>
      <c r="R398" s="6">
        <v>24</v>
      </c>
      <c r="S398" s="5"/>
      <c r="T398" s="7">
        <v>22500</v>
      </c>
      <c r="U398" s="7">
        <v>19812.63</v>
      </c>
      <c r="V398" s="7">
        <v>0</v>
      </c>
      <c r="W398" s="7">
        <v>19812.63</v>
      </c>
      <c r="X398" s="7">
        <v>0</v>
      </c>
      <c r="Y398" s="7">
        <v>-2687.37</v>
      </c>
      <c r="Z398" s="10" t="str">
        <f t="shared" si="12"/>
        <v>Piping</v>
      </c>
      <c r="AA398" s="24" t="str">
        <f t="shared" si="13"/>
        <v xml:space="preserve"> 3971. LAX People Mover</v>
      </c>
    </row>
    <row r="399" spans="1:27" x14ac:dyDescent="0.2">
      <c r="A399" s="5" t="s">
        <v>591</v>
      </c>
      <c r="B399" s="5" t="s">
        <v>174</v>
      </c>
      <c r="C399" s="5" t="s">
        <v>245</v>
      </c>
      <c r="D399" s="5" t="s">
        <v>107</v>
      </c>
      <c r="E399" s="5" t="s">
        <v>88</v>
      </c>
      <c r="F399" s="5" t="s">
        <v>18</v>
      </c>
      <c r="G399" s="5" t="s">
        <v>164</v>
      </c>
      <c r="H399" s="5"/>
      <c r="I399" s="6">
        <v>0</v>
      </c>
      <c r="J399" s="6">
        <v>0</v>
      </c>
      <c r="K399" s="6">
        <v>0</v>
      </c>
      <c r="L399" s="6">
        <v>0</v>
      </c>
      <c r="M399" s="5"/>
      <c r="N399" s="6">
        <v>84</v>
      </c>
      <c r="O399" s="6">
        <v>132</v>
      </c>
      <c r="P399" s="6">
        <v>132</v>
      </c>
      <c r="Q399" s="6">
        <v>0</v>
      </c>
      <c r="R399" s="6">
        <v>48</v>
      </c>
      <c r="S399" s="5"/>
      <c r="T399" s="7">
        <v>7560</v>
      </c>
      <c r="U399" s="7">
        <v>11944.23</v>
      </c>
      <c r="V399" s="7">
        <v>0</v>
      </c>
      <c r="W399" s="7">
        <v>11944.23</v>
      </c>
      <c r="X399" s="7">
        <v>0</v>
      </c>
      <c r="Y399" s="7">
        <v>4384.2299999999996</v>
      </c>
      <c r="Z399" s="10" t="str">
        <f t="shared" si="12"/>
        <v>Piping</v>
      </c>
      <c r="AA399" s="24" t="str">
        <f t="shared" si="13"/>
        <v xml:space="preserve"> 3971. LAX People Mover</v>
      </c>
    </row>
    <row r="400" spans="1:27" x14ac:dyDescent="0.2">
      <c r="A400" s="5" t="s">
        <v>592</v>
      </c>
      <c r="B400" s="5" t="s">
        <v>174</v>
      </c>
      <c r="C400" s="5" t="s">
        <v>229</v>
      </c>
      <c r="D400" s="5" t="s">
        <v>107</v>
      </c>
      <c r="E400" s="5" t="s">
        <v>88</v>
      </c>
      <c r="F400" s="5" t="s">
        <v>18</v>
      </c>
      <c r="G400" s="5" t="s">
        <v>164</v>
      </c>
      <c r="H400" s="5"/>
      <c r="I400" s="6">
        <v>0</v>
      </c>
      <c r="J400" s="6">
        <v>0</v>
      </c>
      <c r="K400" s="6">
        <v>0</v>
      </c>
      <c r="L400" s="6">
        <v>0</v>
      </c>
      <c r="M400" s="5"/>
      <c r="N400" s="6">
        <v>200</v>
      </c>
      <c r="O400" s="6">
        <v>260</v>
      </c>
      <c r="P400" s="6">
        <v>260</v>
      </c>
      <c r="Q400" s="6">
        <v>0</v>
      </c>
      <c r="R400" s="6">
        <v>60</v>
      </c>
      <c r="S400" s="5"/>
      <c r="T400" s="7">
        <v>18000</v>
      </c>
      <c r="U400" s="7">
        <v>18956.62</v>
      </c>
      <c r="V400" s="7">
        <v>0</v>
      </c>
      <c r="W400" s="7">
        <v>18956.62</v>
      </c>
      <c r="X400" s="7">
        <v>0</v>
      </c>
      <c r="Y400" s="7">
        <v>956.62</v>
      </c>
      <c r="Z400" s="10" t="str">
        <f t="shared" si="12"/>
        <v>Piping</v>
      </c>
      <c r="AA400" s="24" t="str">
        <f t="shared" si="13"/>
        <v xml:space="preserve"> 3971. LAX People Mover</v>
      </c>
    </row>
    <row r="401" spans="1:27" x14ac:dyDescent="0.2">
      <c r="A401" s="5" t="s">
        <v>593</v>
      </c>
      <c r="B401" s="5" t="s">
        <v>174</v>
      </c>
      <c r="C401" s="5" t="s">
        <v>231</v>
      </c>
      <c r="D401" s="5" t="s">
        <v>107</v>
      </c>
      <c r="E401" s="5" t="s">
        <v>88</v>
      </c>
      <c r="F401" s="5" t="s">
        <v>18</v>
      </c>
      <c r="G401" s="5" t="s">
        <v>164</v>
      </c>
      <c r="H401" s="5"/>
      <c r="I401" s="6">
        <v>0</v>
      </c>
      <c r="J401" s="6">
        <v>0</v>
      </c>
      <c r="K401" s="6">
        <v>0</v>
      </c>
      <c r="L401" s="6">
        <v>0</v>
      </c>
      <c r="M401" s="5"/>
      <c r="N401" s="6">
        <v>251</v>
      </c>
      <c r="O401" s="6">
        <v>463.5</v>
      </c>
      <c r="P401" s="6">
        <v>463.5</v>
      </c>
      <c r="Q401" s="6">
        <v>0</v>
      </c>
      <c r="R401" s="6">
        <v>212.5</v>
      </c>
      <c r="S401" s="5"/>
      <c r="T401" s="7">
        <v>22590</v>
      </c>
      <c r="U401" s="7">
        <v>37782.199999999997</v>
      </c>
      <c r="V401" s="7">
        <v>0</v>
      </c>
      <c r="W401" s="7">
        <v>37782.199999999997</v>
      </c>
      <c r="X401" s="7">
        <v>0</v>
      </c>
      <c r="Y401" s="7">
        <v>15192.2</v>
      </c>
      <c r="Z401" s="10" t="str">
        <f t="shared" si="12"/>
        <v>Piping</v>
      </c>
      <c r="AA401" s="24" t="str">
        <f t="shared" si="13"/>
        <v xml:space="preserve"> 3971. LAX People Mover</v>
      </c>
    </row>
    <row r="402" spans="1:27" x14ac:dyDescent="0.2">
      <c r="A402" s="5" t="s">
        <v>594</v>
      </c>
      <c r="B402" s="5" t="s">
        <v>174</v>
      </c>
      <c r="C402" s="5" t="s">
        <v>237</v>
      </c>
      <c r="D402" s="5" t="s">
        <v>107</v>
      </c>
      <c r="E402" s="5" t="s">
        <v>88</v>
      </c>
      <c r="F402" s="5" t="s">
        <v>18</v>
      </c>
      <c r="G402" s="5" t="s">
        <v>164</v>
      </c>
      <c r="H402" s="5"/>
      <c r="I402" s="6">
        <v>0</v>
      </c>
      <c r="J402" s="6">
        <v>0</v>
      </c>
      <c r="K402" s="6">
        <v>0</v>
      </c>
      <c r="L402" s="6">
        <v>0</v>
      </c>
      <c r="M402" s="5"/>
      <c r="N402" s="6">
        <v>1623</v>
      </c>
      <c r="O402" s="6">
        <v>2603</v>
      </c>
      <c r="P402" s="6">
        <v>2603</v>
      </c>
      <c r="Q402" s="6">
        <v>0</v>
      </c>
      <c r="R402" s="6">
        <v>980</v>
      </c>
      <c r="S402" s="5"/>
      <c r="T402" s="7">
        <v>146070</v>
      </c>
      <c r="U402" s="7">
        <v>194090.93</v>
      </c>
      <c r="V402" s="7">
        <v>0</v>
      </c>
      <c r="W402" s="7">
        <v>194090.93</v>
      </c>
      <c r="X402" s="7">
        <v>0</v>
      </c>
      <c r="Y402" s="7">
        <v>48020.93</v>
      </c>
      <c r="Z402" s="10" t="str">
        <f t="shared" si="12"/>
        <v>Piping</v>
      </c>
      <c r="AA402" s="24" t="str">
        <f t="shared" si="13"/>
        <v xml:space="preserve"> 3971. LAX People Mover</v>
      </c>
    </row>
    <row r="403" spans="1:27" x14ac:dyDescent="0.2">
      <c r="A403" s="5" t="s">
        <v>595</v>
      </c>
      <c r="B403" s="5" t="s">
        <v>174</v>
      </c>
      <c r="C403" s="5" t="s">
        <v>239</v>
      </c>
      <c r="D403" s="5" t="s">
        <v>107</v>
      </c>
      <c r="E403" s="5" t="s">
        <v>88</v>
      </c>
      <c r="F403" s="5" t="s">
        <v>18</v>
      </c>
      <c r="G403" s="5" t="s">
        <v>164</v>
      </c>
      <c r="H403" s="5"/>
      <c r="I403" s="6">
        <v>0</v>
      </c>
      <c r="J403" s="6">
        <v>0</v>
      </c>
      <c r="K403" s="6">
        <v>0</v>
      </c>
      <c r="L403" s="6">
        <v>0</v>
      </c>
      <c r="M403" s="5"/>
      <c r="N403" s="6">
        <v>150</v>
      </c>
      <c r="O403" s="6">
        <v>563</v>
      </c>
      <c r="P403" s="6">
        <v>563</v>
      </c>
      <c r="Q403" s="6">
        <v>0</v>
      </c>
      <c r="R403" s="6">
        <v>413</v>
      </c>
      <c r="S403" s="5"/>
      <c r="T403" s="7">
        <v>13500</v>
      </c>
      <c r="U403" s="7">
        <v>43511.16</v>
      </c>
      <c r="V403" s="7">
        <v>0</v>
      </c>
      <c r="W403" s="7">
        <v>43511.16</v>
      </c>
      <c r="X403" s="7">
        <v>0</v>
      </c>
      <c r="Y403" s="7">
        <v>30011.16</v>
      </c>
      <c r="Z403" s="10" t="str">
        <f t="shared" si="12"/>
        <v>Piping</v>
      </c>
      <c r="AA403" s="24" t="str">
        <f t="shared" si="13"/>
        <v xml:space="preserve"> 3971. LAX People Mover</v>
      </c>
    </row>
    <row r="404" spans="1:27" x14ac:dyDescent="0.2">
      <c r="A404" s="5" t="s">
        <v>596</v>
      </c>
      <c r="B404" s="5" t="s">
        <v>597</v>
      </c>
      <c r="C404" s="5" t="s">
        <v>16</v>
      </c>
      <c r="D404" s="5" t="s">
        <v>506</v>
      </c>
      <c r="E404" s="5" t="s">
        <v>88</v>
      </c>
      <c r="F404" s="5" t="s">
        <v>18</v>
      </c>
      <c r="G404" s="5" t="s">
        <v>164</v>
      </c>
      <c r="H404" s="5"/>
      <c r="I404" s="6">
        <v>0</v>
      </c>
      <c r="J404" s="6">
        <v>0</v>
      </c>
      <c r="K404" s="6">
        <v>0</v>
      </c>
      <c r="L404" s="6">
        <v>0</v>
      </c>
      <c r="M404" s="5"/>
      <c r="N404" s="6">
        <v>0</v>
      </c>
      <c r="O404" s="6">
        <v>16</v>
      </c>
      <c r="P404" s="6">
        <v>16</v>
      </c>
      <c r="Q404" s="6">
        <v>0</v>
      </c>
      <c r="R404" s="6">
        <v>16</v>
      </c>
      <c r="S404" s="5"/>
      <c r="T404" s="7">
        <v>0</v>
      </c>
      <c r="U404" s="7">
        <v>1096.6199999999999</v>
      </c>
      <c r="V404" s="7">
        <v>0</v>
      </c>
      <c r="W404" s="7">
        <v>1096.6199999999999</v>
      </c>
      <c r="X404" s="7">
        <v>0</v>
      </c>
      <c r="Y404" s="7">
        <v>1096.6199999999999</v>
      </c>
      <c r="Z404" s="10" t="str">
        <f t="shared" si="12"/>
        <v>Piping</v>
      </c>
      <c r="AA404" s="24" t="str">
        <f t="shared" si="13"/>
        <v xml:space="preserve"> 3971. LAX People Mover</v>
      </c>
    </row>
    <row r="405" spans="1:27" x14ac:dyDescent="0.2">
      <c r="A405" s="5" t="s">
        <v>598</v>
      </c>
      <c r="B405" s="5" t="s">
        <v>599</v>
      </c>
      <c r="C405" s="5" t="s">
        <v>225</v>
      </c>
      <c r="D405" s="5" t="s">
        <v>506</v>
      </c>
      <c r="E405" s="5" t="s">
        <v>88</v>
      </c>
      <c r="F405" s="5" t="s">
        <v>18</v>
      </c>
      <c r="G405" s="5" t="s">
        <v>164</v>
      </c>
      <c r="H405" s="5"/>
      <c r="I405" s="6">
        <v>0</v>
      </c>
      <c r="J405" s="6">
        <v>0</v>
      </c>
      <c r="K405" s="6">
        <v>0</v>
      </c>
      <c r="L405" s="6">
        <v>0</v>
      </c>
      <c r="M405" s="5"/>
      <c r="N405" s="6">
        <v>22</v>
      </c>
      <c r="O405" s="6">
        <v>38</v>
      </c>
      <c r="P405" s="6">
        <v>38</v>
      </c>
      <c r="Q405" s="6">
        <v>0</v>
      </c>
      <c r="R405" s="6">
        <v>16</v>
      </c>
      <c r="S405" s="5"/>
      <c r="T405" s="7">
        <v>1980</v>
      </c>
      <c r="U405" s="7">
        <v>2560.3000000000002</v>
      </c>
      <c r="V405" s="7">
        <v>0</v>
      </c>
      <c r="W405" s="7">
        <v>2560.3000000000002</v>
      </c>
      <c r="X405" s="7">
        <v>0</v>
      </c>
      <c r="Y405" s="7">
        <v>580.29999999999995</v>
      </c>
      <c r="Z405" s="10" t="str">
        <f t="shared" si="12"/>
        <v>Piping</v>
      </c>
      <c r="AA405" s="24" t="str">
        <f t="shared" si="13"/>
        <v xml:space="preserve"> 3971. LAX People Mover</v>
      </c>
    </row>
    <row r="406" spans="1:27" x14ac:dyDescent="0.2">
      <c r="A406" s="5" t="s">
        <v>600</v>
      </c>
      <c r="B406" s="5" t="s">
        <v>599</v>
      </c>
      <c r="C406" s="5" t="s">
        <v>227</v>
      </c>
      <c r="D406" s="5" t="s">
        <v>506</v>
      </c>
      <c r="E406" s="5" t="s">
        <v>88</v>
      </c>
      <c r="F406" s="5" t="s">
        <v>18</v>
      </c>
      <c r="G406" s="5" t="s">
        <v>164</v>
      </c>
      <c r="H406" s="5"/>
      <c r="I406" s="6">
        <v>0</v>
      </c>
      <c r="J406" s="6">
        <v>0</v>
      </c>
      <c r="K406" s="6">
        <v>0</v>
      </c>
      <c r="L406" s="6">
        <v>0</v>
      </c>
      <c r="M406" s="5"/>
      <c r="N406" s="6">
        <v>45</v>
      </c>
      <c r="O406" s="6">
        <v>0</v>
      </c>
      <c r="P406" s="6">
        <v>0</v>
      </c>
      <c r="Q406" s="6">
        <v>0</v>
      </c>
      <c r="R406" s="6">
        <v>-45</v>
      </c>
      <c r="S406" s="5"/>
      <c r="T406" s="7">
        <v>4050</v>
      </c>
      <c r="U406" s="7">
        <v>0</v>
      </c>
      <c r="V406" s="7">
        <v>0</v>
      </c>
      <c r="W406" s="7">
        <v>0</v>
      </c>
      <c r="X406" s="7">
        <v>0</v>
      </c>
      <c r="Y406" s="7">
        <v>-4050</v>
      </c>
      <c r="Z406" s="10" t="str">
        <f t="shared" si="12"/>
        <v>Piping</v>
      </c>
      <c r="AA406" s="24" t="str">
        <f t="shared" si="13"/>
        <v xml:space="preserve"> 3971. LAX People Mover</v>
      </c>
    </row>
    <row r="407" spans="1:27" x14ac:dyDescent="0.2">
      <c r="A407" s="5" t="s">
        <v>601</v>
      </c>
      <c r="B407" s="5" t="s">
        <v>599</v>
      </c>
      <c r="C407" s="5" t="s">
        <v>245</v>
      </c>
      <c r="D407" s="5" t="s">
        <v>506</v>
      </c>
      <c r="E407" s="5" t="s">
        <v>88</v>
      </c>
      <c r="F407" s="5" t="s">
        <v>18</v>
      </c>
      <c r="G407" s="5" t="s">
        <v>164</v>
      </c>
      <c r="H407" s="5"/>
      <c r="I407" s="6">
        <v>0</v>
      </c>
      <c r="J407" s="6">
        <v>0</v>
      </c>
      <c r="K407" s="6">
        <v>0</v>
      </c>
      <c r="L407" s="6">
        <v>0</v>
      </c>
      <c r="M407" s="5"/>
      <c r="N407" s="6">
        <v>16</v>
      </c>
      <c r="O407" s="6">
        <v>0</v>
      </c>
      <c r="P407" s="6">
        <v>0</v>
      </c>
      <c r="Q407" s="6">
        <v>0</v>
      </c>
      <c r="R407" s="6">
        <v>-16</v>
      </c>
      <c r="S407" s="5"/>
      <c r="T407" s="7">
        <v>1440</v>
      </c>
      <c r="U407" s="7">
        <v>0</v>
      </c>
      <c r="V407" s="7">
        <v>0</v>
      </c>
      <c r="W407" s="7">
        <v>0</v>
      </c>
      <c r="X407" s="7">
        <v>0</v>
      </c>
      <c r="Y407" s="7">
        <v>-1440</v>
      </c>
      <c r="Z407" s="10" t="str">
        <f t="shared" si="12"/>
        <v>Piping</v>
      </c>
      <c r="AA407" s="24" t="str">
        <f t="shared" si="13"/>
        <v xml:space="preserve"> 3971. LAX People Mover</v>
      </c>
    </row>
    <row r="408" spans="1:27" x14ac:dyDescent="0.2">
      <c r="A408" s="5" t="s">
        <v>602</v>
      </c>
      <c r="B408" s="5" t="s">
        <v>599</v>
      </c>
      <c r="C408" s="5" t="s">
        <v>229</v>
      </c>
      <c r="D408" s="5" t="s">
        <v>506</v>
      </c>
      <c r="E408" s="5" t="s">
        <v>88</v>
      </c>
      <c r="F408" s="5" t="s">
        <v>18</v>
      </c>
      <c r="G408" s="5" t="s">
        <v>164</v>
      </c>
      <c r="H408" s="5"/>
      <c r="I408" s="6">
        <v>0</v>
      </c>
      <c r="J408" s="6">
        <v>0</v>
      </c>
      <c r="K408" s="6">
        <v>0</v>
      </c>
      <c r="L408" s="6">
        <v>0</v>
      </c>
      <c r="M408" s="5"/>
      <c r="N408" s="6">
        <v>35</v>
      </c>
      <c r="O408" s="6">
        <v>0</v>
      </c>
      <c r="P408" s="6">
        <v>0</v>
      </c>
      <c r="Q408" s="6">
        <v>0</v>
      </c>
      <c r="R408" s="6">
        <v>-35</v>
      </c>
      <c r="S408" s="5"/>
      <c r="T408" s="7">
        <v>3150</v>
      </c>
      <c r="U408" s="7">
        <v>0</v>
      </c>
      <c r="V408" s="7">
        <v>0</v>
      </c>
      <c r="W408" s="7">
        <v>0</v>
      </c>
      <c r="X408" s="7">
        <v>0</v>
      </c>
      <c r="Y408" s="7">
        <v>-3150</v>
      </c>
      <c r="Z408" s="10" t="str">
        <f t="shared" si="12"/>
        <v>Piping</v>
      </c>
      <c r="AA408" s="24" t="str">
        <f t="shared" si="13"/>
        <v xml:space="preserve"> 3971. LAX People Mover</v>
      </c>
    </row>
    <row r="409" spans="1:27" x14ac:dyDescent="0.2">
      <c r="A409" s="5" t="s">
        <v>603</v>
      </c>
      <c r="B409" s="5" t="s">
        <v>599</v>
      </c>
      <c r="C409" s="5" t="s">
        <v>231</v>
      </c>
      <c r="D409" s="5" t="s">
        <v>506</v>
      </c>
      <c r="E409" s="5" t="s">
        <v>88</v>
      </c>
      <c r="F409" s="5" t="s">
        <v>18</v>
      </c>
      <c r="G409" s="5" t="s">
        <v>164</v>
      </c>
      <c r="H409" s="5"/>
      <c r="I409" s="6">
        <v>0</v>
      </c>
      <c r="J409" s="6">
        <v>0</v>
      </c>
      <c r="K409" s="6">
        <v>0</v>
      </c>
      <c r="L409" s="6">
        <v>0</v>
      </c>
      <c r="M409" s="5"/>
      <c r="N409" s="6">
        <v>32</v>
      </c>
      <c r="O409" s="6">
        <v>0</v>
      </c>
      <c r="P409" s="6">
        <v>0</v>
      </c>
      <c r="Q409" s="6">
        <v>0</v>
      </c>
      <c r="R409" s="6">
        <v>-32</v>
      </c>
      <c r="S409" s="5"/>
      <c r="T409" s="7">
        <v>2880</v>
      </c>
      <c r="U409" s="7">
        <v>0</v>
      </c>
      <c r="V409" s="7">
        <v>0</v>
      </c>
      <c r="W409" s="7">
        <v>0</v>
      </c>
      <c r="X409" s="7">
        <v>0</v>
      </c>
      <c r="Y409" s="7">
        <v>-2880</v>
      </c>
      <c r="Z409" s="10" t="str">
        <f t="shared" si="12"/>
        <v>Piping</v>
      </c>
      <c r="AA409" s="24" t="str">
        <f t="shared" si="13"/>
        <v xml:space="preserve"> 3971. LAX People Mover</v>
      </c>
    </row>
    <row r="410" spans="1:27" x14ac:dyDescent="0.2">
      <c r="A410" s="5" t="s">
        <v>604</v>
      </c>
      <c r="B410" s="5" t="s">
        <v>599</v>
      </c>
      <c r="C410" s="5" t="s">
        <v>237</v>
      </c>
      <c r="D410" s="5" t="s">
        <v>506</v>
      </c>
      <c r="E410" s="5" t="s">
        <v>88</v>
      </c>
      <c r="F410" s="5" t="s">
        <v>18</v>
      </c>
      <c r="G410" s="5" t="s">
        <v>164</v>
      </c>
      <c r="H410" s="5"/>
      <c r="I410" s="6">
        <v>0</v>
      </c>
      <c r="J410" s="6">
        <v>0</v>
      </c>
      <c r="K410" s="6">
        <v>0</v>
      </c>
      <c r="L410" s="6">
        <v>0</v>
      </c>
      <c r="M410" s="5"/>
      <c r="N410" s="6">
        <v>148</v>
      </c>
      <c r="O410" s="6">
        <v>132</v>
      </c>
      <c r="P410" s="6">
        <v>132</v>
      </c>
      <c r="Q410" s="6">
        <v>0</v>
      </c>
      <c r="R410" s="6">
        <v>-16</v>
      </c>
      <c r="S410" s="5"/>
      <c r="T410" s="7">
        <v>13320</v>
      </c>
      <c r="U410" s="7">
        <v>12230.97</v>
      </c>
      <c r="V410" s="7">
        <v>0</v>
      </c>
      <c r="W410" s="7">
        <v>12230.97</v>
      </c>
      <c r="X410" s="7">
        <v>0</v>
      </c>
      <c r="Y410" s="7">
        <v>-1089.03</v>
      </c>
      <c r="Z410" s="10" t="str">
        <f t="shared" si="12"/>
        <v>Piping</v>
      </c>
      <c r="AA410" s="24" t="str">
        <f t="shared" si="13"/>
        <v xml:space="preserve"> 3971. LAX People Mover</v>
      </c>
    </row>
    <row r="411" spans="1:27" x14ac:dyDescent="0.2">
      <c r="A411" s="5" t="s">
        <v>605</v>
      </c>
      <c r="B411" s="5" t="s">
        <v>599</v>
      </c>
      <c r="C411" s="5" t="s">
        <v>239</v>
      </c>
      <c r="D411" s="5" t="s">
        <v>506</v>
      </c>
      <c r="E411" s="5" t="s">
        <v>88</v>
      </c>
      <c r="F411" s="5" t="s">
        <v>18</v>
      </c>
      <c r="G411" s="5" t="s">
        <v>164</v>
      </c>
      <c r="H411" s="5"/>
      <c r="I411" s="6">
        <v>0</v>
      </c>
      <c r="J411" s="6">
        <v>0</v>
      </c>
      <c r="K411" s="6">
        <v>0</v>
      </c>
      <c r="L411" s="6">
        <v>0</v>
      </c>
      <c r="M411" s="5"/>
      <c r="N411" s="6">
        <v>40</v>
      </c>
      <c r="O411" s="6">
        <v>0</v>
      </c>
      <c r="P411" s="6">
        <v>0</v>
      </c>
      <c r="Q411" s="6">
        <v>0</v>
      </c>
      <c r="R411" s="6">
        <v>-40</v>
      </c>
      <c r="S411" s="5"/>
      <c r="T411" s="7">
        <v>3600</v>
      </c>
      <c r="U411" s="7">
        <v>0</v>
      </c>
      <c r="V411" s="7">
        <v>0</v>
      </c>
      <c r="W411" s="7">
        <v>0</v>
      </c>
      <c r="X411" s="7">
        <v>0</v>
      </c>
      <c r="Y411" s="7">
        <v>-3600</v>
      </c>
      <c r="Z411" s="10" t="str">
        <f t="shared" si="12"/>
        <v>Piping</v>
      </c>
      <c r="AA411" s="24" t="str">
        <f t="shared" si="13"/>
        <v xml:space="preserve"> 3971. LAX People Mover</v>
      </c>
    </row>
    <row r="412" spans="1:27" x14ac:dyDescent="0.2">
      <c r="A412" s="5" t="s">
        <v>606</v>
      </c>
      <c r="B412" s="5" t="s">
        <v>607</v>
      </c>
      <c r="C412" s="5" t="s">
        <v>16</v>
      </c>
      <c r="D412" s="5" t="s">
        <v>104</v>
      </c>
      <c r="E412" s="5" t="s">
        <v>88</v>
      </c>
      <c r="F412" s="5" t="s">
        <v>18</v>
      </c>
      <c r="G412" s="5" t="s">
        <v>164</v>
      </c>
      <c r="H412" s="5"/>
      <c r="I412" s="6">
        <v>0</v>
      </c>
      <c r="J412" s="6">
        <v>0</v>
      </c>
      <c r="K412" s="6">
        <v>0</v>
      </c>
      <c r="L412" s="6">
        <v>0</v>
      </c>
      <c r="M412" s="5"/>
      <c r="N412" s="6">
        <v>252</v>
      </c>
      <c r="O412" s="6">
        <v>288</v>
      </c>
      <c r="P412" s="6">
        <v>320</v>
      </c>
      <c r="Q412" s="6">
        <v>32</v>
      </c>
      <c r="R412" s="6">
        <v>68</v>
      </c>
      <c r="S412" s="5"/>
      <c r="T412" s="7">
        <v>22680</v>
      </c>
      <c r="U412" s="7">
        <v>19948.560000000001</v>
      </c>
      <c r="V412" s="7">
        <v>0</v>
      </c>
      <c r="W412" s="7">
        <v>22264.2</v>
      </c>
      <c r="X412" s="7">
        <v>2315.64</v>
      </c>
      <c r="Y412" s="7">
        <v>-415.8</v>
      </c>
      <c r="Z412" s="10" t="str">
        <f t="shared" si="12"/>
        <v>Piping</v>
      </c>
      <c r="AA412" s="24" t="str">
        <f t="shared" si="13"/>
        <v xml:space="preserve"> 3971. LAX People Mover</v>
      </c>
    </row>
    <row r="413" spans="1:27" x14ac:dyDescent="0.2">
      <c r="A413" s="5" t="s">
        <v>608</v>
      </c>
      <c r="B413" s="5" t="s">
        <v>609</v>
      </c>
      <c r="C413" s="5" t="s">
        <v>16</v>
      </c>
      <c r="D413" s="5" t="s">
        <v>104</v>
      </c>
      <c r="E413" s="5" t="s">
        <v>88</v>
      </c>
      <c r="F413" s="5" t="s">
        <v>18</v>
      </c>
      <c r="G413" s="5" t="s">
        <v>164</v>
      </c>
      <c r="H413" s="5"/>
      <c r="I413" s="6">
        <v>0</v>
      </c>
      <c r="J413" s="6">
        <v>0</v>
      </c>
      <c r="K413" s="6">
        <v>0</v>
      </c>
      <c r="L413" s="6">
        <v>0</v>
      </c>
      <c r="M413" s="5"/>
      <c r="N413" s="6">
        <v>0</v>
      </c>
      <c r="O413" s="6">
        <v>386</v>
      </c>
      <c r="P413" s="6">
        <v>398</v>
      </c>
      <c r="Q413" s="6">
        <v>12</v>
      </c>
      <c r="R413" s="6">
        <v>398</v>
      </c>
      <c r="S413" s="5"/>
      <c r="T413" s="7">
        <v>0</v>
      </c>
      <c r="U413" s="7">
        <v>31363.88</v>
      </c>
      <c r="V413" s="7">
        <v>0</v>
      </c>
      <c r="W413" s="7">
        <v>32503.88</v>
      </c>
      <c r="X413" s="7">
        <v>1140</v>
      </c>
      <c r="Y413" s="7">
        <v>32503.88</v>
      </c>
      <c r="Z413" s="10" t="str">
        <f t="shared" si="12"/>
        <v>Piping</v>
      </c>
      <c r="AA413" s="24" t="str">
        <f t="shared" si="13"/>
        <v xml:space="preserve"> 3971. LAX People Mover</v>
      </c>
    </row>
    <row r="414" spans="1:27" x14ac:dyDescent="0.2">
      <c r="A414" s="5" t="s">
        <v>610</v>
      </c>
      <c r="B414" s="5" t="s">
        <v>611</v>
      </c>
      <c r="C414" s="5" t="s">
        <v>16</v>
      </c>
      <c r="D414" s="5" t="s">
        <v>22</v>
      </c>
      <c r="E414" s="5" t="s">
        <v>88</v>
      </c>
      <c r="F414" s="5" t="s">
        <v>18</v>
      </c>
      <c r="G414" s="5" t="s">
        <v>164</v>
      </c>
      <c r="H414" s="5"/>
      <c r="I414" s="6">
        <v>0</v>
      </c>
      <c r="J414" s="6">
        <v>0</v>
      </c>
      <c r="K414" s="6">
        <v>0</v>
      </c>
      <c r="L414" s="6">
        <v>0</v>
      </c>
      <c r="M414" s="5"/>
      <c r="N414" s="6">
        <v>0</v>
      </c>
      <c r="O414" s="6">
        <v>0</v>
      </c>
      <c r="P414" s="6">
        <v>0</v>
      </c>
      <c r="Q414" s="6">
        <v>0</v>
      </c>
      <c r="R414" s="6">
        <v>0</v>
      </c>
      <c r="S414" s="5"/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10" t="str">
        <f t="shared" si="12"/>
        <v>Piping</v>
      </c>
      <c r="AA414" s="24" t="str">
        <f t="shared" si="13"/>
        <v xml:space="preserve"> 3971. LAX People Mover</v>
      </c>
    </row>
    <row r="415" spans="1:27" x14ac:dyDescent="0.2">
      <c r="A415" s="5" t="s">
        <v>612</v>
      </c>
      <c r="B415" s="5" t="s">
        <v>613</v>
      </c>
      <c r="C415" s="5" t="s">
        <v>225</v>
      </c>
      <c r="D415" s="5" t="s">
        <v>22</v>
      </c>
      <c r="E415" s="5" t="s">
        <v>88</v>
      </c>
      <c r="F415" s="5" t="s">
        <v>18</v>
      </c>
      <c r="G415" s="5" t="s">
        <v>164</v>
      </c>
      <c r="H415" s="5"/>
      <c r="I415" s="6">
        <v>0</v>
      </c>
      <c r="J415" s="6">
        <v>0</v>
      </c>
      <c r="K415" s="6">
        <v>0</v>
      </c>
      <c r="L415" s="6">
        <v>0</v>
      </c>
      <c r="M415" s="5"/>
      <c r="N415" s="6">
        <v>99</v>
      </c>
      <c r="O415" s="6">
        <v>137</v>
      </c>
      <c r="P415" s="6">
        <v>137</v>
      </c>
      <c r="Q415" s="6">
        <v>0</v>
      </c>
      <c r="R415" s="6">
        <v>38</v>
      </c>
      <c r="S415" s="5"/>
      <c r="T415" s="7">
        <v>8910</v>
      </c>
      <c r="U415" s="7">
        <v>13518.67</v>
      </c>
      <c r="V415" s="7">
        <v>0</v>
      </c>
      <c r="W415" s="7">
        <v>13518.67</v>
      </c>
      <c r="X415" s="7">
        <v>0</v>
      </c>
      <c r="Y415" s="7">
        <v>4608.67</v>
      </c>
      <c r="Z415" s="10" t="str">
        <f t="shared" si="12"/>
        <v>Piping</v>
      </c>
      <c r="AA415" s="24" t="str">
        <f t="shared" si="13"/>
        <v xml:space="preserve"> 3971. LAX People Mover</v>
      </c>
    </row>
    <row r="416" spans="1:27" x14ac:dyDescent="0.2">
      <c r="A416" s="5" t="s">
        <v>614</v>
      </c>
      <c r="B416" s="5" t="s">
        <v>613</v>
      </c>
      <c r="C416" s="5" t="s">
        <v>227</v>
      </c>
      <c r="D416" s="5" t="s">
        <v>22</v>
      </c>
      <c r="E416" s="5" t="s">
        <v>88</v>
      </c>
      <c r="F416" s="5" t="s">
        <v>18</v>
      </c>
      <c r="G416" s="5" t="s">
        <v>164</v>
      </c>
      <c r="H416" s="5"/>
      <c r="I416" s="6">
        <v>0</v>
      </c>
      <c r="J416" s="6">
        <v>0</v>
      </c>
      <c r="K416" s="6">
        <v>0</v>
      </c>
      <c r="L416" s="6">
        <v>0</v>
      </c>
      <c r="M416" s="5"/>
      <c r="N416" s="6">
        <v>17</v>
      </c>
      <c r="O416" s="6">
        <v>0</v>
      </c>
      <c r="P416" s="6">
        <v>0</v>
      </c>
      <c r="Q416" s="6">
        <v>0</v>
      </c>
      <c r="R416" s="6">
        <v>-17</v>
      </c>
      <c r="S416" s="5"/>
      <c r="T416" s="7">
        <v>1530</v>
      </c>
      <c r="U416" s="7">
        <v>0</v>
      </c>
      <c r="V416" s="7">
        <v>0</v>
      </c>
      <c r="W416" s="7">
        <v>0</v>
      </c>
      <c r="X416" s="7">
        <v>0</v>
      </c>
      <c r="Y416" s="7">
        <v>-1530</v>
      </c>
      <c r="Z416" s="10" t="str">
        <f t="shared" si="12"/>
        <v>Piping</v>
      </c>
      <c r="AA416" s="24" t="str">
        <f t="shared" si="13"/>
        <v xml:space="preserve"> 3971. LAX People Mover</v>
      </c>
    </row>
    <row r="417" spans="1:27" x14ac:dyDescent="0.2">
      <c r="A417" s="5" t="s">
        <v>615</v>
      </c>
      <c r="B417" s="5" t="s">
        <v>613</v>
      </c>
      <c r="C417" s="5" t="s">
        <v>245</v>
      </c>
      <c r="D417" s="5" t="s">
        <v>22</v>
      </c>
      <c r="E417" s="5" t="s">
        <v>88</v>
      </c>
      <c r="F417" s="5" t="s">
        <v>18</v>
      </c>
      <c r="G417" s="5" t="s">
        <v>164</v>
      </c>
      <c r="H417" s="5"/>
      <c r="I417" s="6">
        <v>0</v>
      </c>
      <c r="J417" s="6">
        <v>0</v>
      </c>
      <c r="K417" s="6">
        <v>0</v>
      </c>
      <c r="L417" s="6">
        <v>0</v>
      </c>
      <c r="M417" s="5"/>
      <c r="N417" s="6">
        <v>8</v>
      </c>
      <c r="O417" s="6">
        <v>0</v>
      </c>
      <c r="P417" s="6">
        <v>0</v>
      </c>
      <c r="Q417" s="6">
        <v>0</v>
      </c>
      <c r="R417" s="6">
        <v>-8</v>
      </c>
      <c r="S417" s="5"/>
      <c r="T417" s="7">
        <v>720</v>
      </c>
      <c r="U417" s="7">
        <v>0</v>
      </c>
      <c r="V417" s="7">
        <v>0</v>
      </c>
      <c r="W417" s="7">
        <v>0</v>
      </c>
      <c r="X417" s="7">
        <v>0</v>
      </c>
      <c r="Y417" s="7">
        <v>-720</v>
      </c>
      <c r="Z417" s="10" t="str">
        <f t="shared" si="12"/>
        <v>Piping</v>
      </c>
      <c r="AA417" s="24" t="str">
        <f t="shared" si="13"/>
        <v xml:space="preserve"> 3971. LAX People Mover</v>
      </c>
    </row>
    <row r="418" spans="1:27" x14ac:dyDescent="0.2">
      <c r="A418" s="5" t="s">
        <v>616</v>
      </c>
      <c r="B418" s="5" t="s">
        <v>613</v>
      </c>
      <c r="C418" s="5" t="s">
        <v>229</v>
      </c>
      <c r="D418" s="5" t="s">
        <v>22</v>
      </c>
      <c r="E418" s="5" t="s">
        <v>88</v>
      </c>
      <c r="F418" s="5" t="s">
        <v>18</v>
      </c>
      <c r="G418" s="5" t="s">
        <v>164</v>
      </c>
      <c r="H418" s="5"/>
      <c r="I418" s="6">
        <v>0</v>
      </c>
      <c r="J418" s="6">
        <v>0</v>
      </c>
      <c r="K418" s="6">
        <v>0</v>
      </c>
      <c r="L418" s="6">
        <v>0</v>
      </c>
      <c r="M418" s="5"/>
      <c r="N418" s="6">
        <v>14</v>
      </c>
      <c r="O418" s="6">
        <v>0</v>
      </c>
      <c r="P418" s="6">
        <v>0</v>
      </c>
      <c r="Q418" s="6">
        <v>0</v>
      </c>
      <c r="R418" s="6">
        <v>-14</v>
      </c>
      <c r="S418" s="5"/>
      <c r="T418" s="7">
        <v>1260</v>
      </c>
      <c r="U418" s="7">
        <v>0</v>
      </c>
      <c r="V418" s="7">
        <v>0</v>
      </c>
      <c r="W418" s="7">
        <v>0</v>
      </c>
      <c r="X418" s="7">
        <v>0</v>
      </c>
      <c r="Y418" s="7">
        <v>-1260</v>
      </c>
      <c r="Z418" s="10" t="str">
        <f t="shared" si="12"/>
        <v>Piping</v>
      </c>
      <c r="AA418" s="24" t="str">
        <f t="shared" si="13"/>
        <v xml:space="preserve"> 3971. LAX People Mover</v>
      </c>
    </row>
    <row r="419" spans="1:27" x14ac:dyDescent="0.2">
      <c r="A419" s="5" t="s">
        <v>617</v>
      </c>
      <c r="B419" s="5" t="s">
        <v>613</v>
      </c>
      <c r="C419" s="5" t="s">
        <v>231</v>
      </c>
      <c r="D419" s="5" t="s">
        <v>22</v>
      </c>
      <c r="E419" s="5" t="s">
        <v>88</v>
      </c>
      <c r="F419" s="5" t="s">
        <v>18</v>
      </c>
      <c r="G419" s="5" t="s">
        <v>164</v>
      </c>
      <c r="H419" s="5"/>
      <c r="I419" s="6">
        <v>0</v>
      </c>
      <c r="J419" s="6">
        <v>0</v>
      </c>
      <c r="K419" s="6">
        <v>0</v>
      </c>
      <c r="L419" s="6">
        <v>0</v>
      </c>
      <c r="M419" s="5"/>
      <c r="N419" s="6">
        <v>18</v>
      </c>
      <c r="O419" s="6">
        <v>0</v>
      </c>
      <c r="P419" s="6">
        <v>0</v>
      </c>
      <c r="Q419" s="6">
        <v>0</v>
      </c>
      <c r="R419" s="6">
        <v>-18</v>
      </c>
      <c r="S419" s="5"/>
      <c r="T419" s="7">
        <v>1620</v>
      </c>
      <c r="U419" s="7">
        <v>0</v>
      </c>
      <c r="V419" s="7">
        <v>0</v>
      </c>
      <c r="W419" s="7">
        <v>0</v>
      </c>
      <c r="X419" s="7">
        <v>0</v>
      </c>
      <c r="Y419" s="7">
        <v>-1620</v>
      </c>
      <c r="Z419" s="10" t="str">
        <f t="shared" si="12"/>
        <v>Piping</v>
      </c>
      <c r="AA419" s="24" t="str">
        <f t="shared" si="13"/>
        <v xml:space="preserve"> 3971. LAX People Mover</v>
      </c>
    </row>
    <row r="420" spans="1:27" x14ac:dyDescent="0.2">
      <c r="A420" s="5" t="s">
        <v>618</v>
      </c>
      <c r="B420" s="5" t="s">
        <v>613</v>
      </c>
      <c r="C420" s="5" t="s">
        <v>237</v>
      </c>
      <c r="D420" s="5" t="s">
        <v>22</v>
      </c>
      <c r="E420" s="5" t="s">
        <v>88</v>
      </c>
      <c r="F420" s="5" t="s">
        <v>18</v>
      </c>
      <c r="G420" s="5" t="s">
        <v>164</v>
      </c>
      <c r="H420" s="5"/>
      <c r="I420" s="6">
        <v>0</v>
      </c>
      <c r="J420" s="6">
        <v>0</v>
      </c>
      <c r="K420" s="6">
        <v>0</v>
      </c>
      <c r="L420" s="6">
        <v>0</v>
      </c>
      <c r="M420" s="5"/>
      <c r="N420" s="6">
        <v>110</v>
      </c>
      <c r="O420" s="6">
        <v>92</v>
      </c>
      <c r="P420" s="6">
        <v>110</v>
      </c>
      <c r="Q420" s="6">
        <v>18</v>
      </c>
      <c r="R420" s="6">
        <v>0</v>
      </c>
      <c r="S420" s="5"/>
      <c r="T420" s="7">
        <v>9900</v>
      </c>
      <c r="U420" s="7">
        <v>7380.97</v>
      </c>
      <c r="V420" s="7">
        <v>0</v>
      </c>
      <c r="W420" s="7">
        <v>9090.9699999999993</v>
      </c>
      <c r="X420" s="7">
        <v>1710</v>
      </c>
      <c r="Y420" s="7">
        <v>-809.03</v>
      </c>
      <c r="Z420" s="10" t="str">
        <f t="shared" si="12"/>
        <v>Piping</v>
      </c>
      <c r="AA420" s="24" t="str">
        <f t="shared" si="13"/>
        <v xml:space="preserve"> 3971. LAX People Mover</v>
      </c>
    </row>
    <row r="421" spans="1:27" x14ac:dyDescent="0.2">
      <c r="A421" s="5" t="s">
        <v>619</v>
      </c>
      <c r="B421" s="5" t="s">
        <v>613</v>
      </c>
      <c r="C421" s="5" t="s">
        <v>239</v>
      </c>
      <c r="D421" s="5" t="s">
        <v>22</v>
      </c>
      <c r="E421" s="5" t="s">
        <v>88</v>
      </c>
      <c r="F421" s="5" t="s">
        <v>18</v>
      </c>
      <c r="G421" s="5" t="s">
        <v>164</v>
      </c>
      <c r="H421" s="5"/>
      <c r="I421" s="6">
        <v>0</v>
      </c>
      <c r="J421" s="6">
        <v>0</v>
      </c>
      <c r="K421" s="6">
        <v>0</v>
      </c>
      <c r="L421" s="6">
        <v>0</v>
      </c>
      <c r="M421" s="5"/>
      <c r="N421" s="6">
        <v>16</v>
      </c>
      <c r="O421" s="6">
        <v>0</v>
      </c>
      <c r="P421" s="6">
        <v>0</v>
      </c>
      <c r="Q421" s="6">
        <v>0</v>
      </c>
      <c r="R421" s="6">
        <v>-16</v>
      </c>
      <c r="S421" s="5"/>
      <c r="T421" s="7">
        <v>1440</v>
      </c>
      <c r="U421" s="7">
        <v>0</v>
      </c>
      <c r="V421" s="7">
        <v>0</v>
      </c>
      <c r="W421" s="7">
        <v>0</v>
      </c>
      <c r="X421" s="7">
        <v>0</v>
      </c>
      <c r="Y421" s="7">
        <v>-1440</v>
      </c>
      <c r="Z421" s="10" t="str">
        <f t="shared" si="12"/>
        <v>Piping</v>
      </c>
      <c r="AA421" s="24" t="str">
        <f t="shared" si="13"/>
        <v xml:space="preserve"> 3971. LAX People Mover</v>
      </c>
    </row>
    <row r="422" spans="1:27" x14ac:dyDescent="0.2">
      <c r="A422" s="5" t="s">
        <v>620</v>
      </c>
      <c r="B422" s="5" t="s">
        <v>621</v>
      </c>
      <c r="C422" s="5" t="s">
        <v>16</v>
      </c>
      <c r="D422" s="5" t="s">
        <v>22</v>
      </c>
      <c r="E422" s="5" t="s">
        <v>88</v>
      </c>
      <c r="F422" s="5" t="s">
        <v>18</v>
      </c>
      <c r="G422" s="5" t="s">
        <v>164</v>
      </c>
      <c r="H422" s="5"/>
      <c r="I422" s="6">
        <v>0</v>
      </c>
      <c r="J422" s="6">
        <v>0</v>
      </c>
      <c r="K422" s="6">
        <v>0</v>
      </c>
      <c r="L422" s="6">
        <v>0</v>
      </c>
      <c r="M422" s="5"/>
      <c r="N422" s="6">
        <v>0</v>
      </c>
      <c r="O422" s="6">
        <v>196</v>
      </c>
      <c r="P422" s="6">
        <v>196</v>
      </c>
      <c r="Q422" s="6">
        <v>0</v>
      </c>
      <c r="R422" s="6">
        <v>196</v>
      </c>
      <c r="S422" s="5"/>
      <c r="T422" s="7">
        <v>0</v>
      </c>
      <c r="U422" s="7">
        <v>16833.78</v>
      </c>
      <c r="V422" s="7">
        <v>0</v>
      </c>
      <c r="W422" s="7">
        <v>16833.78</v>
      </c>
      <c r="X422" s="7">
        <v>0</v>
      </c>
      <c r="Y422" s="7">
        <v>16833.78</v>
      </c>
      <c r="Z422" s="10" t="str">
        <f t="shared" si="12"/>
        <v>Piping</v>
      </c>
      <c r="AA422" s="24" t="str">
        <f t="shared" si="13"/>
        <v xml:space="preserve"> 3971. LAX People Mover</v>
      </c>
    </row>
    <row r="423" spans="1:27" x14ac:dyDescent="0.2">
      <c r="A423" s="5" t="s">
        <v>622</v>
      </c>
      <c r="B423" s="5" t="s">
        <v>623</v>
      </c>
      <c r="C423" s="5" t="s">
        <v>225</v>
      </c>
      <c r="D423" s="5" t="s">
        <v>22</v>
      </c>
      <c r="E423" s="5" t="s">
        <v>88</v>
      </c>
      <c r="F423" s="5" t="s">
        <v>18</v>
      </c>
      <c r="G423" s="5" t="s">
        <v>164</v>
      </c>
      <c r="H423" s="5"/>
      <c r="I423" s="6">
        <v>0</v>
      </c>
      <c r="J423" s="6">
        <v>0</v>
      </c>
      <c r="K423" s="6">
        <v>0</v>
      </c>
      <c r="L423" s="6">
        <v>0</v>
      </c>
      <c r="M423" s="5"/>
      <c r="N423" s="6">
        <v>140</v>
      </c>
      <c r="O423" s="6">
        <v>305</v>
      </c>
      <c r="P423" s="6">
        <v>305</v>
      </c>
      <c r="Q423" s="6">
        <v>0</v>
      </c>
      <c r="R423" s="6">
        <v>165</v>
      </c>
      <c r="S423" s="5"/>
      <c r="T423" s="7">
        <v>12600</v>
      </c>
      <c r="U423" s="7">
        <v>24596.15</v>
      </c>
      <c r="V423" s="7">
        <v>0</v>
      </c>
      <c r="W423" s="7">
        <v>24596.15</v>
      </c>
      <c r="X423" s="7">
        <v>0</v>
      </c>
      <c r="Y423" s="7">
        <v>11996.15</v>
      </c>
      <c r="Z423" s="10" t="str">
        <f t="shared" si="12"/>
        <v>Piping</v>
      </c>
      <c r="AA423" s="24" t="str">
        <f t="shared" si="13"/>
        <v xml:space="preserve"> 3971. LAX People Mover</v>
      </c>
    </row>
    <row r="424" spans="1:27" x14ac:dyDescent="0.2">
      <c r="A424" s="5" t="s">
        <v>624</v>
      </c>
      <c r="B424" s="5" t="s">
        <v>623</v>
      </c>
      <c r="C424" s="5" t="s">
        <v>227</v>
      </c>
      <c r="D424" s="5" t="s">
        <v>22</v>
      </c>
      <c r="E424" s="5" t="s">
        <v>88</v>
      </c>
      <c r="F424" s="5" t="s">
        <v>18</v>
      </c>
      <c r="G424" s="5" t="s">
        <v>164</v>
      </c>
      <c r="H424" s="5"/>
      <c r="I424" s="6">
        <v>0</v>
      </c>
      <c r="J424" s="6">
        <v>0</v>
      </c>
      <c r="K424" s="6">
        <v>0</v>
      </c>
      <c r="L424" s="6">
        <v>0</v>
      </c>
      <c r="M424" s="5"/>
      <c r="N424" s="6">
        <v>24</v>
      </c>
      <c r="O424" s="6">
        <v>18</v>
      </c>
      <c r="P424" s="6">
        <v>18</v>
      </c>
      <c r="Q424" s="6">
        <v>0</v>
      </c>
      <c r="R424" s="6">
        <v>-6</v>
      </c>
      <c r="S424" s="5"/>
      <c r="T424" s="7">
        <v>2160</v>
      </c>
      <c r="U424" s="7">
        <v>1746.68</v>
      </c>
      <c r="V424" s="7">
        <v>0</v>
      </c>
      <c r="W424" s="7">
        <v>1746.68</v>
      </c>
      <c r="X424" s="7">
        <v>0</v>
      </c>
      <c r="Y424" s="7">
        <v>-413.32</v>
      </c>
      <c r="Z424" s="10" t="str">
        <f t="shared" si="12"/>
        <v>Piping</v>
      </c>
      <c r="AA424" s="24" t="str">
        <f t="shared" si="13"/>
        <v xml:space="preserve"> 3971. LAX People Mover</v>
      </c>
    </row>
    <row r="425" spans="1:27" x14ac:dyDescent="0.2">
      <c r="A425" s="5" t="s">
        <v>625</v>
      </c>
      <c r="B425" s="5" t="s">
        <v>623</v>
      </c>
      <c r="C425" s="5" t="s">
        <v>245</v>
      </c>
      <c r="D425" s="5" t="s">
        <v>22</v>
      </c>
      <c r="E425" s="5" t="s">
        <v>88</v>
      </c>
      <c r="F425" s="5" t="s">
        <v>18</v>
      </c>
      <c r="G425" s="5" t="s">
        <v>164</v>
      </c>
      <c r="H425" s="5"/>
      <c r="I425" s="6">
        <v>0</v>
      </c>
      <c r="J425" s="6">
        <v>0</v>
      </c>
      <c r="K425" s="6">
        <v>0</v>
      </c>
      <c r="L425" s="6">
        <v>0</v>
      </c>
      <c r="M425" s="5"/>
      <c r="N425" s="6">
        <v>10</v>
      </c>
      <c r="O425" s="6">
        <v>38</v>
      </c>
      <c r="P425" s="6">
        <v>38</v>
      </c>
      <c r="Q425" s="6">
        <v>0</v>
      </c>
      <c r="R425" s="6">
        <v>28</v>
      </c>
      <c r="S425" s="5"/>
      <c r="T425" s="7">
        <v>900</v>
      </c>
      <c r="U425" s="7">
        <v>2511.4499999999998</v>
      </c>
      <c r="V425" s="7">
        <v>0</v>
      </c>
      <c r="W425" s="7">
        <v>2511.4499999999998</v>
      </c>
      <c r="X425" s="7">
        <v>0</v>
      </c>
      <c r="Y425" s="7">
        <v>1611.45</v>
      </c>
      <c r="Z425" s="10" t="str">
        <f t="shared" si="12"/>
        <v>Piping</v>
      </c>
      <c r="AA425" s="24" t="str">
        <f t="shared" si="13"/>
        <v xml:space="preserve"> 3971. LAX People Mover</v>
      </c>
    </row>
    <row r="426" spans="1:27" x14ac:dyDescent="0.2">
      <c r="A426" s="5" t="s">
        <v>626</v>
      </c>
      <c r="B426" s="5" t="s">
        <v>623</v>
      </c>
      <c r="C426" s="5" t="s">
        <v>229</v>
      </c>
      <c r="D426" s="5" t="s">
        <v>22</v>
      </c>
      <c r="E426" s="5" t="s">
        <v>88</v>
      </c>
      <c r="F426" s="5" t="s">
        <v>18</v>
      </c>
      <c r="G426" s="5" t="s">
        <v>164</v>
      </c>
      <c r="H426" s="5"/>
      <c r="I426" s="6">
        <v>0</v>
      </c>
      <c r="J426" s="6">
        <v>0</v>
      </c>
      <c r="K426" s="6">
        <v>0</v>
      </c>
      <c r="L426" s="6">
        <v>0</v>
      </c>
      <c r="M426" s="5"/>
      <c r="N426" s="6">
        <v>18</v>
      </c>
      <c r="O426" s="6">
        <v>16</v>
      </c>
      <c r="P426" s="6">
        <v>24</v>
      </c>
      <c r="Q426" s="6">
        <v>8</v>
      </c>
      <c r="R426" s="6">
        <v>6</v>
      </c>
      <c r="S426" s="5"/>
      <c r="T426" s="7">
        <v>1620</v>
      </c>
      <c r="U426" s="7">
        <v>1373.47</v>
      </c>
      <c r="V426" s="7">
        <v>0</v>
      </c>
      <c r="W426" s="7">
        <v>2060.21</v>
      </c>
      <c r="X426" s="7">
        <v>686.74</v>
      </c>
      <c r="Y426" s="7">
        <v>440.21</v>
      </c>
      <c r="Z426" s="10" t="str">
        <f t="shared" si="12"/>
        <v>Piping</v>
      </c>
      <c r="AA426" s="24" t="str">
        <f t="shared" si="13"/>
        <v xml:space="preserve"> 3971. LAX People Mover</v>
      </c>
    </row>
    <row r="427" spans="1:27" x14ac:dyDescent="0.2">
      <c r="A427" s="5" t="s">
        <v>627</v>
      </c>
      <c r="B427" s="5" t="s">
        <v>623</v>
      </c>
      <c r="C427" s="5" t="s">
        <v>231</v>
      </c>
      <c r="D427" s="5" t="s">
        <v>22</v>
      </c>
      <c r="E427" s="5" t="s">
        <v>88</v>
      </c>
      <c r="F427" s="5" t="s">
        <v>18</v>
      </c>
      <c r="G427" s="5" t="s">
        <v>164</v>
      </c>
      <c r="H427" s="5"/>
      <c r="I427" s="6">
        <v>0</v>
      </c>
      <c r="J427" s="6">
        <v>0</v>
      </c>
      <c r="K427" s="6">
        <v>0</v>
      </c>
      <c r="L427" s="6">
        <v>0</v>
      </c>
      <c r="M427" s="5"/>
      <c r="N427" s="6">
        <v>25</v>
      </c>
      <c r="O427" s="6">
        <v>24</v>
      </c>
      <c r="P427" s="6">
        <v>24</v>
      </c>
      <c r="Q427" s="6">
        <v>0</v>
      </c>
      <c r="R427" s="6">
        <v>-1</v>
      </c>
      <c r="S427" s="5"/>
      <c r="T427" s="7">
        <v>2250</v>
      </c>
      <c r="U427" s="7">
        <v>2323.83</v>
      </c>
      <c r="V427" s="7">
        <v>0</v>
      </c>
      <c r="W427" s="7">
        <v>2323.83</v>
      </c>
      <c r="X427" s="7">
        <v>0</v>
      </c>
      <c r="Y427" s="7">
        <v>73.83</v>
      </c>
      <c r="Z427" s="10" t="str">
        <f t="shared" si="12"/>
        <v>Piping</v>
      </c>
      <c r="AA427" s="24" t="str">
        <f t="shared" si="13"/>
        <v xml:space="preserve"> 3971. LAX People Mover</v>
      </c>
    </row>
    <row r="428" spans="1:27" x14ac:dyDescent="0.2">
      <c r="A428" s="5" t="s">
        <v>628</v>
      </c>
      <c r="B428" s="5" t="s">
        <v>623</v>
      </c>
      <c r="C428" s="5" t="s">
        <v>237</v>
      </c>
      <c r="D428" s="5" t="s">
        <v>22</v>
      </c>
      <c r="E428" s="5" t="s">
        <v>88</v>
      </c>
      <c r="F428" s="5" t="s">
        <v>18</v>
      </c>
      <c r="G428" s="5" t="s">
        <v>164</v>
      </c>
      <c r="H428" s="5"/>
      <c r="I428" s="6">
        <v>0</v>
      </c>
      <c r="J428" s="6">
        <v>0</v>
      </c>
      <c r="K428" s="6">
        <v>0</v>
      </c>
      <c r="L428" s="6">
        <v>0</v>
      </c>
      <c r="M428" s="5"/>
      <c r="N428" s="6">
        <v>152</v>
      </c>
      <c r="O428" s="6">
        <v>196</v>
      </c>
      <c r="P428" s="6">
        <v>212</v>
      </c>
      <c r="Q428" s="6">
        <v>16</v>
      </c>
      <c r="R428" s="6">
        <v>60</v>
      </c>
      <c r="S428" s="5"/>
      <c r="T428" s="7">
        <v>13680</v>
      </c>
      <c r="U428" s="7">
        <v>14562.76</v>
      </c>
      <c r="V428" s="7">
        <v>0</v>
      </c>
      <c r="W428" s="7">
        <v>16082.76</v>
      </c>
      <c r="X428" s="7">
        <v>1520</v>
      </c>
      <c r="Y428" s="7">
        <v>2402.7600000000002</v>
      </c>
      <c r="Z428" s="10" t="str">
        <f t="shared" si="12"/>
        <v>Piping</v>
      </c>
      <c r="AA428" s="24" t="str">
        <f t="shared" si="13"/>
        <v xml:space="preserve"> 3971. LAX People Mover</v>
      </c>
    </row>
    <row r="429" spans="1:27" x14ac:dyDescent="0.2">
      <c r="A429" s="5" t="s">
        <v>629</v>
      </c>
      <c r="B429" s="5" t="s">
        <v>623</v>
      </c>
      <c r="C429" s="5" t="s">
        <v>239</v>
      </c>
      <c r="D429" s="5" t="s">
        <v>22</v>
      </c>
      <c r="E429" s="5" t="s">
        <v>88</v>
      </c>
      <c r="F429" s="5" t="s">
        <v>18</v>
      </c>
      <c r="G429" s="5" t="s">
        <v>164</v>
      </c>
      <c r="H429" s="5"/>
      <c r="I429" s="6">
        <v>0</v>
      </c>
      <c r="J429" s="6">
        <v>0</v>
      </c>
      <c r="K429" s="6">
        <v>0</v>
      </c>
      <c r="L429" s="6">
        <v>0</v>
      </c>
      <c r="M429" s="5"/>
      <c r="N429" s="6">
        <v>22</v>
      </c>
      <c r="O429" s="6">
        <v>32</v>
      </c>
      <c r="P429" s="6">
        <v>32</v>
      </c>
      <c r="Q429" s="6">
        <v>0</v>
      </c>
      <c r="R429" s="6">
        <v>10</v>
      </c>
      <c r="S429" s="5"/>
      <c r="T429" s="7">
        <v>1980</v>
      </c>
      <c r="U429" s="7">
        <v>3037.22</v>
      </c>
      <c r="V429" s="7">
        <v>0</v>
      </c>
      <c r="W429" s="7">
        <v>3037.22</v>
      </c>
      <c r="X429" s="7">
        <v>0</v>
      </c>
      <c r="Y429" s="7">
        <v>1057.22</v>
      </c>
      <c r="Z429" s="10" t="str">
        <f t="shared" si="12"/>
        <v>Piping</v>
      </c>
      <c r="AA429" s="24" t="str">
        <f t="shared" si="13"/>
        <v xml:space="preserve"> 3971. LAX People Mover</v>
      </c>
    </row>
    <row r="430" spans="1:27" x14ac:dyDescent="0.2">
      <c r="A430" s="5" t="s">
        <v>630</v>
      </c>
      <c r="B430" s="5" t="s">
        <v>631</v>
      </c>
      <c r="C430" s="5" t="s">
        <v>16</v>
      </c>
      <c r="D430" s="5" t="s">
        <v>22</v>
      </c>
      <c r="E430" s="5" t="s">
        <v>88</v>
      </c>
      <c r="F430" s="5" t="s">
        <v>18</v>
      </c>
      <c r="G430" s="5" t="s">
        <v>164</v>
      </c>
      <c r="H430" s="5"/>
      <c r="I430" s="6">
        <v>0</v>
      </c>
      <c r="J430" s="6">
        <v>0</v>
      </c>
      <c r="K430" s="6">
        <v>0</v>
      </c>
      <c r="L430" s="6">
        <v>0</v>
      </c>
      <c r="M430" s="5"/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5"/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10" t="str">
        <f t="shared" si="12"/>
        <v>Piping</v>
      </c>
      <c r="AA430" s="24" t="str">
        <f t="shared" si="13"/>
        <v xml:space="preserve"> 3971. LAX People Mover</v>
      </c>
    </row>
    <row r="431" spans="1:27" x14ac:dyDescent="0.2">
      <c r="A431" s="5" t="s">
        <v>632</v>
      </c>
      <c r="B431" s="5" t="s">
        <v>633</v>
      </c>
      <c r="C431" s="5" t="s">
        <v>16</v>
      </c>
      <c r="D431" s="5" t="s">
        <v>22</v>
      </c>
      <c r="E431" s="5" t="s">
        <v>88</v>
      </c>
      <c r="F431" s="5" t="s">
        <v>18</v>
      </c>
      <c r="G431" s="5" t="s">
        <v>164</v>
      </c>
      <c r="H431" s="5"/>
      <c r="I431" s="6">
        <v>0</v>
      </c>
      <c r="J431" s="6">
        <v>0</v>
      </c>
      <c r="K431" s="6">
        <v>0</v>
      </c>
      <c r="L431" s="6">
        <v>0</v>
      </c>
      <c r="M431" s="5"/>
      <c r="N431" s="6">
        <v>873</v>
      </c>
      <c r="O431" s="6">
        <v>554</v>
      </c>
      <c r="P431" s="6">
        <v>578</v>
      </c>
      <c r="Q431" s="6">
        <v>24</v>
      </c>
      <c r="R431" s="6">
        <v>-295</v>
      </c>
      <c r="S431" s="5"/>
      <c r="T431" s="7">
        <v>78570</v>
      </c>
      <c r="U431" s="7">
        <v>43816.06</v>
      </c>
      <c r="V431" s="7">
        <v>0</v>
      </c>
      <c r="W431" s="7">
        <v>46096.06</v>
      </c>
      <c r="X431" s="7">
        <v>2280</v>
      </c>
      <c r="Y431" s="7">
        <v>-32473.94</v>
      </c>
      <c r="Z431" s="10" t="str">
        <f t="shared" si="12"/>
        <v>Piping</v>
      </c>
      <c r="AA431" s="24" t="str">
        <f t="shared" si="13"/>
        <v xml:space="preserve"> 3971. LAX People Mover</v>
      </c>
    </row>
    <row r="432" spans="1:27" x14ac:dyDescent="0.2">
      <c r="A432" s="5" t="s">
        <v>634</v>
      </c>
      <c r="B432" s="5" t="s">
        <v>635</v>
      </c>
      <c r="C432" s="5" t="s">
        <v>16</v>
      </c>
      <c r="D432" s="5" t="s">
        <v>22</v>
      </c>
      <c r="E432" s="5" t="s">
        <v>88</v>
      </c>
      <c r="F432" s="5" t="s">
        <v>18</v>
      </c>
      <c r="G432" s="5" t="s">
        <v>164</v>
      </c>
      <c r="H432" s="5"/>
      <c r="I432" s="6">
        <v>0</v>
      </c>
      <c r="J432" s="6">
        <v>0</v>
      </c>
      <c r="K432" s="6">
        <v>0</v>
      </c>
      <c r="L432" s="6">
        <v>0</v>
      </c>
      <c r="M432" s="5"/>
      <c r="N432" s="6">
        <v>223</v>
      </c>
      <c r="O432" s="6">
        <v>296</v>
      </c>
      <c r="P432" s="6">
        <v>376</v>
      </c>
      <c r="Q432" s="6">
        <v>80</v>
      </c>
      <c r="R432" s="6">
        <v>153</v>
      </c>
      <c r="S432" s="5"/>
      <c r="T432" s="7">
        <v>20070</v>
      </c>
      <c r="U432" s="7">
        <v>22081.34</v>
      </c>
      <c r="V432" s="7">
        <v>0</v>
      </c>
      <c r="W432" s="7">
        <v>30081.34</v>
      </c>
      <c r="X432" s="7">
        <v>8000</v>
      </c>
      <c r="Y432" s="7">
        <v>10011.34</v>
      </c>
      <c r="Z432" s="10" t="str">
        <f t="shared" si="12"/>
        <v>Piping</v>
      </c>
      <c r="AA432" s="24" t="str">
        <f t="shared" si="13"/>
        <v xml:space="preserve"> 3971. LAX People Mover</v>
      </c>
    </row>
    <row r="433" spans="1:27" x14ac:dyDescent="0.2">
      <c r="A433" s="5" t="s">
        <v>636</v>
      </c>
      <c r="B433" s="5" t="s">
        <v>637</v>
      </c>
      <c r="C433" s="5" t="s">
        <v>16</v>
      </c>
      <c r="D433" s="5" t="s">
        <v>22</v>
      </c>
      <c r="E433" s="5" t="s">
        <v>88</v>
      </c>
      <c r="F433" s="5" t="s">
        <v>18</v>
      </c>
      <c r="G433" s="5" t="s">
        <v>164</v>
      </c>
      <c r="H433" s="5"/>
      <c r="I433" s="6">
        <v>0</v>
      </c>
      <c r="J433" s="6">
        <v>0</v>
      </c>
      <c r="K433" s="6">
        <v>0</v>
      </c>
      <c r="L433" s="6">
        <v>0</v>
      </c>
      <c r="M433" s="5"/>
      <c r="N433" s="6">
        <v>349</v>
      </c>
      <c r="O433" s="6">
        <v>1056.5</v>
      </c>
      <c r="P433" s="6">
        <v>1056.5</v>
      </c>
      <c r="Q433" s="6">
        <v>0</v>
      </c>
      <c r="R433" s="6">
        <v>707.5</v>
      </c>
      <c r="S433" s="5"/>
      <c r="T433" s="7">
        <v>31410</v>
      </c>
      <c r="U433" s="7">
        <v>74772.94</v>
      </c>
      <c r="V433" s="7">
        <v>0</v>
      </c>
      <c r="W433" s="7">
        <v>74772.94</v>
      </c>
      <c r="X433" s="7">
        <v>0</v>
      </c>
      <c r="Y433" s="7">
        <v>43362.94</v>
      </c>
      <c r="Z433" s="10" t="str">
        <f t="shared" si="12"/>
        <v>Piping</v>
      </c>
      <c r="AA433" s="24" t="str">
        <f t="shared" si="13"/>
        <v xml:space="preserve"> 3971. LAX People Mover</v>
      </c>
    </row>
    <row r="434" spans="1:27" x14ac:dyDescent="0.2">
      <c r="A434" s="5" t="s">
        <v>638</v>
      </c>
      <c r="B434" s="5" t="s">
        <v>639</v>
      </c>
      <c r="C434" s="5" t="s">
        <v>225</v>
      </c>
      <c r="D434" s="5" t="s">
        <v>523</v>
      </c>
      <c r="E434" s="5" t="s">
        <v>88</v>
      </c>
      <c r="F434" s="5" t="s">
        <v>18</v>
      </c>
      <c r="G434" s="5" t="s">
        <v>164</v>
      </c>
      <c r="H434" s="5"/>
      <c r="I434" s="6">
        <v>0</v>
      </c>
      <c r="J434" s="6">
        <v>0</v>
      </c>
      <c r="K434" s="6">
        <v>0</v>
      </c>
      <c r="L434" s="6">
        <v>0</v>
      </c>
      <c r="M434" s="5"/>
      <c r="N434" s="6">
        <v>240</v>
      </c>
      <c r="O434" s="6">
        <v>141</v>
      </c>
      <c r="P434" s="6">
        <v>141</v>
      </c>
      <c r="Q434" s="6">
        <v>0</v>
      </c>
      <c r="R434" s="6">
        <v>-99</v>
      </c>
      <c r="S434" s="5"/>
      <c r="T434" s="7">
        <v>21600</v>
      </c>
      <c r="U434" s="7">
        <v>12089.27</v>
      </c>
      <c r="V434" s="7">
        <v>0</v>
      </c>
      <c r="W434" s="7">
        <v>12089.27</v>
      </c>
      <c r="X434" s="7">
        <v>0</v>
      </c>
      <c r="Y434" s="7">
        <v>-9510.73</v>
      </c>
      <c r="Z434" s="10" t="str">
        <f t="shared" si="12"/>
        <v>Piping</v>
      </c>
      <c r="AA434" s="24" t="str">
        <f t="shared" si="13"/>
        <v xml:space="preserve"> 3971. LAX People Mover</v>
      </c>
    </row>
    <row r="435" spans="1:27" x14ac:dyDescent="0.2">
      <c r="A435" s="5" t="s">
        <v>640</v>
      </c>
      <c r="B435" s="5" t="s">
        <v>639</v>
      </c>
      <c r="C435" s="5" t="s">
        <v>227</v>
      </c>
      <c r="D435" s="5" t="s">
        <v>523</v>
      </c>
      <c r="E435" s="5" t="s">
        <v>88</v>
      </c>
      <c r="F435" s="5" t="s">
        <v>18</v>
      </c>
      <c r="G435" s="5" t="s">
        <v>164</v>
      </c>
      <c r="H435" s="5"/>
      <c r="I435" s="6">
        <v>0</v>
      </c>
      <c r="J435" s="6">
        <v>0</v>
      </c>
      <c r="K435" s="6">
        <v>0</v>
      </c>
      <c r="L435" s="6">
        <v>0</v>
      </c>
      <c r="M435" s="5"/>
      <c r="N435" s="6">
        <v>60</v>
      </c>
      <c r="O435" s="6">
        <v>36</v>
      </c>
      <c r="P435" s="6">
        <v>36</v>
      </c>
      <c r="Q435" s="6">
        <v>0</v>
      </c>
      <c r="R435" s="6">
        <v>-24</v>
      </c>
      <c r="S435" s="5"/>
      <c r="T435" s="7">
        <v>5400</v>
      </c>
      <c r="U435" s="7">
        <v>2196.96</v>
      </c>
      <c r="V435" s="7">
        <v>0</v>
      </c>
      <c r="W435" s="7">
        <v>2196.96</v>
      </c>
      <c r="X435" s="7">
        <v>0</v>
      </c>
      <c r="Y435" s="7">
        <v>-3203.04</v>
      </c>
      <c r="Z435" s="10" t="str">
        <f t="shared" si="12"/>
        <v>Piping</v>
      </c>
      <c r="AA435" s="24" t="str">
        <f t="shared" si="13"/>
        <v xml:space="preserve"> 3971. LAX People Mover</v>
      </c>
    </row>
    <row r="436" spans="1:27" x14ac:dyDescent="0.2">
      <c r="A436" s="5" t="s">
        <v>641</v>
      </c>
      <c r="B436" s="5" t="s">
        <v>639</v>
      </c>
      <c r="C436" s="5" t="s">
        <v>229</v>
      </c>
      <c r="D436" s="5" t="s">
        <v>523</v>
      </c>
      <c r="E436" s="5" t="s">
        <v>88</v>
      </c>
      <c r="F436" s="5" t="s">
        <v>18</v>
      </c>
      <c r="G436" s="5" t="s">
        <v>164</v>
      </c>
      <c r="H436" s="5"/>
      <c r="I436" s="6">
        <v>0</v>
      </c>
      <c r="J436" s="6">
        <v>0</v>
      </c>
      <c r="K436" s="6">
        <v>0</v>
      </c>
      <c r="L436" s="6">
        <v>0</v>
      </c>
      <c r="M436" s="5"/>
      <c r="N436" s="6">
        <v>40</v>
      </c>
      <c r="O436" s="6">
        <v>0</v>
      </c>
      <c r="P436" s="6">
        <v>0</v>
      </c>
      <c r="Q436" s="6">
        <v>0</v>
      </c>
      <c r="R436" s="6">
        <v>-40</v>
      </c>
      <c r="S436" s="5"/>
      <c r="T436" s="7">
        <v>3600</v>
      </c>
      <c r="U436" s="7">
        <v>0</v>
      </c>
      <c r="V436" s="7">
        <v>0</v>
      </c>
      <c r="W436" s="7">
        <v>0</v>
      </c>
      <c r="X436" s="7">
        <v>0</v>
      </c>
      <c r="Y436" s="7">
        <v>-3600</v>
      </c>
      <c r="Z436" s="10" t="str">
        <f t="shared" si="12"/>
        <v>Piping</v>
      </c>
      <c r="AA436" s="24" t="str">
        <f t="shared" si="13"/>
        <v xml:space="preserve"> 3971. LAX People Mover</v>
      </c>
    </row>
    <row r="437" spans="1:27" x14ac:dyDescent="0.2">
      <c r="A437" s="5" t="s">
        <v>642</v>
      </c>
      <c r="B437" s="5" t="s">
        <v>639</v>
      </c>
      <c r="C437" s="5" t="s">
        <v>231</v>
      </c>
      <c r="D437" s="5" t="s">
        <v>523</v>
      </c>
      <c r="E437" s="5" t="s">
        <v>88</v>
      </c>
      <c r="F437" s="5" t="s">
        <v>18</v>
      </c>
      <c r="G437" s="5" t="s">
        <v>164</v>
      </c>
      <c r="H437" s="5"/>
      <c r="I437" s="6">
        <v>0</v>
      </c>
      <c r="J437" s="6">
        <v>0</v>
      </c>
      <c r="K437" s="6">
        <v>0</v>
      </c>
      <c r="L437" s="6">
        <v>0</v>
      </c>
      <c r="M437" s="5"/>
      <c r="N437" s="6">
        <v>40</v>
      </c>
      <c r="O437" s="6">
        <v>0</v>
      </c>
      <c r="P437" s="6">
        <v>0</v>
      </c>
      <c r="Q437" s="6">
        <v>0</v>
      </c>
      <c r="R437" s="6">
        <v>-40</v>
      </c>
      <c r="S437" s="5"/>
      <c r="T437" s="7">
        <v>3600</v>
      </c>
      <c r="U437" s="7">
        <v>0</v>
      </c>
      <c r="V437" s="7">
        <v>0</v>
      </c>
      <c r="W437" s="7">
        <v>0</v>
      </c>
      <c r="X437" s="7">
        <v>0</v>
      </c>
      <c r="Y437" s="7">
        <v>-3600</v>
      </c>
      <c r="Z437" s="10" t="str">
        <f t="shared" si="12"/>
        <v>Piping</v>
      </c>
      <c r="AA437" s="24" t="str">
        <f t="shared" si="13"/>
        <v xml:space="preserve"> 3971. LAX People Mover</v>
      </c>
    </row>
    <row r="438" spans="1:27" x14ac:dyDescent="0.2">
      <c r="A438" s="5" t="s">
        <v>643</v>
      </c>
      <c r="B438" s="5" t="s">
        <v>639</v>
      </c>
      <c r="C438" s="5" t="s">
        <v>233</v>
      </c>
      <c r="D438" s="5" t="s">
        <v>523</v>
      </c>
      <c r="E438" s="5" t="s">
        <v>88</v>
      </c>
      <c r="F438" s="5" t="s">
        <v>18</v>
      </c>
      <c r="G438" s="5" t="s">
        <v>164</v>
      </c>
      <c r="H438" s="5"/>
      <c r="I438" s="6">
        <v>0</v>
      </c>
      <c r="J438" s="6">
        <v>0</v>
      </c>
      <c r="K438" s="6">
        <v>0</v>
      </c>
      <c r="L438" s="6">
        <v>0</v>
      </c>
      <c r="M438" s="5"/>
      <c r="N438" s="6">
        <v>20</v>
      </c>
      <c r="O438" s="6">
        <v>0</v>
      </c>
      <c r="P438" s="6">
        <v>0</v>
      </c>
      <c r="Q438" s="6">
        <v>0</v>
      </c>
      <c r="R438" s="6">
        <v>-20</v>
      </c>
      <c r="S438" s="5"/>
      <c r="T438" s="7">
        <v>1800</v>
      </c>
      <c r="U438" s="7">
        <v>0</v>
      </c>
      <c r="V438" s="7">
        <v>0</v>
      </c>
      <c r="W438" s="7">
        <v>0</v>
      </c>
      <c r="X438" s="7">
        <v>0</v>
      </c>
      <c r="Y438" s="7">
        <v>-1800</v>
      </c>
      <c r="Z438" s="10" t="str">
        <f t="shared" si="12"/>
        <v>Piping</v>
      </c>
      <c r="AA438" s="24" t="str">
        <f t="shared" si="13"/>
        <v xml:space="preserve"> 3971. LAX People Mover</v>
      </c>
    </row>
    <row r="439" spans="1:27" x14ac:dyDescent="0.2">
      <c r="A439" s="5" t="s">
        <v>644</v>
      </c>
      <c r="B439" s="5" t="s">
        <v>639</v>
      </c>
      <c r="C439" s="5" t="s">
        <v>235</v>
      </c>
      <c r="D439" s="5" t="s">
        <v>523</v>
      </c>
      <c r="E439" s="5" t="s">
        <v>88</v>
      </c>
      <c r="F439" s="5" t="s">
        <v>18</v>
      </c>
      <c r="G439" s="5" t="s">
        <v>164</v>
      </c>
      <c r="H439" s="5"/>
      <c r="I439" s="6">
        <v>0</v>
      </c>
      <c r="J439" s="6">
        <v>0</v>
      </c>
      <c r="K439" s="6">
        <v>0</v>
      </c>
      <c r="L439" s="6">
        <v>0</v>
      </c>
      <c r="M439" s="5"/>
      <c r="N439" s="6">
        <v>20</v>
      </c>
      <c r="O439" s="6">
        <v>0</v>
      </c>
      <c r="P439" s="6">
        <v>0</v>
      </c>
      <c r="Q439" s="6">
        <v>0</v>
      </c>
      <c r="R439" s="6">
        <v>-20</v>
      </c>
      <c r="S439" s="5"/>
      <c r="T439" s="7">
        <v>1800</v>
      </c>
      <c r="U439" s="7">
        <v>0</v>
      </c>
      <c r="V439" s="7">
        <v>0</v>
      </c>
      <c r="W439" s="7">
        <v>0</v>
      </c>
      <c r="X439" s="7">
        <v>0</v>
      </c>
      <c r="Y439" s="7">
        <v>-1800</v>
      </c>
      <c r="Z439" s="10" t="str">
        <f t="shared" si="12"/>
        <v>Piping</v>
      </c>
      <c r="AA439" s="24" t="str">
        <f t="shared" si="13"/>
        <v xml:space="preserve"> 3971. LAX People Mover</v>
      </c>
    </row>
    <row r="440" spans="1:27" x14ac:dyDescent="0.2">
      <c r="A440" s="5" t="s">
        <v>645</v>
      </c>
      <c r="B440" s="5" t="s">
        <v>639</v>
      </c>
      <c r="C440" s="5" t="s">
        <v>237</v>
      </c>
      <c r="D440" s="5" t="s">
        <v>523</v>
      </c>
      <c r="E440" s="5" t="s">
        <v>88</v>
      </c>
      <c r="F440" s="5" t="s">
        <v>18</v>
      </c>
      <c r="G440" s="5" t="s">
        <v>164</v>
      </c>
      <c r="H440" s="5"/>
      <c r="I440" s="6">
        <v>0</v>
      </c>
      <c r="J440" s="6">
        <v>0</v>
      </c>
      <c r="K440" s="6">
        <v>0</v>
      </c>
      <c r="L440" s="6">
        <v>0</v>
      </c>
      <c r="M440" s="5"/>
      <c r="N440" s="6">
        <v>300</v>
      </c>
      <c r="O440" s="6">
        <v>141</v>
      </c>
      <c r="P440" s="6">
        <v>141</v>
      </c>
      <c r="Q440" s="6">
        <v>0</v>
      </c>
      <c r="R440" s="6">
        <v>-159</v>
      </c>
      <c r="S440" s="5"/>
      <c r="T440" s="7">
        <v>27000</v>
      </c>
      <c r="U440" s="7">
        <v>9683.68</v>
      </c>
      <c r="V440" s="7">
        <v>0</v>
      </c>
      <c r="W440" s="7">
        <v>9683.68</v>
      </c>
      <c r="X440" s="7">
        <v>0</v>
      </c>
      <c r="Y440" s="7">
        <v>-17316.32</v>
      </c>
      <c r="Z440" s="10" t="str">
        <f t="shared" si="12"/>
        <v>Piping</v>
      </c>
      <c r="AA440" s="24" t="str">
        <f t="shared" si="13"/>
        <v xml:space="preserve"> 3971. LAX People Mover</v>
      </c>
    </row>
    <row r="441" spans="1:27" x14ac:dyDescent="0.2">
      <c r="A441" s="5" t="s">
        <v>646</v>
      </c>
      <c r="B441" s="5" t="s">
        <v>647</v>
      </c>
      <c r="C441" s="5" t="s">
        <v>340</v>
      </c>
      <c r="D441" s="5" t="s">
        <v>46</v>
      </c>
      <c r="E441" s="5" t="s">
        <v>88</v>
      </c>
      <c r="F441" s="5" t="s">
        <v>18</v>
      </c>
      <c r="G441" s="5" t="s">
        <v>139</v>
      </c>
      <c r="H441" s="5"/>
      <c r="I441" s="6">
        <v>0</v>
      </c>
      <c r="J441" s="6">
        <v>0</v>
      </c>
      <c r="K441" s="6">
        <v>0</v>
      </c>
      <c r="L441" s="6">
        <v>0</v>
      </c>
      <c r="M441" s="5"/>
      <c r="N441" s="6">
        <v>530</v>
      </c>
      <c r="O441" s="6">
        <v>1331</v>
      </c>
      <c r="P441" s="6">
        <v>1385</v>
      </c>
      <c r="Q441" s="6">
        <v>54</v>
      </c>
      <c r="R441" s="6">
        <v>855</v>
      </c>
      <c r="S441" s="5"/>
      <c r="T441" s="7">
        <v>57833.599999999999</v>
      </c>
      <c r="U441" s="7">
        <v>134654.07999999999</v>
      </c>
      <c r="V441" s="7">
        <v>0</v>
      </c>
      <c r="W441" s="7">
        <v>140089.22</v>
      </c>
      <c r="X441" s="7">
        <v>5435.14</v>
      </c>
      <c r="Y441" s="7">
        <v>82255.62</v>
      </c>
      <c r="Z441" s="10" t="str">
        <f t="shared" si="12"/>
        <v>Sheet Metal</v>
      </c>
      <c r="AA441" s="24" t="str">
        <f t="shared" si="13"/>
        <v xml:space="preserve"> 3971. LAX People Mover</v>
      </c>
    </row>
    <row r="442" spans="1:27" x14ac:dyDescent="0.2">
      <c r="A442" s="5" t="s">
        <v>648</v>
      </c>
      <c r="B442" s="5" t="s">
        <v>647</v>
      </c>
      <c r="C442" s="5" t="s">
        <v>225</v>
      </c>
      <c r="D442" s="5" t="s">
        <v>46</v>
      </c>
      <c r="E442" s="5" t="s">
        <v>88</v>
      </c>
      <c r="F442" s="5" t="s">
        <v>18</v>
      </c>
      <c r="G442" s="5" t="s">
        <v>139</v>
      </c>
      <c r="H442" s="5"/>
      <c r="I442" s="6">
        <v>0</v>
      </c>
      <c r="J442" s="6">
        <v>0</v>
      </c>
      <c r="K442" s="6">
        <v>0</v>
      </c>
      <c r="L442" s="6">
        <v>0</v>
      </c>
      <c r="M442" s="5"/>
      <c r="N442" s="6">
        <v>873</v>
      </c>
      <c r="O442" s="6">
        <v>1632</v>
      </c>
      <c r="P442" s="6">
        <v>1632</v>
      </c>
      <c r="Q442" s="6">
        <v>0</v>
      </c>
      <c r="R442" s="6">
        <v>759</v>
      </c>
      <c r="S442" s="5"/>
      <c r="T442" s="7">
        <v>78570</v>
      </c>
      <c r="U442" s="7">
        <v>164914.66</v>
      </c>
      <c r="V442" s="7">
        <v>0</v>
      </c>
      <c r="W442" s="7">
        <v>164914.66</v>
      </c>
      <c r="X442" s="7">
        <v>0</v>
      </c>
      <c r="Y442" s="7">
        <v>86344.66</v>
      </c>
      <c r="Z442" s="10" t="str">
        <f t="shared" si="12"/>
        <v>Sheet Metal</v>
      </c>
      <c r="AA442" s="24" t="str">
        <f t="shared" si="13"/>
        <v xml:space="preserve"> 3971. LAX People Mover</v>
      </c>
    </row>
    <row r="443" spans="1:27" x14ac:dyDescent="0.2">
      <c r="A443" s="5" t="s">
        <v>649</v>
      </c>
      <c r="B443" s="5" t="s">
        <v>647</v>
      </c>
      <c r="C443" s="5" t="s">
        <v>122</v>
      </c>
      <c r="D443" s="5" t="s">
        <v>46</v>
      </c>
      <c r="E443" s="5" t="s">
        <v>88</v>
      </c>
      <c r="F443" s="5" t="s">
        <v>18</v>
      </c>
      <c r="G443" s="5" t="s">
        <v>139</v>
      </c>
      <c r="H443" s="5"/>
      <c r="I443" s="6">
        <v>0</v>
      </c>
      <c r="J443" s="6">
        <v>0</v>
      </c>
      <c r="K443" s="6">
        <v>0</v>
      </c>
      <c r="L443" s="6">
        <v>0</v>
      </c>
      <c r="M443" s="5"/>
      <c r="N443" s="6">
        <v>10</v>
      </c>
      <c r="O443" s="6">
        <v>0</v>
      </c>
      <c r="P443" s="6">
        <v>0</v>
      </c>
      <c r="Q443" s="6">
        <v>0</v>
      </c>
      <c r="R443" s="6">
        <v>-10</v>
      </c>
      <c r="S443" s="5"/>
      <c r="T443" s="7">
        <v>900</v>
      </c>
      <c r="U443" s="7">
        <v>0</v>
      </c>
      <c r="V443" s="7">
        <v>0</v>
      </c>
      <c r="W443" s="7">
        <v>0</v>
      </c>
      <c r="X443" s="7">
        <v>0</v>
      </c>
      <c r="Y443" s="7">
        <v>-900</v>
      </c>
      <c r="Z443" s="10" t="str">
        <f t="shared" si="12"/>
        <v>Sheet Metal</v>
      </c>
      <c r="AA443" s="24" t="str">
        <f t="shared" si="13"/>
        <v xml:space="preserve"> 3971. LAX People Mover</v>
      </c>
    </row>
    <row r="444" spans="1:27" x14ac:dyDescent="0.2">
      <c r="A444" s="5" t="s">
        <v>650</v>
      </c>
      <c r="B444" s="5" t="s">
        <v>647</v>
      </c>
      <c r="C444" s="5" t="s">
        <v>227</v>
      </c>
      <c r="D444" s="5" t="s">
        <v>46</v>
      </c>
      <c r="E444" s="5" t="s">
        <v>88</v>
      </c>
      <c r="F444" s="5" t="s">
        <v>18</v>
      </c>
      <c r="G444" s="5" t="s">
        <v>139</v>
      </c>
      <c r="H444" s="5"/>
      <c r="I444" s="6">
        <v>0</v>
      </c>
      <c r="J444" s="6">
        <v>0</v>
      </c>
      <c r="K444" s="6">
        <v>0</v>
      </c>
      <c r="L444" s="6">
        <v>0</v>
      </c>
      <c r="M444" s="5"/>
      <c r="N444" s="6">
        <v>210</v>
      </c>
      <c r="O444" s="6">
        <v>0</v>
      </c>
      <c r="P444" s="6">
        <v>0</v>
      </c>
      <c r="Q444" s="6">
        <v>0</v>
      </c>
      <c r="R444" s="6">
        <v>-210</v>
      </c>
      <c r="S444" s="5"/>
      <c r="T444" s="7">
        <v>18900</v>
      </c>
      <c r="U444" s="7">
        <v>0</v>
      </c>
      <c r="V444" s="7">
        <v>0</v>
      </c>
      <c r="W444" s="7">
        <v>0</v>
      </c>
      <c r="X444" s="7">
        <v>0</v>
      </c>
      <c r="Y444" s="7">
        <v>-18900</v>
      </c>
      <c r="Z444" s="10" t="str">
        <f t="shared" si="12"/>
        <v>Sheet Metal</v>
      </c>
      <c r="AA444" s="24" t="str">
        <f t="shared" si="13"/>
        <v xml:space="preserve"> 3971. LAX People Mover</v>
      </c>
    </row>
    <row r="445" spans="1:27" x14ac:dyDescent="0.2">
      <c r="A445" s="5" t="s">
        <v>651</v>
      </c>
      <c r="B445" s="5" t="s">
        <v>647</v>
      </c>
      <c r="C445" s="5" t="s">
        <v>245</v>
      </c>
      <c r="D445" s="5" t="s">
        <v>46</v>
      </c>
      <c r="E445" s="5" t="s">
        <v>88</v>
      </c>
      <c r="F445" s="5" t="s">
        <v>18</v>
      </c>
      <c r="G445" s="5" t="s">
        <v>139</v>
      </c>
      <c r="H445" s="5"/>
      <c r="I445" s="6">
        <v>0</v>
      </c>
      <c r="J445" s="6">
        <v>0</v>
      </c>
      <c r="K445" s="6">
        <v>0</v>
      </c>
      <c r="L445" s="6">
        <v>0</v>
      </c>
      <c r="M445" s="5"/>
      <c r="N445" s="6">
        <v>35</v>
      </c>
      <c r="O445" s="6">
        <v>0</v>
      </c>
      <c r="P445" s="6">
        <v>0</v>
      </c>
      <c r="Q445" s="6">
        <v>0</v>
      </c>
      <c r="R445" s="6">
        <v>-35</v>
      </c>
      <c r="S445" s="5"/>
      <c r="T445" s="7">
        <v>3150</v>
      </c>
      <c r="U445" s="7">
        <v>0</v>
      </c>
      <c r="V445" s="7">
        <v>0</v>
      </c>
      <c r="W445" s="7">
        <v>0</v>
      </c>
      <c r="X445" s="7">
        <v>0</v>
      </c>
      <c r="Y445" s="7">
        <v>-3150</v>
      </c>
      <c r="Z445" s="10" t="str">
        <f t="shared" si="12"/>
        <v>Sheet Metal</v>
      </c>
      <c r="AA445" s="24" t="str">
        <f t="shared" si="13"/>
        <v xml:space="preserve"> 3971. LAX People Mover</v>
      </c>
    </row>
    <row r="446" spans="1:27" x14ac:dyDescent="0.2">
      <c r="A446" s="5" t="s">
        <v>652</v>
      </c>
      <c r="B446" s="5" t="s">
        <v>647</v>
      </c>
      <c r="C446" s="5" t="s">
        <v>229</v>
      </c>
      <c r="D446" s="5" t="s">
        <v>46</v>
      </c>
      <c r="E446" s="5" t="s">
        <v>88</v>
      </c>
      <c r="F446" s="5" t="s">
        <v>18</v>
      </c>
      <c r="G446" s="5" t="s">
        <v>139</v>
      </c>
      <c r="H446" s="5"/>
      <c r="I446" s="6">
        <v>0</v>
      </c>
      <c r="J446" s="6">
        <v>0</v>
      </c>
      <c r="K446" s="6">
        <v>0</v>
      </c>
      <c r="L446" s="6">
        <v>0</v>
      </c>
      <c r="M446" s="5"/>
      <c r="N446" s="6">
        <v>90</v>
      </c>
      <c r="O446" s="6">
        <v>70</v>
      </c>
      <c r="P446" s="6">
        <v>70</v>
      </c>
      <c r="Q446" s="6">
        <v>0</v>
      </c>
      <c r="R446" s="6">
        <v>-20</v>
      </c>
      <c r="S446" s="5"/>
      <c r="T446" s="7">
        <v>8100</v>
      </c>
      <c r="U446" s="7">
        <v>6918.51</v>
      </c>
      <c r="V446" s="7">
        <v>0</v>
      </c>
      <c r="W446" s="7">
        <v>6918.51</v>
      </c>
      <c r="X446" s="7">
        <v>0</v>
      </c>
      <c r="Y446" s="7">
        <v>-1181.49</v>
      </c>
      <c r="Z446" s="10" t="str">
        <f t="shared" si="12"/>
        <v>Sheet Metal</v>
      </c>
      <c r="AA446" s="24" t="str">
        <f t="shared" si="13"/>
        <v xml:space="preserve"> 3971. LAX People Mover</v>
      </c>
    </row>
    <row r="447" spans="1:27" x14ac:dyDescent="0.2">
      <c r="A447" s="5" t="s">
        <v>653</v>
      </c>
      <c r="B447" s="5" t="s">
        <v>647</v>
      </c>
      <c r="C447" s="5" t="s">
        <v>231</v>
      </c>
      <c r="D447" s="5" t="s">
        <v>46</v>
      </c>
      <c r="E447" s="5" t="s">
        <v>88</v>
      </c>
      <c r="F447" s="5" t="s">
        <v>18</v>
      </c>
      <c r="G447" s="5" t="s">
        <v>139</v>
      </c>
      <c r="H447" s="5"/>
      <c r="I447" s="6">
        <v>0</v>
      </c>
      <c r="J447" s="6">
        <v>0</v>
      </c>
      <c r="K447" s="6">
        <v>0</v>
      </c>
      <c r="L447" s="6">
        <v>0</v>
      </c>
      <c r="M447" s="5"/>
      <c r="N447" s="6">
        <v>86</v>
      </c>
      <c r="O447" s="6">
        <v>0</v>
      </c>
      <c r="P447" s="6">
        <v>0</v>
      </c>
      <c r="Q447" s="6">
        <v>0</v>
      </c>
      <c r="R447" s="6">
        <v>-86</v>
      </c>
      <c r="S447" s="5"/>
      <c r="T447" s="7">
        <v>7740</v>
      </c>
      <c r="U447" s="7">
        <v>0</v>
      </c>
      <c r="V447" s="7">
        <v>0</v>
      </c>
      <c r="W447" s="7">
        <v>0</v>
      </c>
      <c r="X447" s="7">
        <v>0</v>
      </c>
      <c r="Y447" s="7">
        <v>-7740</v>
      </c>
      <c r="Z447" s="10" t="str">
        <f t="shared" si="12"/>
        <v>Sheet Metal</v>
      </c>
      <c r="AA447" s="24" t="str">
        <f t="shared" si="13"/>
        <v xml:space="preserve"> 3971. LAX People Mover</v>
      </c>
    </row>
    <row r="448" spans="1:27" x14ac:dyDescent="0.2">
      <c r="A448" s="5" t="s">
        <v>654</v>
      </c>
      <c r="B448" s="5" t="s">
        <v>647</v>
      </c>
      <c r="C448" s="5" t="s">
        <v>233</v>
      </c>
      <c r="D448" s="5" t="s">
        <v>46</v>
      </c>
      <c r="E448" s="5" t="s">
        <v>88</v>
      </c>
      <c r="F448" s="5" t="s">
        <v>18</v>
      </c>
      <c r="G448" s="5" t="s">
        <v>139</v>
      </c>
      <c r="H448" s="5"/>
      <c r="I448" s="6">
        <v>0</v>
      </c>
      <c r="J448" s="6">
        <v>0</v>
      </c>
      <c r="K448" s="6">
        <v>0</v>
      </c>
      <c r="L448" s="6">
        <v>0</v>
      </c>
      <c r="M448" s="5"/>
      <c r="N448" s="6">
        <v>8</v>
      </c>
      <c r="O448" s="6">
        <v>19.5</v>
      </c>
      <c r="P448" s="6">
        <v>19.5</v>
      </c>
      <c r="Q448" s="6">
        <v>0</v>
      </c>
      <c r="R448" s="6">
        <v>11.5</v>
      </c>
      <c r="S448" s="5"/>
      <c r="T448" s="7">
        <v>720</v>
      </c>
      <c r="U448" s="7">
        <v>1921.53</v>
      </c>
      <c r="V448" s="7">
        <v>0</v>
      </c>
      <c r="W448" s="7">
        <v>1921.53</v>
      </c>
      <c r="X448" s="7">
        <v>0</v>
      </c>
      <c r="Y448" s="7">
        <v>1201.53</v>
      </c>
      <c r="Z448" s="10" t="str">
        <f t="shared" si="12"/>
        <v>Sheet Metal</v>
      </c>
      <c r="AA448" s="24" t="str">
        <f t="shared" si="13"/>
        <v xml:space="preserve"> 3971. LAX People Mover</v>
      </c>
    </row>
    <row r="449" spans="1:27" x14ac:dyDescent="0.2">
      <c r="A449" s="5" t="s">
        <v>655</v>
      </c>
      <c r="B449" s="5" t="s">
        <v>647</v>
      </c>
      <c r="C449" s="5" t="s">
        <v>235</v>
      </c>
      <c r="D449" s="5" t="s">
        <v>46</v>
      </c>
      <c r="E449" s="5" t="s">
        <v>88</v>
      </c>
      <c r="F449" s="5" t="s">
        <v>18</v>
      </c>
      <c r="G449" s="5" t="s">
        <v>139</v>
      </c>
      <c r="H449" s="5"/>
      <c r="I449" s="6">
        <v>0</v>
      </c>
      <c r="J449" s="6">
        <v>0</v>
      </c>
      <c r="K449" s="6">
        <v>0</v>
      </c>
      <c r="L449" s="6">
        <v>0</v>
      </c>
      <c r="M449" s="5"/>
      <c r="N449" s="6">
        <v>8</v>
      </c>
      <c r="O449" s="6">
        <v>10</v>
      </c>
      <c r="P449" s="6">
        <v>10</v>
      </c>
      <c r="Q449" s="6">
        <v>0</v>
      </c>
      <c r="R449" s="6">
        <v>2</v>
      </c>
      <c r="S449" s="5"/>
      <c r="T449" s="7">
        <v>720</v>
      </c>
      <c r="U449" s="7">
        <v>934.39</v>
      </c>
      <c r="V449" s="7">
        <v>0</v>
      </c>
      <c r="W449" s="7">
        <v>934.39</v>
      </c>
      <c r="X449" s="7">
        <v>0</v>
      </c>
      <c r="Y449" s="7">
        <v>214.39</v>
      </c>
      <c r="Z449" s="10" t="str">
        <f t="shared" si="12"/>
        <v>Sheet Metal</v>
      </c>
      <c r="AA449" s="24" t="str">
        <f t="shared" si="13"/>
        <v xml:space="preserve"> 3971. LAX People Mover</v>
      </c>
    </row>
    <row r="450" spans="1:27" x14ac:dyDescent="0.2">
      <c r="A450" s="5" t="s">
        <v>656</v>
      </c>
      <c r="B450" s="5" t="s">
        <v>647</v>
      </c>
      <c r="C450" s="5" t="s">
        <v>237</v>
      </c>
      <c r="D450" s="5" t="s">
        <v>46</v>
      </c>
      <c r="E450" s="5" t="s">
        <v>88</v>
      </c>
      <c r="F450" s="5" t="s">
        <v>18</v>
      </c>
      <c r="G450" s="5" t="s">
        <v>139</v>
      </c>
      <c r="H450" s="5"/>
      <c r="I450" s="6">
        <v>0</v>
      </c>
      <c r="J450" s="6">
        <v>0</v>
      </c>
      <c r="K450" s="6">
        <v>0</v>
      </c>
      <c r="L450" s="6">
        <v>0</v>
      </c>
      <c r="M450" s="5"/>
      <c r="N450" s="6">
        <v>400</v>
      </c>
      <c r="O450" s="6">
        <v>185.5</v>
      </c>
      <c r="P450" s="6">
        <v>185.5</v>
      </c>
      <c r="Q450" s="6">
        <v>0</v>
      </c>
      <c r="R450" s="6">
        <v>-214.5</v>
      </c>
      <c r="S450" s="5"/>
      <c r="T450" s="7">
        <v>36000</v>
      </c>
      <c r="U450" s="7">
        <v>17957.849999999999</v>
      </c>
      <c r="V450" s="7">
        <v>0</v>
      </c>
      <c r="W450" s="7">
        <v>17957.849999999999</v>
      </c>
      <c r="X450" s="7">
        <v>0</v>
      </c>
      <c r="Y450" s="7">
        <v>-18042.150000000001</v>
      </c>
      <c r="Z450" s="10" t="str">
        <f t="shared" si="12"/>
        <v>Sheet Metal</v>
      </c>
      <c r="AA450" s="24" t="str">
        <f t="shared" si="13"/>
        <v xml:space="preserve"> 3971. LAX People Mover</v>
      </c>
    </row>
    <row r="451" spans="1:27" x14ac:dyDescent="0.2">
      <c r="A451" s="5" t="s">
        <v>657</v>
      </c>
      <c r="B451" s="5" t="s">
        <v>647</v>
      </c>
      <c r="C451" s="5" t="s">
        <v>239</v>
      </c>
      <c r="D451" s="5" t="s">
        <v>46</v>
      </c>
      <c r="E451" s="5" t="s">
        <v>88</v>
      </c>
      <c r="F451" s="5" t="s">
        <v>18</v>
      </c>
      <c r="G451" s="5" t="s">
        <v>139</v>
      </c>
      <c r="H451" s="5"/>
      <c r="I451" s="6">
        <v>0</v>
      </c>
      <c r="J451" s="6">
        <v>0</v>
      </c>
      <c r="K451" s="6">
        <v>0</v>
      </c>
      <c r="L451" s="6">
        <v>0</v>
      </c>
      <c r="M451" s="5"/>
      <c r="N451" s="6">
        <v>182</v>
      </c>
      <c r="O451" s="6">
        <v>101.5</v>
      </c>
      <c r="P451" s="6">
        <v>101.5</v>
      </c>
      <c r="Q451" s="6">
        <v>0</v>
      </c>
      <c r="R451" s="6">
        <v>-80.5</v>
      </c>
      <c r="S451" s="5"/>
      <c r="T451" s="7">
        <v>16380</v>
      </c>
      <c r="U451" s="7">
        <v>10037.950000000001</v>
      </c>
      <c r="V451" s="7">
        <v>0</v>
      </c>
      <c r="W451" s="7">
        <v>10037.950000000001</v>
      </c>
      <c r="X451" s="7">
        <v>0</v>
      </c>
      <c r="Y451" s="7">
        <v>-6342.05</v>
      </c>
      <c r="Z451" s="10" t="str">
        <f t="shared" si="12"/>
        <v>Sheet Metal</v>
      </c>
      <c r="AA451" s="24" t="str">
        <f t="shared" si="13"/>
        <v xml:space="preserve"> 3971. LAX People Mover</v>
      </c>
    </row>
    <row r="452" spans="1:27" x14ac:dyDescent="0.2">
      <c r="A452" s="5" t="s">
        <v>658</v>
      </c>
      <c r="B452" s="5" t="s">
        <v>659</v>
      </c>
      <c r="C452" s="5" t="s">
        <v>16</v>
      </c>
      <c r="D452" s="5" t="s">
        <v>335</v>
      </c>
      <c r="E452" s="5" t="s">
        <v>88</v>
      </c>
      <c r="F452" s="5" t="s">
        <v>18</v>
      </c>
      <c r="G452" s="5" t="s">
        <v>139</v>
      </c>
      <c r="H452" s="5"/>
      <c r="I452" s="6">
        <v>0</v>
      </c>
      <c r="J452" s="6">
        <v>0</v>
      </c>
      <c r="K452" s="6">
        <v>0</v>
      </c>
      <c r="L452" s="6">
        <v>0</v>
      </c>
      <c r="M452" s="5"/>
      <c r="N452" s="6">
        <v>2380</v>
      </c>
      <c r="O452" s="6">
        <v>3418.5</v>
      </c>
      <c r="P452" s="6">
        <v>3418.5</v>
      </c>
      <c r="Q452" s="6">
        <v>0</v>
      </c>
      <c r="R452" s="6">
        <v>1038.5</v>
      </c>
      <c r="S452" s="5"/>
      <c r="T452" s="7">
        <v>216934.48</v>
      </c>
      <c r="U452" s="7">
        <v>364825.46</v>
      </c>
      <c r="V452" s="7">
        <v>0</v>
      </c>
      <c r="W452" s="7">
        <v>364825.46</v>
      </c>
      <c r="X452" s="7">
        <v>0</v>
      </c>
      <c r="Y452" s="7">
        <v>147890.98000000001</v>
      </c>
      <c r="Z452" s="10" t="str">
        <f t="shared" si="12"/>
        <v>Sheet Metal</v>
      </c>
      <c r="AA452" s="24" t="str">
        <f t="shared" si="13"/>
        <v xml:space="preserve"> 3971. LAX People Mover</v>
      </c>
    </row>
    <row r="453" spans="1:27" x14ac:dyDescent="0.2">
      <c r="A453" s="5" t="s">
        <v>660</v>
      </c>
      <c r="B453" s="5" t="s">
        <v>143</v>
      </c>
      <c r="C453" s="5" t="s">
        <v>225</v>
      </c>
      <c r="D453" s="5" t="s">
        <v>107</v>
      </c>
      <c r="E453" s="5" t="s">
        <v>88</v>
      </c>
      <c r="F453" s="5" t="s">
        <v>18</v>
      </c>
      <c r="G453" s="5" t="s">
        <v>139</v>
      </c>
      <c r="H453" s="5"/>
      <c r="I453" s="6">
        <v>0</v>
      </c>
      <c r="J453" s="6">
        <v>0</v>
      </c>
      <c r="K453" s="6">
        <v>0</v>
      </c>
      <c r="L453" s="6">
        <v>0</v>
      </c>
      <c r="M453" s="5"/>
      <c r="N453" s="6">
        <v>558</v>
      </c>
      <c r="O453" s="6">
        <v>1433</v>
      </c>
      <c r="P453" s="6">
        <v>1433</v>
      </c>
      <c r="Q453" s="6">
        <v>0</v>
      </c>
      <c r="R453" s="6">
        <v>875</v>
      </c>
      <c r="S453" s="5"/>
      <c r="T453" s="7">
        <v>50220</v>
      </c>
      <c r="U453" s="7">
        <v>115438.39999999999</v>
      </c>
      <c r="V453" s="7">
        <v>0</v>
      </c>
      <c r="W453" s="7">
        <v>115438.39999999999</v>
      </c>
      <c r="X453" s="7">
        <v>0</v>
      </c>
      <c r="Y453" s="7">
        <v>65218.400000000001</v>
      </c>
      <c r="Z453" s="10" t="str">
        <f t="shared" ref="Z453:Z516" si="14">IF(G453="PLUM", "Plumbing", IF(G453="PIPE", "Piping", IF(G453="HVAC", "Sheet Metal", G453)))</f>
        <v>Sheet Metal</v>
      </c>
      <c r="AA453" s="24" t="str">
        <f t="shared" ref="AA453:AA516" si="15">IF(ISBLANK(B453), "", $A$2)</f>
        <v xml:space="preserve"> 3971. LAX People Mover</v>
      </c>
    </row>
    <row r="454" spans="1:27" x14ac:dyDescent="0.2">
      <c r="A454" s="5" t="s">
        <v>661</v>
      </c>
      <c r="B454" s="5" t="s">
        <v>143</v>
      </c>
      <c r="C454" s="5" t="s">
        <v>227</v>
      </c>
      <c r="D454" s="5" t="s">
        <v>107</v>
      </c>
      <c r="E454" s="5" t="s">
        <v>88</v>
      </c>
      <c r="F454" s="5" t="s">
        <v>18</v>
      </c>
      <c r="G454" s="5" t="s">
        <v>139</v>
      </c>
      <c r="H454" s="5"/>
      <c r="I454" s="6">
        <v>0</v>
      </c>
      <c r="J454" s="6">
        <v>0</v>
      </c>
      <c r="K454" s="6">
        <v>0</v>
      </c>
      <c r="L454" s="6">
        <v>0</v>
      </c>
      <c r="M454" s="5"/>
      <c r="N454" s="6">
        <v>16</v>
      </c>
      <c r="O454" s="6">
        <v>364</v>
      </c>
      <c r="P454" s="6">
        <v>364</v>
      </c>
      <c r="Q454" s="6">
        <v>0</v>
      </c>
      <c r="R454" s="6">
        <v>348</v>
      </c>
      <c r="S454" s="5"/>
      <c r="T454" s="7">
        <v>1440</v>
      </c>
      <c r="U454" s="7">
        <v>30266.85</v>
      </c>
      <c r="V454" s="7">
        <v>0</v>
      </c>
      <c r="W454" s="7">
        <v>30266.85</v>
      </c>
      <c r="X454" s="7">
        <v>0</v>
      </c>
      <c r="Y454" s="7">
        <v>28826.85</v>
      </c>
      <c r="Z454" s="10" t="str">
        <f t="shared" si="14"/>
        <v>Sheet Metal</v>
      </c>
      <c r="AA454" s="24" t="str">
        <f t="shared" si="15"/>
        <v xml:space="preserve"> 3971. LAX People Mover</v>
      </c>
    </row>
    <row r="455" spans="1:27" x14ac:dyDescent="0.2">
      <c r="A455" s="5" t="s">
        <v>662</v>
      </c>
      <c r="B455" s="5" t="s">
        <v>143</v>
      </c>
      <c r="C455" s="5" t="s">
        <v>245</v>
      </c>
      <c r="D455" s="5" t="s">
        <v>107</v>
      </c>
      <c r="E455" s="5" t="s">
        <v>88</v>
      </c>
      <c r="F455" s="5" t="s">
        <v>18</v>
      </c>
      <c r="G455" s="5" t="s">
        <v>139</v>
      </c>
      <c r="H455" s="5"/>
      <c r="I455" s="6">
        <v>0</v>
      </c>
      <c r="J455" s="6">
        <v>0</v>
      </c>
      <c r="K455" s="6">
        <v>0</v>
      </c>
      <c r="L455" s="6">
        <v>0</v>
      </c>
      <c r="M455" s="5"/>
      <c r="N455" s="6">
        <v>15</v>
      </c>
      <c r="O455" s="6">
        <v>73</v>
      </c>
      <c r="P455" s="6">
        <v>73</v>
      </c>
      <c r="Q455" s="6">
        <v>0</v>
      </c>
      <c r="R455" s="6">
        <v>58</v>
      </c>
      <c r="S455" s="5"/>
      <c r="T455" s="7">
        <v>1350</v>
      </c>
      <c r="U455" s="7">
        <v>6531.97</v>
      </c>
      <c r="V455" s="7">
        <v>0</v>
      </c>
      <c r="W455" s="7">
        <v>6531.97</v>
      </c>
      <c r="X455" s="7">
        <v>0</v>
      </c>
      <c r="Y455" s="7">
        <v>5181.97</v>
      </c>
      <c r="Z455" s="10" t="str">
        <f t="shared" si="14"/>
        <v>Sheet Metal</v>
      </c>
      <c r="AA455" s="24" t="str">
        <f t="shared" si="15"/>
        <v xml:space="preserve"> 3971. LAX People Mover</v>
      </c>
    </row>
    <row r="456" spans="1:27" x14ac:dyDescent="0.2">
      <c r="A456" s="5" t="s">
        <v>663</v>
      </c>
      <c r="B456" s="5" t="s">
        <v>143</v>
      </c>
      <c r="C456" s="5" t="s">
        <v>229</v>
      </c>
      <c r="D456" s="5" t="s">
        <v>107</v>
      </c>
      <c r="E456" s="5" t="s">
        <v>88</v>
      </c>
      <c r="F456" s="5" t="s">
        <v>18</v>
      </c>
      <c r="G456" s="5" t="s">
        <v>139</v>
      </c>
      <c r="H456" s="5"/>
      <c r="I456" s="6">
        <v>0</v>
      </c>
      <c r="J456" s="6">
        <v>0</v>
      </c>
      <c r="K456" s="6">
        <v>0</v>
      </c>
      <c r="L456" s="6">
        <v>0</v>
      </c>
      <c r="M456" s="5"/>
      <c r="N456" s="6">
        <v>10</v>
      </c>
      <c r="O456" s="6">
        <v>327</v>
      </c>
      <c r="P456" s="6">
        <v>327</v>
      </c>
      <c r="Q456" s="6">
        <v>0</v>
      </c>
      <c r="R456" s="6">
        <v>317</v>
      </c>
      <c r="S456" s="5"/>
      <c r="T456" s="7">
        <v>900</v>
      </c>
      <c r="U456" s="7">
        <v>24283.54</v>
      </c>
      <c r="V456" s="7">
        <v>0</v>
      </c>
      <c r="W456" s="7">
        <v>24283.54</v>
      </c>
      <c r="X456" s="7">
        <v>0</v>
      </c>
      <c r="Y456" s="7">
        <v>23383.54</v>
      </c>
      <c r="Z456" s="10" t="str">
        <f t="shared" si="14"/>
        <v>Sheet Metal</v>
      </c>
      <c r="AA456" s="24" t="str">
        <f t="shared" si="15"/>
        <v xml:space="preserve"> 3971. LAX People Mover</v>
      </c>
    </row>
    <row r="457" spans="1:27" x14ac:dyDescent="0.2">
      <c r="A457" s="5" t="s">
        <v>664</v>
      </c>
      <c r="B457" s="5" t="s">
        <v>143</v>
      </c>
      <c r="C457" s="5" t="s">
        <v>231</v>
      </c>
      <c r="D457" s="5" t="s">
        <v>107</v>
      </c>
      <c r="E457" s="5" t="s">
        <v>88</v>
      </c>
      <c r="F457" s="5" t="s">
        <v>18</v>
      </c>
      <c r="G457" s="5" t="s">
        <v>139</v>
      </c>
      <c r="H457" s="5"/>
      <c r="I457" s="6">
        <v>0</v>
      </c>
      <c r="J457" s="6">
        <v>0</v>
      </c>
      <c r="K457" s="6">
        <v>0</v>
      </c>
      <c r="L457" s="6">
        <v>0</v>
      </c>
      <c r="M457" s="5"/>
      <c r="N457" s="6">
        <v>80</v>
      </c>
      <c r="O457" s="6">
        <v>279</v>
      </c>
      <c r="P457" s="6">
        <v>279</v>
      </c>
      <c r="Q457" s="6">
        <v>0</v>
      </c>
      <c r="R457" s="6">
        <v>199</v>
      </c>
      <c r="S457" s="5"/>
      <c r="T457" s="7">
        <v>7200</v>
      </c>
      <c r="U457" s="7">
        <v>26145.99</v>
      </c>
      <c r="V457" s="7">
        <v>0</v>
      </c>
      <c r="W457" s="7">
        <v>26145.99</v>
      </c>
      <c r="X457" s="7">
        <v>0</v>
      </c>
      <c r="Y457" s="7">
        <v>18945.990000000002</v>
      </c>
      <c r="Z457" s="10" t="str">
        <f t="shared" si="14"/>
        <v>Sheet Metal</v>
      </c>
      <c r="AA457" s="24" t="str">
        <f t="shared" si="15"/>
        <v xml:space="preserve"> 3971. LAX People Mover</v>
      </c>
    </row>
    <row r="458" spans="1:27" x14ac:dyDescent="0.2">
      <c r="A458" s="5" t="s">
        <v>665</v>
      </c>
      <c r="B458" s="5" t="s">
        <v>143</v>
      </c>
      <c r="C458" s="5" t="s">
        <v>237</v>
      </c>
      <c r="D458" s="5" t="s">
        <v>107</v>
      </c>
      <c r="E458" s="5" t="s">
        <v>88</v>
      </c>
      <c r="F458" s="5" t="s">
        <v>18</v>
      </c>
      <c r="G458" s="5" t="s">
        <v>139</v>
      </c>
      <c r="H458" s="5"/>
      <c r="I458" s="6">
        <v>0</v>
      </c>
      <c r="J458" s="6">
        <v>0</v>
      </c>
      <c r="K458" s="6">
        <v>0</v>
      </c>
      <c r="L458" s="6">
        <v>0</v>
      </c>
      <c r="M458" s="5"/>
      <c r="N458" s="6">
        <v>1019</v>
      </c>
      <c r="O458" s="6">
        <v>1479</v>
      </c>
      <c r="P458" s="6">
        <v>1479</v>
      </c>
      <c r="Q458" s="6">
        <v>0</v>
      </c>
      <c r="R458" s="6">
        <v>460</v>
      </c>
      <c r="S458" s="5"/>
      <c r="T458" s="7">
        <v>91710</v>
      </c>
      <c r="U458" s="7">
        <v>119746.22</v>
      </c>
      <c r="V458" s="7">
        <v>0</v>
      </c>
      <c r="W458" s="7">
        <v>119746.22</v>
      </c>
      <c r="X458" s="7">
        <v>0</v>
      </c>
      <c r="Y458" s="7">
        <v>28036.22</v>
      </c>
      <c r="Z458" s="10" t="str">
        <f t="shared" si="14"/>
        <v>Sheet Metal</v>
      </c>
      <c r="AA458" s="24" t="str">
        <f t="shared" si="15"/>
        <v xml:space="preserve"> 3971. LAX People Mover</v>
      </c>
    </row>
    <row r="459" spans="1:27" x14ac:dyDescent="0.2">
      <c r="A459" s="5" t="s">
        <v>666</v>
      </c>
      <c r="B459" s="5" t="s">
        <v>143</v>
      </c>
      <c r="C459" s="5" t="s">
        <v>239</v>
      </c>
      <c r="D459" s="5" t="s">
        <v>107</v>
      </c>
      <c r="E459" s="5" t="s">
        <v>88</v>
      </c>
      <c r="F459" s="5" t="s">
        <v>18</v>
      </c>
      <c r="G459" s="5" t="s">
        <v>139</v>
      </c>
      <c r="H459" s="5"/>
      <c r="I459" s="6">
        <v>0</v>
      </c>
      <c r="J459" s="6">
        <v>0</v>
      </c>
      <c r="K459" s="6">
        <v>0</v>
      </c>
      <c r="L459" s="6">
        <v>0</v>
      </c>
      <c r="M459" s="5"/>
      <c r="N459" s="6">
        <v>18</v>
      </c>
      <c r="O459" s="6">
        <v>366</v>
      </c>
      <c r="P459" s="6">
        <v>366</v>
      </c>
      <c r="Q459" s="6">
        <v>0</v>
      </c>
      <c r="R459" s="6">
        <v>348</v>
      </c>
      <c r="S459" s="5"/>
      <c r="T459" s="7">
        <v>1620</v>
      </c>
      <c r="U459" s="7">
        <v>29483.439999999999</v>
      </c>
      <c r="V459" s="7">
        <v>0</v>
      </c>
      <c r="W459" s="7">
        <v>29483.439999999999</v>
      </c>
      <c r="X459" s="7">
        <v>0</v>
      </c>
      <c r="Y459" s="7">
        <v>27863.439999999999</v>
      </c>
      <c r="Z459" s="10" t="str">
        <f t="shared" si="14"/>
        <v>Sheet Metal</v>
      </c>
      <c r="AA459" s="24" t="str">
        <f t="shared" si="15"/>
        <v xml:space="preserve"> 3971. LAX People Mover</v>
      </c>
    </row>
    <row r="460" spans="1:27" x14ac:dyDescent="0.2">
      <c r="A460" s="5" t="s">
        <v>667</v>
      </c>
      <c r="B460" s="5" t="s">
        <v>668</v>
      </c>
      <c r="C460" s="5" t="s">
        <v>225</v>
      </c>
      <c r="D460" s="5" t="s">
        <v>31</v>
      </c>
      <c r="E460" s="5" t="s">
        <v>88</v>
      </c>
      <c r="F460" s="5" t="s">
        <v>18</v>
      </c>
      <c r="G460" s="5" t="s">
        <v>139</v>
      </c>
      <c r="H460" s="5"/>
      <c r="I460" s="6">
        <v>0</v>
      </c>
      <c r="J460" s="6">
        <v>0</v>
      </c>
      <c r="K460" s="6">
        <v>0</v>
      </c>
      <c r="L460" s="6">
        <v>0</v>
      </c>
      <c r="M460" s="5"/>
      <c r="N460" s="6">
        <v>4141</v>
      </c>
      <c r="O460" s="6">
        <v>7050.5</v>
      </c>
      <c r="P460" s="6">
        <v>7048.5</v>
      </c>
      <c r="Q460" s="6">
        <v>-2</v>
      </c>
      <c r="R460" s="6">
        <v>2907.5</v>
      </c>
      <c r="S460" s="5"/>
      <c r="T460" s="7">
        <v>372372.36</v>
      </c>
      <c r="U460" s="7">
        <v>584089.64</v>
      </c>
      <c r="V460" s="7">
        <v>0</v>
      </c>
      <c r="W460" s="7">
        <v>583885.80000000005</v>
      </c>
      <c r="X460" s="7">
        <v>-203.84</v>
      </c>
      <c r="Y460" s="7">
        <v>211513.44</v>
      </c>
      <c r="Z460" s="10" t="str">
        <f t="shared" si="14"/>
        <v>Sheet Metal</v>
      </c>
      <c r="AA460" s="24" t="str">
        <f t="shared" si="15"/>
        <v xml:space="preserve"> 3971. LAX People Mover</v>
      </c>
    </row>
    <row r="461" spans="1:27" x14ac:dyDescent="0.2">
      <c r="A461" s="5" t="s">
        <v>669</v>
      </c>
      <c r="B461" s="5" t="s">
        <v>668</v>
      </c>
      <c r="C461" s="5" t="s">
        <v>122</v>
      </c>
      <c r="D461" s="5" t="s">
        <v>31</v>
      </c>
      <c r="E461" s="5" t="s">
        <v>88</v>
      </c>
      <c r="F461" s="5" t="s">
        <v>18</v>
      </c>
      <c r="G461" s="5" t="s">
        <v>139</v>
      </c>
      <c r="H461" s="5"/>
      <c r="I461" s="6">
        <v>0</v>
      </c>
      <c r="J461" s="6">
        <v>0</v>
      </c>
      <c r="K461" s="6">
        <v>0</v>
      </c>
      <c r="L461" s="6">
        <v>0</v>
      </c>
      <c r="M461" s="5"/>
      <c r="N461" s="6">
        <v>18</v>
      </c>
      <c r="O461" s="6">
        <v>233</v>
      </c>
      <c r="P461" s="6">
        <v>231</v>
      </c>
      <c r="Q461" s="6">
        <v>-2</v>
      </c>
      <c r="R461" s="6">
        <v>213</v>
      </c>
      <c r="S461" s="5"/>
      <c r="T461" s="7">
        <v>1620</v>
      </c>
      <c r="U461" s="7">
        <v>22765.01</v>
      </c>
      <c r="V461" s="7">
        <v>0</v>
      </c>
      <c r="W461" s="7">
        <v>22539.42</v>
      </c>
      <c r="X461" s="7">
        <v>-225.59</v>
      </c>
      <c r="Y461" s="7">
        <v>20919.419999999998</v>
      </c>
      <c r="Z461" s="10" t="str">
        <f t="shared" si="14"/>
        <v>Sheet Metal</v>
      </c>
      <c r="AA461" s="24" t="str">
        <f t="shared" si="15"/>
        <v xml:space="preserve"> 3971. LAX People Mover</v>
      </c>
    </row>
    <row r="462" spans="1:27" x14ac:dyDescent="0.2">
      <c r="A462" s="5" t="s">
        <v>670</v>
      </c>
      <c r="B462" s="5" t="s">
        <v>668</v>
      </c>
      <c r="C462" s="5" t="s">
        <v>227</v>
      </c>
      <c r="D462" s="5" t="s">
        <v>31</v>
      </c>
      <c r="E462" s="5" t="s">
        <v>88</v>
      </c>
      <c r="F462" s="5" t="s">
        <v>18</v>
      </c>
      <c r="G462" s="5" t="s">
        <v>139</v>
      </c>
      <c r="H462" s="5"/>
      <c r="I462" s="6">
        <v>0</v>
      </c>
      <c r="J462" s="6">
        <v>0</v>
      </c>
      <c r="K462" s="6">
        <v>0</v>
      </c>
      <c r="L462" s="6">
        <v>0</v>
      </c>
      <c r="M462" s="5"/>
      <c r="N462" s="6">
        <v>940</v>
      </c>
      <c r="O462" s="6">
        <v>883</v>
      </c>
      <c r="P462" s="6">
        <v>883</v>
      </c>
      <c r="Q462" s="6">
        <v>0</v>
      </c>
      <c r="R462" s="6">
        <v>-57</v>
      </c>
      <c r="S462" s="5"/>
      <c r="T462" s="7">
        <v>84600</v>
      </c>
      <c r="U462" s="7">
        <v>67002.62</v>
      </c>
      <c r="V462" s="7">
        <v>0</v>
      </c>
      <c r="W462" s="7">
        <v>67002.62</v>
      </c>
      <c r="X462" s="7">
        <v>0</v>
      </c>
      <c r="Y462" s="7">
        <v>-17597.38</v>
      </c>
      <c r="Z462" s="10" t="str">
        <f t="shared" si="14"/>
        <v>Sheet Metal</v>
      </c>
      <c r="AA462" s="24" t="str">
        <f t="shared" si="15"/>
        <v xml:space="preserve"> 3971. LAX People Mover</v>
      </c>
    </row>
    <row r="463" spans="1:27" x14ac:dyDescent="0.2">
      <c r="A463" s="5" t="s">
        <v>671</v>
      </c>
      <c r="B463" s="5" t="s">
        <v>668</v>
      </c>
      <c r="C463" s="5" t="s">
        <v>245</v>
      </c>
      <c r="D463" s="5" t="s">
        <v>31</v>
      </c>
      <c r="E463" s="5" t="s">
        <v>88</v>
      </c>
      <c r="F463" s="5" t="s">
        <v>18</v>
      </c>
      <c r="G463" s="5" t="s">
        <v>139</v>
      </c>
      <c r="H463" s="5"/>
      <c r="I463" s="6">
        <v>0</v>
      </c>
      <c r="J463" s="6">
        <v>0</v>
      </c>
      <c r="K463" s="6">
        <v>0</v>
      </c>
      <c r="L463" s="6">
        <v>0</v>
      </c>
      <c r="M463" s="5"/>
      <c r="N463" s="6">
        <v>176</v>
      </c>
      <c r="O463" s="6">
        <v>252</v>
      </c>
      <c r="P463" s="6">
        <v>252</v>
      </c>
      <c r="Q463" s="6">
        <v>0</v>
      </c>
      <c r="R463" s="6">
        <v>76</v>
      </c>
      <c r="S463" s="5"/>
      <c r="T463" s="7">
        <v>15840</v>
      </c>
      <c r="U463" s="7">
        <v>19791.18</v>
      </c>
      <c r="V463" s="7">
        <v>0</v>
      </c>
      <c r="W463" s="7">
        <v>19791.18</v>
      </c>
      <c r="X463" s="7">
        <v>0</v>
      </c>
      <c r="Y463" s="7">
        <v>3951.18</v>
      </c>
      <c r="Z463" s="10" t="str">
        <f t="shared" si="14"/>
        <v>Sheet Metal</v>
      </c>
      <c r="AA463" s="24" t="str">
        <f t="shared" si="15"/>
        <v xml:space="preserve"> 3971. LAX People Mover</v>
      </c>
    </row>
    <row r="464" spans="1:27" x14ac:dyDescent="0.2">
      <c r="A464" s="5" t="s">
        <v>672</v>
      </c>
      <c r="B464" s="5" t="s">
        <v>668</v>
      </c>
      <c r="C464" s="5" t="s">
        <v>229</v>
      </c>
      <c r="D464" s="5" t="s">
        <v>31</v>
      </c>
      <c r="E464" s="5" t="s">
        <v>88</v>
      </c>
      <c r="F464" s="5" t="s">
        <v>18</v>
      </c>
      <c r="G464" s="5" t="s">
        <v>139</v>
      </c>
      <c r="H464" s="5"/>
      <c r="I464" s="6">
        <v>0</v>
      </c>
      <c r="J464" s="6">
        <v>0</v>
      </c>
      <c r="K464" s="6">
        <v>0</v>
      </c>
      <c r="L464" s="6">
        <v>0</v>
      </c>
      <c r="M464" s="5"/>
      <c r="N464" s="6">
        <v>1403</v>
      </c>
      <c r="O464" s="6">
        <v>875</v>
      </c>
      <c r="P464" s="6">
        <v>875</v>
      </c>
      <c r="Q464" s="6">
        <v>0</v>
      </c>
      <c r="R464" s="6">
        <v>-528</v>
      </c>
      <c r="S464" s="5"/>
      <c r="T464" s="7">
        <v>126270</v>
      </c>
      <c r="U464" s="7">
        <v>71636.08</v>
      </c>
      <c r="V464" s="7">
        <v>0</v>
      </c>
      <c r="W464" s="7">
        <v>71636.08</v>
      </c>
      <c r="X464" s="7">
        <v>0</v>
      </c>
      <c r="Y464" s="7">
        <v>-54633.919999999998</v>
      </c>
      <c r="Z464" s="10" t="str">
        <f t="shared" si="14"/>
        <v>Sheet Metal</v>
      </c>
      <c r="AA464" s="24" t="str">
        <f t="shared" si="15"/>
        <v xml:space="preserve"> 3971. LAX People Mover</v>
      </c>
    </row>
    <row r="465" spans="1:27" x14ac:dyDescent="0.2">
      <c r="A465" s="5" t="s">
        <v>673</v>
      </c>
      <c r="B465" s="5" t="s">
        <v>668</v>
      </c>
      <c r="C465" s="5" t="s">
        <v>231</v>
      </c>
      <c r="D465" s="5" t="s">
        <v>31</v>
      </c>
      <c r="E465" s="5" t="s">
        <v>88</v>
      </c>
      <c r="F465" s="5" t="s">
        <v>18</v>
      </c>
      <c r="G465" s="5" t="s">
        <v>139</v>
      </c>
      <c r="H465" s="5"/>
      <c r="I465" s="6">
        <v>0</v>
      </c>
      <c r="J465" s="6">
        <v>0</v>
      </c>
      <c r="K465" s="6">
        <v>0</v>
      </c>
      <c r="L465" s="6">
        <v>0</v>
      </c>
      <c r="M465" s="5"/>
      <c r="N465" s="6">
        <v>1342</v>
      </c>
      <c r="O465" s="6">
        <v>513.5</v>
      </c>
      <c r="P465" s="6">
        <v>513.5</v>
      </c>
      <c r="Q465" s="6">
        <v>0</v>
      </c>
      <c r="R465" s="6">
        <v>-828.5</v>
      </c>
      <c r="S465" s="5"/>
      <c r="T465" s="7">
        <v>120780</v>
      </c>
      <c r="U465" s="7">
        <v>41278.71</v>
      </c>
      <c r="V465" s="7">
        <v>0</v>
      </c>
      <c r="W465" s="7">
        <v>41278.71</v>
      </c>
      <c r="X465" s="7">
        <v>0</v>
      </c>
      <c r="Y465" s="7">
        <v>-79501.289999999994</v>
      </c>
      <c r="Z465" s="10" t="str">
        <f t="shared" si="14"/>
        <v>Sheet Metal</v>
      </c>
      <c r="AA465" s="24" t="str">
        <f t="shared" si="15"/>
        <v xml:space="preserve"> 3971. LAX People Mover</v>
      </c>
    </row>
    <row r="466" spans="1:27" x14ac:dyDescent="0.2">
      <c r="A466" s="5" t="s">
        <v>674</v>
      </c>
      <c r="B466" s="5" t="s">
        <v>668</v>
      </c>
      <c r="C466" s="5" t="s">
        <v>233</v>
      </c>
      <c r="D466" s="5" t="s">
        <v>31</v>
      </c>
      <c r="E466" s="5" t="s">
        <v>88</v>
      </c>
      <c r="F466" s="5" t="s">
        <v>18</v>
      </c>
      <c r="G466" s="5" t="s">
        <v>139</v>
      </c>
      <c r="H466" s="5"/>
      <c r="I466" s="6">
        <v>0</v>
      </c>
      <c r="J466" s="6">
        <v>0</v>
      </c>
      <c r="K466" s="6">
        <v>0</v>
      </c>
      <c r="L466" s="6">
        <v>0</v>
      </c>
      <c r="M466" s="5"/>
      <c r="N466" s="6">
        <v>72</v>
      </c>
      <c r="O466" s="6">
        <v>54</v>
      </c>
      <c r="P466" s="6">
        <v>54</v>
      </c>
      <c r="Q466" s="6">
        <v>0</v>
      </c>
      <c r="R466" s="6">
        <v>-18</v>
      </c>
      <c r="S466" s="5"/>
      <c r="T466" s="7">
        <v>6480</v>
      </c>
      <c r="U466" s="7">
        <v>4646.3999999999996</v>
      </c>
      <c r="V466" s="7">
        <v>0</v>
      </c>
      <c r="W466" s="7">
        <v>4646.3999999999996</v>
      </c>
      <c r="X466" s="7">
        <v>0</v>
      </c>
      <c r="Y466" s="7">
        <v>-1833.6</v>
      </c>
      <c r="Z466" s="10" t="str">
        <f t="shared" si="14"/>
        <v>Sheet Metal</v>
      </c>
      <c r="AA466" s="24" t="str">
        <f t="shared" si="15"/>
        <v xml:space="preserve"> 3971. LAX People Mover</v>
      </c>
    </row>
    <row r="467" spans="1:27" x14ac:dyDescent="0.2">
      <c r="A467" s="5" t="s">
        <v>675</v>
      </c>
      <c r="B467" s="5" t="s">
        <v>668</v>
      </c>
      <c r="C467" s="5" t="s">
        <v>235</v>
      </c>
      <c r="D467" s="5" t="s">
        <v>31</v>
      </c>
      <c r="E467" s="5" t="s">
        <v>88</v>
      </c>
      <c r="F467" s="5" t="s">
        <v>18</v>
      </c>
      <c r="G467" s="5" t="s">
        <v>139</v>
      </c>
      <c r="H467" s="5"/>
      <c r="I467" s="6">
        <v>0</v>
      </c>
      <c r="J467" s="6">
        <v>0</v>
      </c>
      <c r="K467" s="6">
        <v>0</v>
      </c>
      <c r="L467" s="6">
        <v>0</v>
      </c>
      <c r="M467" s="5"/>
      <c r="N467" s="6">
        <v>78</v>
      </c>
      <c r="O467" s="6">
        <v>72</v>
      </c>
      <c r="P467" s="6">
        <v>72</v>
      </c>
      <c r="Q467" s="6">
        <v>0</v>
      </c>
      <c r="R467" s="6">
        <v>-6</v>
      </c>
      <c r="S467" s="5"/>
      <c r="T467" s="7">
        <v>7020</v>
      </c>
      <c r="U467" s="7">
        <v>6634.53</v>
      </c>
      <c r="V467" s="7">
        <v>0</v>
      </c>
      <c r="W467" s="7">
        <v>6634.53</v>
      </c>
      <c r="X467" s="7">
        <v>0</v>
      </c>
      <c r="Y467" s="7">
        <v>-385.47</v>
      </c>
      <c r="Z467" s="10" t="str">
        <f t="shared" si="14"/>
        <v>Sheet Metal</v>
      </c>
      <c r="AA467" s="24" t="str">
        <f t="shared" si="15"/>
        <v xml:space="preserve"> 3971. LAX People Mover</v>
      </c>
    </row>
    <row r="468" spans="1:27" x14ac:dyDescent="0.2">
      <c r="A468" s="5" t="s">
        <v>676</v>
      </c>
      <c r="B468" s="5" t="s">
        <v>668</v>
      </c>
      <c r="C468" s="5" t="s">
        <v>237</v>
      </c>
      <c r="D468" s="5" t="s">
        <v>31</v>
      </c>
      <c r="E468" s="5" t="s">
        <v>88</v>
      </c>
      <c r="F468" s="5" t="s">
        <v>18</v>
      </c>
      <c r="G468" s="5" t="s">
        <v>139</v>
      </c>
      <c r="H468" s="5"/>
      <c r="I468" s="6">
        <v>0</v>
      </c>
      <c r="J468" s="6">
        <v>0</v>
      </c>
      <c r="K468" s="6">
        <v>0</v>
      </c>
      <c r="L468" s="6">
        <v>0</v>
      </c>
      <c r="M468" s="5"/>
      <c r="N468" s="6">
        <v>1064</v>
      </c>
      <c r="O468" s="6">
        <v>3219.5</v>
      </c>
      <c r="P468" s="6">
        <v>3214.5</v>
      </c>
      <c r="Q468" s="6">
        <v>-5</v>
      </c>
      <c r="R468" s="6">
        <v>2150.5</v>
      </c>
      <c r="S468" s="5"/>
      <c r="T468" s="7">
        <v>95760</v>
      </c>
      <c r="U468" s="7">
        <v>270168.03000000003</v>
      </c>
      <c r="V468" s="7">
        <v>0</v>
      </c>
      <c r="W468" s="7">
        <v>269768.88</v>
      </c>
      <c r="X468" s="7">
        <v>-399.15</v>
      </c>
      <c r="Y468" s="7">
        <v>174008.88</v>
      </c>
      <c r="Z468" s="10" t="str">
        <f t="shared" si="14"/>
        <v>Sheet Metal</v>
      </c>
      <c r="AA468" s="24" t="str">
        <f t="shared" si="15"/>
        <v xml:space="preserve"> 3971. LAX People Mover</v>
      </c>
    </row>
    <row r="469" spans="1:27" x14ac:dyDescent="0.2">
      <c r="A469" s="5" t="s">
        <v>677</v>
      </c>
      <c r="B469" s="5" t="s">
        <v>668</v>
      </c>
      <c r="C469" s="5" t="s">
        <v>239</v>
      </c>
      <c r="D469" s="5" t="s">
        <v>31</v>
      </c>
      <c r="E469" s="5" t="s">
        <v>88</v>
      </c>
      <c r="F469" s="5" t="s">
        <v>18</v>
      </c>
      <c r="G469" s="5" t="s">
        <v>139</v>
      </c>
      <c r="H469" s="5"/>
      <c r="I469" s="6">
        <v>0</v>
      </c>
      <c r="J469" s="6">
        <v>0</v>
      </c>
      <c r="K469" s="6">
        <v>0</v>
      </c>
      <c r="L469" s="6">
        <v>0</v>
      </c>
      <c r="M469" s="5"/>
      <c r="N469" s="6">
        <v>1000</v>
      </c>
      <c r="O469" s="6">
        <v>642.5</v>
      </c>
      <c r="P469" s="6">
        <v>642.5</v>
      </c>
      <c r="Q469" s="6">
        <v>0</v>
      </c>
      <c r="R469" s="6">
        <v>-357.5</v>
      </c>
      <c r="S469" s="5"/>
      <c r="T469" s="7">
        <v>90000</v>
      </c>
      <c r="U469" s="7">
        <v>53880.35</v>
      </c>
      <c r="V469" s="7">
        <v>0</v>
      </c>
      <c r="W469" s="7">
        <v>53880.35</v>
      </c>
      <c r="X469" s="7">
        <v>0</v>
      </c>
      <c r="Y469" s="7">
        <v>-36119.65</v>
      </c>
      <c r="Z469" s="10" t="str">
        <f t="shared" si="14"/>
        <v>Sheet Metal</v>
      </c>
      <c r="AA469" s="24" t="str">
        <f t="shared" si="15"/>
        <v xml:space="preserve"> 3971. LAX People Mover</v>
      </c>
    </row>
    <row r="470" spans="1:27" x14ac:dyDescent="0.2">
      <c r="A470" s="5" t="s">
        <v>678</v>
      </c>
      <c r="B470" s="5" t="s">
        <v>679</v>
      </c>
      <c r="C470" s="5" t="s">
        <v>225</v>
      </c>
      <c r="D470" s="5" t="s">
        <v>506</v>
      </c>
      <c r="E470" s="5" t="s">
        <v>88</v>
      </c>
      <c r="F470" s="5" t="s">
        <v>18</v>
      </c>
      <c r="G470" s="5" t="s">
        <v>139</v>
      </c>
      <c r="H470" s="5"/>
      <c r="I470" s="6">
        <v>0</v>
      </c>
      <c r="J470" s="6">
        <v>0</v>
      </c>
      <c r="K470" s="6">
        <v>0</v>
      </c>
      <c r="L470" s="6">
        <v>0</v>
      </c>
      <c r="M470" s="5"/>
      <c r="N470" s="6">
        <v>235</v>
      </c>
      <c r="O470" s="6">
        <v>406</v>
      </c>
      <c r="P470" s="6">
        <v>406</v>
      </c>
      <c r="Q470" s="6">
        <v>0</v>
      </c>
      <c r="R470" s="6">
        <v>171</v>
      </c>
      <c r="S470" s="5"/>
      <c r="T470" s="7">
        <v>21150</v>
      </c>
      <c r="U470" s="7">
        <v>33642.04</v>
      </c>
      <c r="V470" s="7">
        <v>0</v>
      </c>
      <c r="W470" s="7">
        <v>33642.04</v>
      </c>
      <c r="X470" s="7">
        <v>0</v>
      </c>
      <c r="Y470" s="7">
        <v>12492.04</v>
      </c>
      <c r="Z470" s="10" t="str">
        <f t="shared" si="14"/>
        <v>Sheet Metal</v>
      </c>
      <c r="AA470" s="24" t="str">
        <f t="shared" si="15"/>
        <v xml:space="preserve"> 3971. LAX People Mover</v>
      </c>
    </row>
    <row r="471" spans="1:27" x14ac:dyDescent="0.2">
      <c r="A471" s="5" t="s">
        <v>680</v>
      </c>
      <c r="B471" s="5" t="s">
        <v>679</v>
      </c>
      <c r="C471" s="5" t="s">
        <v>227</v>
      </c>
      <c r="D471" s="5" t="s">
        <v>506</v>
      </c>
      <c r="E471" s="5" t="s">
        <v>88</v>
      </c>
      <c r="F471" s="5" t="s">
        <v>18</v>
      </c>
      <c r="G471" s="5" t="s">
        <v>139</v>
      </c>
      <c r="H471" s="5"/>
      <c r="I471" s="6">
        <v>0</v>
      </c>
      <c r="J471" s="6">
        <v>0</v>
      </c>
      <c r="K471" s="6">
        <v>0</v>
      </c>
      <c r="L471" s="6">
        <v>0</v>
      </c>
      <c r="M471" s="5"/>
      <c r="N471" s="6">
        <v>18</v>
      </c>
      <c r="O471" s="6">
        <v>12</v>
      </c>
      <c r="P471" s="6">
        <v>12</v>
      </c>
      <c r="Q471" s="6">
        <v>0</v>
      </c>
      <c r="R471" s="6">
        <v>-6</v>
      </c>
      <c r="S471" s="5"/>
      <c r="T471" s="7">
        <v>1620</v>
      </c>
      <c r="U471" s="7">
        <v>791.24</v>
      </c>
      <c r="V471" s="7">
        <v>0</v>
      </c>
      <c r="W471" s="7">
        <v>791.24</v>
      </c>
      <c r="X471" s="7">
        <v>0</v>
      </c>
      <c r="Y471" s="7">
        <v>-828.76</v>
      </c>
      <c r="Z471" s="10" t="str">
        <f t="shared" si="14"/>
        <v>Sheet Metal</v>
      </c>
      <c r="AA471" s="24" t="str">
        <f t="shared" si="15"/>
        <v xml:space="preserve"> 3971. LAX People Mover</v>
      </c>
    </row>
    <row r="472" spans="1:27" x14ac:dyDescent="0.2">
      <c r="A472" s="5" t="s">
        <v>681</v>
      </c>
      <c r="B472" s="5" t="s">
        <v>679</v>
      </c>
      <c r="C472" s="5" t="s">
        <v>245</v>
      </c>
      <c r="D472" s="5" t="s">
        <v>506</v>
      </c>
      <c r="E472" s="5" t="s">
        <v>88</v>
      </c>
      <c r="F472" s="5" t="s">
        <v>18</v>
      </c>
      <c r="G472" s="5" t="s">
        <v>139</v>
      </c>
      <c r="H472" s="5"/>
      <c r="I472" s="6">
        <v>0</v>
      </c>
      <c r="J472" s="6">
        <v>0</v>
      </c>
      <c r="K472" s="6">
        <v>0</v>
      </c>
      <c r="L472" s="6">
        <v>0</v>
      </c>
      <c r="M472" s="5"/>
      <c r="N472" s="6">
        <v>12</v>
      </c>
      <c r="O472" s="6">
        <v>32</v>
      </c>
      <c r="P472" s="6">
        <v>32</v>
      </c>
      <c r="Q472" s="6">
        <v>0</v>
      </c>
      <c r="R472" s="6">
        <v>20</v>
      </c>
      <c r="S472" s="5"/>
      <c r="T472" s="7">
        <v>1080</v>
      </c>
      <c r="U472" s="7">
        <v>2547.9899999999998</v>
      </c>
      <c r="V472" s="7">
        <v>0</v>
      </c>
      <c r="W472" s="7">
        <v>2547.9899999999998</v>
      </c>
      <c r="X472" s="7">
        <v>0</v>
      </c>
      <c r="Y472" s="7">
        <v>1467.99</v>
      </c>
      <c r="Z472" s="10" t="str">
        <f t="shared" si="14"/>
        <v>Sheet Metal</v>
      </c>
      <c r="AA472" s="24" t="str">
        <f t="shared" si="15"/>
        <v xml:space="preserve"> 3971. LAX People Mover</v>
      </c>
    </row>
    <row r="473" spans="1:27" x14ac:dyDescent="0.2">
      <c r="A473" s="5" t="s">
        <v>682</v>
      </c>
      <c r="B473" s="5" t="s">
        <v>679</v>
      </c>
      <c r="C473" s="5" t="s">
        <v>229</v>
      </c>
      <c r="D473" s="5" t="s">
        <v>506</v>
      </c>
      <c r="E473" s="5" t="s">
        <v>88</v>
      </c>
      <c r="F473" s="5" t="s">
        <v>18</v>
      </c>
      <c r="G473" s="5" t="s">
        <v>139</v>
      </c>
      <c r="H473" s="5"/>
      <c r="I473" s="6">
        <v>0</v>
      </c>
      <c r="J473" s="6">
        <v>0</v>
      </c>
      <c r="K473" s="6">
        <v>0</v>
      </c>
      <c r="L473" s="6">
        <v>0</v>
      </c>
      <c r="M473" s="5"/>
      <c r="N473" s="6">
        <v>22</v>
      </c>
      <c r="O473" s="6">
        <v>14</v>
      </c>
      <c r="P473" s="6">
        <v>14</v>
      </c>
      <c r="Q473" s="6">
        <v>0</v>
      </c>
      <c r="R473" s="6">
        <v>-8</v>
      </c>
      <c r="S473" s="5"/>
      <c r="T473" s="7">
        <v>1980</v>
      </c>
      <c r="U473" s="7">
        <v>1082.26</v>
      </c>
      <c r="V473" s="7">
        <v>0</v>
      </c>
      <c r="W473" s="7">
        <v>1082.26</v>
      </c>
      <c r="X473" s="7">
        <v>0</v>
      </c>
      <c r="Y473" s="7">
        <v>-897.74</v>
      </c>
      <c r="Z473" s="10" t="str">
        <f t="shared" si="14"/>
        <v>Sheet Metal</v>
      </c>
      <c r="AA473" s="24" t="str">
        <f t="shared" si="15"/>
        <v xml:space="preserve"> 3971. LAX People Mover</v>
      </c>
    </row>
    <row r="474" spans="1:27" x14ac:dyDescent="0.2">
      <c r="A474" s="5" t="s">
        <v>683</v>
      </c>
      <c r="B474" s="5" t="s">
        <v>679</v>
      </c>
      <c r="C474" s="5" t="s">
        <v>231</v>
      </c>
      <c r="D474" s="5" t="s">
        <v>506</v>
      </c>
      <c r="E474" s="5" t="s">
        <v>88</v>
      </c>
      <c r="F474" s="5" t="s">
        <v>18</v>
      </c>
      <c r="G474" s="5" t="s">
        <v>139</v>
      </c>
      <c r="H474" s="5"/>
      <c r="I474" s="6">
        <v>0</v>
      </c>
      <c r="J474" s="6">
        <v>0</v>
      </c>
      <c r="K474" s="6">
        <v>0</v>
      </c>
      <c r="L474" s="6">
        <v>0</v>
      </c>
      <c r="M474" s="5"/>
      <c r="N474" s="6">
        <v>28</v>
      </c>
      <c r="O474" s="6">
        <v>32</v>
      </c>
      <c r="P474" s="6">
        <v>32</v>
      </c>
      <c r="Q474" s="6">
        <v>0</v>
      </c>
      <c r="R474" s="6">
        <v>4</v>
      </c>
      <c r="S474" s="5"/>
      <c r="T474" s="7">
        <v>2520</v>
      </c>
      <c r="U474" s="7">
        <v>2416.9699999999998</v>
      </c>
      <c r="V474" s="7">
        <v>0</v>
      </c>
      <c r="W474" s="7">
        <v>2416.9699999999998</v>
      </c>
      <c r="X474" s="7">
        <v>0</v>
      </c>
      <c r="Y474" s="7">
        <v>-103.03</v>
      </c>
      <c r="Z474" s="10" t="str">
        <f t="shared" si="14"/>
        <v>Sheet Metal</v>
      </c>
      <c r="AA474" s="24" t="str">
        <f t="shared" si="15"/>
        <v xml:space="preserve"> 3971. LAX People Mover</v>
      </c>
    </row>
    <row r="475" spans="1:27" x14ac:dyDescent="0.2">
      <c r="A475" s="5" t="s">
        <v>684</v>
      </c>
      <c r="B475" s="5" t="s">
        <v>679</v>
      </c>
      <c r="C475" s="5" t="s">
        <v>237</v>
      </c>
      <c r="D475" s="5" t="s">
        <v>506</v>
      </c>
      <c r="E475" s="5" t="s">
        <v>88</v>
      </c>
      <c r="F475" s="5" t="s">
        <v>18</v>
      </c>
      <c r="G475" s="5" t="s">
        <v>139</v>
      </c>
      <c r="H475" s="5"/>
      <c r="I475" s="6">
        <v>0</v>
      </c>
      <c r="J475" s="6">
        <v>0</v>
      </c>
      <c r="K475" s="6">
        <v>0</v>
      </c>
      <c r="L475" s="6">
        <v>0</v>
      </c>
      <c r="M475" s="5"/>
      <c r="N475" s="6">
        <v>100</v>
      </c>
      <c r="O475" s="6">
        <v>161.5</v>
      </c>
      <c r="P475" s="6">
        <v>161.5</v>
      </c>
      <c r="Q475" s="6">
        <v>0</v>
      </c>
      <c r="R475" s="6">
        <v>61.5</v>
      </c>
      <c r="S475" s="5"/>
      <c r="T475" s="7">
        <v>9000</v>
      </c>
      <c r="U475" s="7">
        <v>12452.39</v>
      </c>
      <c r="V475" s="7">
        <v>0</v>
      </c>
      <c r="W475" s="7">
        <v>12452.39</v>
      </c>
      <c r="X475" s="7">
        <v>0</v>
      </c>
      <c r="Y475" s="7">
        <v>3452.39</v>
      </c>
      <c r="Z475" s="10" t="str">
        <f t="shared" si="14"/>
        <v>Sheet Metal</v>
      </c>
      <c r="AA475" s="24" t="str">
        <f t="shared" si="15"/>
        <v xml:space="preserve"> 3971. LAX People Mover</v>
      </c>
    </row>
    <row r="476" spans="1:27" x14ac:dyDescent="0.2">
      <c r="A476" s="5" t="s">
        <v>685</v>
      </c>
      <c r="B476" s="5" t="s">
        <v>679</v>
      </c>
      <c r="C476" s="5" t="s">
        <v>239</v>
      </c>
      <c r="D476" s="5" t="s">
        <v>506</v>
      </c>
      <c r="E476" s="5" t="s">
        <v>88</v>
      </c>
      <c r="F476" s="5" t="s">
        <v>18</v>
      </c>
      <c r="G476" s="5" t="s">
        <v>139</v>
      </c>
      <c r="H476" s="5"/>
      <c r="I476" s="6">
        <v>0</v>
      </c>
      <c r="J476" s="6">
        <v>0</v>
      </c>
      <c r="K476" s="6">
        <v>0</v>
      </c>
      <c r="L476" s="6">
        <v>0</v>
      </c>
      <c r="M476" s="5"/>
      <c r="N476" s="6">
        <v>30</v>
      </c>
      <c r="O476" s="6">
        <v>24</v>
      </c>
      <c r="P476" s="6">
        <v>24</v>
      </c>
      <c r="Q476" s="6">
        <v>0</v>
      </c>
      <c r="R476" s="6">
        <v>-6</v>
      </c>
      <c r="S476" s="5"/>
      <c r="T476" s="7">
        <v>2700</v>
      </c>
      <c r="U476" s="7">
        <v>1874.87</v>
      </c>
      <c r="V476" s="7">
        <v>0</v>
      </c>
      <c r="W476" s="7">
        <v>1874.87</v>
      </c>
      <c r="X476" s="7">
        <v>0</v>
      </c>
      <c r="Y476" s="7">
        <v>-825.13</v>
      </c>
      <c r="Z476" s="10" t="str">
        <f t="shared" si="14"/>
        <v>Sheet Metal</v>
      </c>
      <c r="AA476" s="24" t="str">
        <f t="shared" si="15"/>
        <v xml:space="preserve"> 3971. LAX People Mover</v>
      </c>
    </row>
    <row r="477" spans="1:27" x14ac:dyDescent="0.2">
      <c r="A477" s="5" t="s">
        <v>686</v>
      </c>
      <c r="B477" s="5" t="s">
        <v>687</v>
      </c>
      <c r="C477" s="5" t="s">
        <v>16</v>
      </c>
      <c r="D477" s="5" t="s">
        <v>104</v>
      </c>
      <c r="E477" s="5" t="s">
        <v>88</v>
      </c>
      <c r="F477" s="5" t="s">
        <v>18</v>
      </c>
      <c r="G477" s="5" t="s">
        <v>139</v>
      </c>
      <c r="H477" s="5"/>
      <c r="I477" s="6">
        <v>0</v>
      </c>
      <c r="J477" s="6">
        <v>0</v>
      </c>
      <c r="K477" s="6">
        <v>0</v>
      </c>
      <c r="L477" s="6">
        <v>0</v>
      </c>
      <c r="M477" s="5"/>
      <c r="N477" s="6">
        <v>141</v>
      </c>
      <c r="O477" s="6">
        <v>161</v>
      </c>
      <c r="P477" s="6">
        <v>177</v>
      </c>
      <c r="Q477" s="6">
        <v>16</v>
      </c>
      <c r="R477" s="6">
        <v>36</v>
      </c>
      <c r="S477" s="5"/>
      <c r="T477" s="7">
        <v>12690</v>
      </c>
      <c r="U477" s="7">
        <v>14262.86</v>
      </c>
      <c r="V477" s="7">
        <v>0</v>
      </c>
      <c r="W477" s="7">
        <v>16113.32</v>
      </c>
      <c r="X477" s="7">
        <v>1850.46</v>
      </c>
      <c r="Y477" s="7">
        <v>3423.32</v>
      </c>
      <c r="Z477" s="10" t="str">
        <f t="shared" si="14"/>
        <v>Sheet Metal</v>
      </c>
      <c r="AA477" s="24" t="str">
        <f t="shared" si="15"/>
        <v xml:space="preserve"> 3971. LAX People Mover</v>
      </c>
    </row>
    <row r="478" spans="1:27" x14ac:dyDescent="0.2">
      <c r="A478" s="5" t="s">
        <v>688</v>
      </c>
      <c r="B478" s="5" t="s">
        <v>273</v>
      </c>
      <c r="C478" s="5" t="s">
        <v>225</v>
      </c>
      <c r="D478" s="5" t="s">
        <v>104</v>
      </c>
      <c r="E478" s="5" t="s">
        <v>88</v>
      </c>
      <c r="F478" s="5" t="s">
        <v>18</v>
      </c>
      <c r="G478" s="5" t="s">
        <v>139</v>
      </c>
      <c r="H478" s="5"/>
      <c r="I478" s="6">
        <v>0</v>
      </c>
      <c r="J478" s="6">
        <v>0</v>
      </c>
      <c r="K478" s="6">
        <v>0</v>
      </c>
      <c r="L478" s="6">
        <v>0</v>
      </c>
      <c r="M478" s="5"/>
      <c r="N478" s="6">
        <v>240</v>
      </c>
      <c r="O478" s="6">
        <v>588</v>
      </c>
      <c r="P478" s="6">
        <v>588</v>
      </c>
      <c r="Q478" s="6">
        <v>0</v>
      </c>
      <c r="R478" s="6">
        <v>348</v>
      </c>
      <c r="S478" s="5"/>
      <c r="T478" s="7">
        <v>21600</v>
      </c>
      <c r="U478" s="7">
        <v>48751.519999999997</v>
      </c>
      <c r="V478" s="7">
        <v>0</v>
      </c>
      <c r="W478" s="7">
        <v>48751.519999999997</v>
      </c>
      <c r="X478" s="7">
        <v>0</v>
      </c>
      <c r="Y478" s="7">
        <v>27151.52</v>
      </c>
      <c r="Z478" s="10" t="str">
        <f t="shared" si="14"/>
        <v>Sheet Metal</v>
      </c>
      <c r="AA478" s="24" t="str">
        <f t="shared" si="15"/>
        <v xml:space="preserve"> 3971. LAX People Mover</v>
      </c>
    </row>
    <row r="479" spans="1:27" x14ac:dyDescent="0.2">
      <c r="A479" s="5" t="s">
        <v>689</v>
      </c>
      <c r="B479" s="5" t="s">
        <v>273</v>
      </c>
      <c r="C479" s="5" t="s">
        <v>227</v>
      </c>
      <c r="D479" s="5" t="s">
        <v>104</v>
      </c>
      <c r="E479" s="5" t="s">
        <v>88</v>
      </c>
      <c r="F479" s="5" t="s">
        <v>18</v>
      </c>
      <c r="G479" s="5" t="s">
        <v>139</v>
      </c>
      <c r="H479" s="5"/>
      <c r="I479" s="6">
        <v>0</v>
      </c>
      <c r="J479" s="6">
        <v>0</v>
      </c>
      <c r="K479" s="6">
        <v>0</v>
      </c>
      <c r="L479" s="6">
        <v>0</v>
      </c>
      <c r="M479" s="5"/>
      <c r="N479" s="6">
        <v>16</v>
      </c>
      <c r="O479" s="6">
        <v>14</v>
      </c>
      <c r="P479" s="6">
        <v>14</v>
      </c>
      <c r="Q479" s="6">
        <v>0</v>
      </c>
      <c r="R479" s="6">
        <v>-2</v>
      </c>
      <c r="S479" s="5"/>
      <c r="T479" s="7">
        <v>1440</v>
      </c>
      <c r="U479" s="7">
        <v>919.17</v>
      </c>
      <c r="V479" s="7">
        <v>0</v>
      </c>
      <c r="W479" s="7">
        <v>919.17</v>
      </c>
      <c r="X479" s="7">
        <v>0</v>
      </c>
      <c r="Y479" s="7">
        <v>-520.83000000000004</v>
      </c>
      <c r="Z479" s="10" t="str">
        <f t="shared" si="14"/>
        <v>Sheet Metal</v>
      </c>
      <c r="AA479" s="24" t="str">
        <f t="shared" si="15"/>
        <v xml:space="preserve"> 3971. LAX People Mover</v>
      </c>
    </row>
    <row r="480" spans="1:27" x14ac:dyDescent="0.2">
      <c r="A480" s="5" t="s">
        <v>690</v>
      </c>
      <c r="B480" s="5" t="s">
        <v>273</v>
      </c>
      <c r="C480" s="5" t="s">
        <v>245</v>
      </c>
      <c r="D480" s="5" t="s">
        <v>104</v>
      </c>
      <c r="E480" s="5" t="s">
        <v>88</v>
      </c>
      <c r="F480" s="5" t="s">
        <v>18</v>
      </c>
      <c r="G480" s="5" t="s">
        <v>139</v>
      </c>
      <c r="H480" s="5"/>
      <c r="I480" s="6">
        <v>0</v>
      </c>
      <c r="J480" s="6">
        <v>0</v>
      </c>
      <c r="K480" s="6">
        <v>0</v>
      </c>
      <c r="L480" s="6">
        <v>0</v>
      </c>
      <c r="M480" s="5"/>
      <c r="N480" s="6">
        <v>10</v>
      </c>
      <c r="O480" s="6">
        <v>10</v>
      </c>
      <c r="P480" s="6">
        <v>10</v>
      </c>
      <c r="Q480" s="6">
        <v>0</v>
      </c>
      <c r="R480" s="6">
        <v>0</v>
      </c>
      <c r="S480" s="5"/>
      <c r="T480" s="7">
        <v>900</v>
      </c>
      <c r="U480" s="7">
        <v>506.29</v>
      </c>
      <c r="V480" s="7">
        <v>0</v>
      </c>
      <c r="W480" s="7">
        <v>506.29</v>
      </c>
      <c r="X480" s="7">
        <v>0</v>
      </c>
      <c r="Y480" s="7">
        <v>-393.71</v>
      </c>
      <c r="Z480" s="10" t="str">
        <f t="shared" si="14"/>
        <v>Sheet Metal</v>
      </c>
      <c r="AA480" s="24" t="str">
        <f t="shared" si="15"/>
        <v xml:space="preserve"> 3971. LAX People Mover</v>
      </c>
    </row>
    <row r="481" spans="1:27" x14ac:dyDescent="0.2">
      <c r="A481" s="5" t="s">
        <v>691</v>
      </c>
      <c r="B481" s="5" t="s">
        <v>273</v>
      </c>
      <c r="C481" s="5" t="s">
        <v>229</v>
      </c>
      <c r="D481" s="5" t="s">
        <v>104</v>
      </c>
      <c r="E481" s="5" t="s">
        <v>88</v>
      </c>
      <c r="F481" s="5" t="s">
        <v>18</v>
      </c>
      <c r="G481" s="5" t="s">
        <v>139</v>
      </c>
      <c r="H481" s="5"/>
      <c r="I481" s="6">
        <v>0</v>
      </c>
      <c r="J481" s="6">
        <v>0</v>
      </c>
      <c r="K481" s="6">
        <v>0</v>
      </c>
      <c r="L481" s="6">
        <v>0</v>
      </c>
      <c r="M481" s="5"/>
      <c r="N481" s="6">
        <v>12</v>
      </c>
      <c r="O481" s="6">
        <v>48</v>
      </c>
      <c r="P481" s="6">
        <v>48</v>
      </c>
      <c r="Q481" s="6">
        <v>0</v>
      </c>
      <c r="R481" s="6">
        <v>36</v>
      </c>
      <c r="S481" s="5"/>
      <c r="T481" s="7">
        <v>1080</v>
      </c>
      <c r="U481" s="7">
        <v>3837.32</v>
      </c>
      <c r="V481" s="7">
        <v>0</v>
      </c>
      <c r="W481" s="7">
        <v>3837.32</v>
      </c>
      <c r="X481" s="7">
        <v>0</v>
      </c>
      <c r="Y481" s="7">
        <v>2757.32</v>
      </c>
      <c r="Z481" s="10" t="str">
        <f t="shared" si="14"/>
        <v>Sheet Metal</v>
      </c>
      <c r="AA481" s="24" t="str">
        <f t="shared" si="15"/>
        <v xml:space="preserve"> 3971. LAX People Mover</v>
      </c>
    </row>
    <row r="482" spans="1:27" x14ac:dyDescent="0.2">
      <c r="A482" s="5" t="s">
        <v>692</v>
      </c>
      <c r="B482" s="5" t="s">
        <v>273</v>
      </c>
      <c r="C482" s="5" t="s">
        <v>231</v>
      </c>
      <c r="D482" s="5" t="s">
        <v>104</v>
      </c>
      <c r="E482" s="5" t="s">
        <v>88</v>
      </c>
      <c r="F482" s="5" t="s">
        <v>18</v>
      </c>
      <c r="G482" s="5" t="s">
        <v>139</v>
      </c>
      <c r="H482" s="5"/>
      <c r="I482" s="6">
        <v>0</v>
      </c>
      <c r="J482" s="6">
        <v>0</v>
      </c>
      <c r="K482" s="6">
        <v>0</v>
      </c>
      <c r="L482" s="6">
        <v>0</v>
      </c>
      <c r="M482" s="5"/>
      <c r="N482" s="6">
        <v>40</v>
      </c>
      <c r="O482" s="6">
        <v>64</v>
      </c>
      <c r="P482" s="6">
        <v>64</v>
      </c>
      <c r="Q482" s="6">
        <v>0</v>
      </c>
      <c r="R482" s="6">
        <v>24</v>
      </c>
      <c r="S482" s="5"/>
      <c r="T482" s="7">
        <v>3600</v>
      </c>
      <c r="U482" s="7">
        <v>4334.96</v>
      </c>
      <c r="V482" s="7">
        <v>0</v>
      </c>
      <c r="W482" s="7">
        <v>4334.96</v>
      </c>
      <c r="X482" s="7">
        <v>0</v>
      </c>
      <c r="Y482" s="7">
        <v>734.96</v>
      </c>
      <c r="Z482" s="10" t="str">
        <f t="shared" si="14"/>
        <v>Sheet Metal</v>
      </c>
      <c r="AA482" s="24" t="str">
        <f t="shared" si="15"/>
        <v xml:space="preserve"> 3971. LAX People Mover</v>
      </c>
    </row>
    <row r="483" spans="1:27" x14ac:dyDescent="0.2">
      <c r="A483" s="5" t="s">
        <v>693</v>
      </c>
      <c r="B483" s="5" t="s">
        <v>273</v>
      </c>
      <c r="C483" s="5" t="s">
        <v>237</v>
      </c>
      <c r="D483" s="5" t="s">
        <v>104</v>
      </c>
      <c r="E483" s="5" t="s">
        <v>88</v>
      </c>
      <c r="F483" s="5" t="s">
        <v>18</v>
      </c>
      <c r="G483" s="5" t="s">
        <v>139</v>
      </c>
      <c r="H483" s="5"/>
      <c r="I483" s="6">
        <v>0</v>
      </c>
      <c r="J483" s="6">
        <v>0</v>
      </c>
      <c r="K483" s="6">
        <v>0</v>
      </c>
      <c r="L483" s="6">
        <v>0</v>
      </c>
      <c r="M483" s="5"/>
      <c r="N483" s="6">
        <v>32</v>
      </c>
      <c r="O483" s="6">
        <v>60</v>
      </c>
      <c r="P483" s="6">
        <v>60</v>
      </c>
      <c r="Q483" s="6">
        <v>0</v>
      </c>
      <c r="R483" s="6">
        <v>28</v>
      </c>
      <c r="S483" s="5"/>
      <c r="T483" s="7">
        <v>2880</v>
      </c>
      <c r="U483" s="7">
        <v>4488.3900000000003</v>
      </c>
      <c r="V483" s="7">
        <v>0</v>
      </c>
      <c r="W483" s="7">
        <v>4488.3900000000003</v>
      </c>
      <c r="X483" s="7">
        <v>0</v>
      </c>
      <c r="Y483" s="7">
        <v>1608.39</v>
      </c>
      <c r="Z483" s="10" t="str">
        <f t="shared" si="14"/>
        <v>Sheet Metal</v>
      </c>
      <c r="AA483" s="24" t="str">
        <f t="shared" si="15"/>
        <v xml:space="preserve"> 3971. LAX People Mover</v>
      </c>
    </row>
    <row r="484" spans="1:27" x14ac:dyDescent="0.2">
      <c r="A484" s="5" t="s">
        <v>694</v>
      </c>
      <c r="B484" s="5" t="s">
        <v>273</v>
      </c>
      <c r="C484" s="5" t="s">
        <v>239</v>
      </c>
      <c r="D484" s="5" t="s">
        <v>104</v>
      </c>
      <c r="E484" s="5" t="s">
        <v>88</v>
      </c>
      <c r="F484" s="5" t="s">
        <v>18</v>
      </c>
      <c r="G484" s="5" t="s">
        <v>139</v>
      </c>
      <c r="H484" s="5"/>
      <c r="I484" s="6">
        <v>0</v>
      </c>
      <c r="J484" s="6">
        <v>0</v>
      </c>
      <c r="K484" s="6">
        <v>0</v>
      </c>
      <c r="L484" s="6">
        <v>0</v>
      </c>
      <c r="M484" s="5"/>
      <c r="N484" s="6">
        <v>20</v>
      </c>
      <c r="O484" s="6">
        <v>62</v>
      </c>
      <c r="P484" s="6">
        <v>62</v>
      </c>
      <c r="Q484" s="6">
        <v>0</v>
      </c>
      <c r="R484" s="6">
        <v>42</v>
      </c>
      <c r="S484" s="5"/>
      <c r="T484" s="7">
        <v>1800</v>
      </c>
      <c r="U484" s="7">
        <v>3433.17</v>
      </c>
      <c r="V484" s="7">
        <v>0</v>
      </c>
      <c r="W484" s="7">
        <v>3433.17</v>
      </c>
      <c r="X484" s="7">
        <v>0</v>
      </c>
      <c r="Y484" s="7">
        <v>1633.17</v>
      </c>
      <c r="Z484" s="10" t="str">
        <f t="shared" si="14"/>
        <v>Sheet Metal</v>
      </c>
      <c r="AA484" s="24" t="str">
        <f t="shared" si="15"/>
        <v xml:space="preserve"> 3971. LAX People Mover</v>
      </c>
    </row>
    <row r="485" spans="1:27" x14ac:dyDescent="0.2">
      <c r="A485" s="5" t="s">
        <v>695</v>
      </c>
      <c r="B485" s="5" t="s">
        <v>696</v>
      </c>
      <c r="C485" s="5" t="s">
        <v>225</v>
      </c>
      <c r="D485" s="5" t="s">
        <v>22</v>
      </c>
      <c r="E485" s="5" t="s">
        <v>88</v>
      </c>
      <c r="F485" s="5" t="s">
        <v>18</v>
      </c>
      <c r="G485" s="5" t="s">
        <v>139</v>
      </c>
      <c r="H485" s="5"/>
      <c r="I485" s="6">
        <v>0</v>
      </c>
      <c r="J485" s="6">
        <v>0</v>
      </c>
      <c r="K485" s="6">
        <v>0</v>
      </c>
      <c r="L485" s="6">
        <v>0</v>
      </c>
      <c r="M485" s="5"/>
      <c r="N485" s="6">
        <v>127</v>
      </c>
      <c r="O485" s="6">
        <v>96</v>
      </c>
      <c r="P485" s="6">
        <v>96</v>
      </c>
      <c r="Q485" s="6">
        <v>0</v>
      </c>
      <c r="R485" s="6">
        <v>-31</v>
      </c>
      <c r="S485" s="5"/>
      <c r="T485" s="7">
        <v>11430</v>
      </c>
      <c r="U485" s="7">
        <v>8522.64</v>
      </c>
      <c r="V485" s="7">
        <v>0</v>
      </c>
      <c r="W485" s="7">
        <v>8522.64</v>
      </c>
      <c r="X485" s="7">
        <v>0</v>
      </c>
      <c r="Y485" s="7">
        <v>-2907.36</v>
      </c>
      <c r="Z485" s="10" t="str">
        <f t="shared" si="14"/>
        <v>Sheet Metal</v>
      </c>
      <c r="AA485" s="24" t="str">
        <f t="shared" si="15"/>
        <v xml:space="preserve"> 3971. LAX People Mover</v>
      </c>
    </row>
    <row r="486" spans="1:27" x14ac:dyDescent="0.2">
      <c r="A486" s="5" t="s">
        <v>697</v>
      </c>
      <c r="B486" s="5" t="s">
        <v>696</v>
      </c>
      <c r="C486" s="5" t="s">
        <v>227</v>
      </c>
      <c r="D486" s="5" t="s">
        <v>22</v>
      </c>
      <c r="E486" s="5" t="s">
        <v>88</v>
      </c>
      <c r="F486" s="5" t="s">
        <v>18</v>
      </c>
      <c r="G486" s="5" t="s">
        <v>139</v>
      </c>
      <c r="H486" s="5"/>
      <c r="I486" s="6">
        <v>0</v>
      </c>
      <c r="J486" s="6">
        <v>0</v>
      </c>
      <c r="K486" s="6">
        <v>0</v>
      </c>
      <c r="L486" s="6">
        <v>0</v>
      </c>
      <c r="M486" s="5"/>
      <c r="N486" s="6">
        <v>4</v>
      </c>
      <c r="O486" s="6">
        <v>0</v>
      </c>
      <c r="P486" s="6">
        <v>0</v>
      </c>
      <c r="Q486" s="6">
        <v>0</v>
      </c>
      <c r="R486" s="6">
        <v>-4</v>
      </c>
      <c r="S486" s="5"/>
      <c r="T486" s="7">
        <v>360</v>
      </c>
      <c r="U486" s="7">
        <v>0</v>
      </c>
      <c r="V486" s="7">
        <v>0</v>
      </c>
      <c r="W486" s="7">
        <v>0</v>
      </c>
      <c r="X486" s="7">
        <v>0</v>
      </c>
      <c r="Y486" s="7">
        <v>-360</v>
      </c>
      <c r="Z486" s="10" t="str">
        <f t="shared" si="14"/>
        <v>Sheet Metal</v>
      </c>
      <c r="AA486" s="24" t="str">
        <f t="shared" si="15"/>
        <v xml:space="preserve"> 3971. LAX People Mover</v>
      </c>
    </row>
    <row r="487" spans="1:27" x14ac:dyDescent="0.2">
      <c r="A487" s="5" t="s">
        <v>698</v>
      </c>
      <c r="B487" s="5" t="s">
        <v>696</v>
      </c>
      <c r="C487" s="5" t="s">
        <v>245</v>
      </c>
      <c r="D487" s="5" t="s">
        <v>22</v>
      </c>
      <c r="E487" s="5" t="s">
        <v>88</v>
      </c>
      <c r="F487" s="5" t="s">
        <v>18</v>
      </c>
      <c r="G487" s="5" t="s">
        <v>139</v>
      </c>
      <c r="H487" s="5"/>
      <c r="I487" s="6">
        <v>0</v>
      </c>
      <c r="J487" s="6">
        <v>0</v>
      </c>
      <c r="K487" s="6">
        <v>0</v>
      </c>
      <c r="L487" s="6">
        <v>0</v>
      </c>
      <c r="M487" s="5"/>
      <c r="N487" s="6">
        <v>2</v>
      </c>
      <c r="O487" s="6">
        <v>0</v>
      </c>
      <c r="P487" s="6">
        <v>0</v>
      </c>
      <c r="Q487" s="6">
        <v>0</v>
      </c>
      <c r="R487" s="6">
        <v>-2</v>
      </c>
      <c r="S487" s="5"/>
      <c r="T487" s="7">
        <v>180</v>
      </c>
      <c r="U487" s="7">
        <v>0</v>
      </c>
      <c r="V487" s="7">
        <v>0</v>
      </c>
      <c r="W487" s="7">
        <v>0</v>
      </c>
      <c r="X487" s="7">
        <v>0</v>
      </c>
      <c r="Y487" s="7">
        <v>-180</v>
      </c>
      <c r="Z487" s="10" t="str">
        <f t="shared" si="14"/>
        <v>Sheet Metal</v>
      </c>
      <c r="AA487" s="24" t="str">
        <f t="shared" si="15"/>
        <v xml:space="preserve"> 3971. LAX People Mover</v>
      </c>
    </row>
    <row r="488" spans="1:27" x14ac:dyDescent="0.2">
      <c r="A488" s="5" t="s">
        <v>699</v>
      </c>
      <c r="B488" s="5" t="s">
        <v>696</v>
      </c>
      <c r="C488" s="5" t="s">
        <v>229</v>
      </c>
      <c r="D488" s="5" t="s">
        <v>22</v>
      </c>
      <c r="E488" s="5" t="s">
        <v>88</v>
      </c>
      <c r="F488" s="5" t="s">
        <v>18</v>
      </c>
      <c r="G488" s="5" t="s">
        <v>139</v>
      </c>
      <c r="H488" s="5"/>
      <c r="I488" s="6">
        <v>0</v>
      </c>
      <c r="J488" s="6">
        <v>0</v>
      </c>
      <c r="K488" s="6">
        <v>0</v>
      </c>
      <c r="L488" s="6">
        <v>0</v>
      </c>
      <c r="M488" s="5"/>
      <c r="N488" s="6">
        <v>6</v>
      </c>
      <c r="O488" s="6">
        <v>0</v>
      </c>
      <c r="P488" s="6">
        <v>0</v>
      </c>
      <c r="Q488" s="6">
        <v>0</v>
      </c>
      <c r="R488" s="6">
        <v>-6</v>
      </c>
      <c r="S488" s="5"/>
      <c r="T488" s="7">
        <v>540</v>
      </c>
      <c r="U488" s="7">
        <v>0</v>
      </c>
      <c r="V488" s="7">
        <v>0</v>
      </c>
      <c r="W488" s="7">
        <v>0</v>
      </c>
      <c r="X488" s="7">
        <v>0</v>
      </c>
      <c r="Y488" s="7">
        <v>-540</v>
      </c>
      <c r="Z488" s="10" t="str">
        <f t="shared" si="14"/>
        <v>Sheet Metal</v>
      </c>
      <c r="AA488" s="24" t="str">
        <f t="shared" si="15"/>
        <v xml:space="preserve"> 3971. LAX People Mover</v>
      </c>
    </row>
    <row r="489" spans="1:27" x14ac:dyDescent="0.2">
      <c r="A489" s="5" t="s">
        <v>700</v>
      </c>
      <c r="B489" s="5" t="s">
        <v>696</v>
      </c>
      <c r="C489" s="5" t="s">
        <v>231</v>
      </c>
      <c r="D489" s="5" t="s">
        <v>22</v>
      </c>
      <c r="E489" s="5" t="s">
        <v>88</v>
      </c>
      <c r="F489" s="5" t="s">
        <v>18</v>
      </c>
      <c r="G489" s="5" t="s">
        <v>139</v>
      </c>
      <c r="H489" s="5"/>
      <c r="I489" s="6">
        <v>0</v>
      </c>
      <c r="J489" s="6">
        <v>0</v>
      </c>
      <c r="K489" s="6">
        <v>0</v>
      </c>
      <c r="L489" s="6">
        <v>0</v>
      </c>
      <c r="M489" s="5"/>
      <c r="N489" s="6">
        <v>6</v>
      </c>
      <c r="O489" s="6">
        <v>0</v>
      </c>
      <c r="P489" s="6">
        <v>0</v>
      </c>
      <c r="Q489" s="6">
        <v>0</v>
      </c>
      <c r="R489" s="6">
        <v>-6</v>
      </c>
      <c r="S489" s="5"/>
      <c r="T489" s="7">
        <v>540</v>
      </c>
      <c r="U489" s="7">
        <v>0</v>
      </c>
      <c r="V489" s="7">
        <v>0</v>
      </c>
      <c r="W489" s="7">
        <v>0</v>
      </c>
      <c r="X489" s="7">
        <v>0</v>
      </c>
      <c r="Y489" s="7">
        <v>-540</v>
      </c>
      <c r="Z489" s="10" t="str">
        <f t="shared" si="14"/>
        <v>Sheet Metal</v>
      </c>
      <c r="AA489" s="24" t="str">
        <f t="shared" si="15"/>
        <v xml:space="preserve"> 3971. LAX People Mover</v>
      </c>
    </row>
    <row r="490" spans="1:27" x14ac:dyDescent="0.2">
      <c r="A490" s="5" t="s">
        <v>701</v>
      </c>
      <c r="B490" s="5" t="s">
        <v>696</v>
      </c>
      <c r="C490" s="5" t="s">
        <v>237</v>
      </c>
      <c r="D490" s="5" t="s">
        <v>22</v>
      </c>
      <c r="E490" s="5" t="s">
        <v>88</v>
      </c>
      <c r="F490" s="5" t="s">
        <v>18</v>
      </c>
      <c r="G490" s="5" t="s">
        <v>139</v>
      </c>
      <c r="H490" s="5"/>
      <c r="I490" s="6">
        <v>0</v>
      </c>
      <c r="J490" s="6">
        <v>0</v>
      </c>
      <c r="K490" s="6">
        <v>0</v>
      </c>
      <c r="L490" s="6">
        <v>0</v>
      </c>
      <c r="M490" s="5"/>
      <c r="N490" s="6">
        <v>48</v>
      </c>
      <c r="O490" s="6">
        <v>35</v>
      </c>
      <c r="P490" s="6">
        <v>35</v>
      </c>
      <c r="Q490" s="6">
        <v>0</v>
      </c>
      <c r="R490" s="6">
        <v>-13</v>
      </c>
      <c r="S490" s="5"/>
      <c r="T490" s="7">
        <v>4320</v>
      </c>
      <c r="U490" s="7">
        <v>3424.18</v>
      </c>
      <c r="V490" s="7">
        <v>0</v>
      </c>
      <c r="W490" s="7">
        <v>3424.18</v>
      </c>
      <c r="X490" s="7">
        <v>0</v>
      </c>
      <c r="Y490" s="7">
        <v>-895.82</v>
      </c>
      <c r="Z490" s="10" t="str">
        <f t="shared" si="14"/>
        <v>Sheet Metal</v>
      </c>
      <c r="AA490" s="24" t="str">
        <f t="shared" si="15"/>
        <v xml:space="preserve"> 3971. LAX People Mover</v>
      </c>
    </row>
    <row r="491" spans="1:27" x14ac:dyDescent="0.2">
      <c r="A491" s="5" t="s">
        <v>702</v>
      </c>
      <c r="B491" s="5" t="s">
        <v>696</v>
      </c>
      <c r="C491" s="5" t="s">
        <v>239</v>
      </c>
      <c r="D491" s="5" t="s">
        <v>22</v>
      </c>
      <c r="E491" s="5" t="s">
        <v>88</v>
      </c>
      <c r="F491" s="5" t="s">
        <v>18</v>
      </c>
      <c r="G491" s="5" t="s">
        <v>139</v>
      </c>
      <c r="H491" s="5"/>
      <c r="I491" s="6">
        <v>0</v>
      </c>
      <c r="J491" s="6">
        <v>0</v>
      </c>
      <c r="K491" s="6">
        <v>0</v>
      </c>
      <c r="L491" s="6">
        <v>0</v>
      </c>
      <c r="M491" s="5"/>
      <c r="N491" s="6">
        <v>9</v>
      </c>
      <c r="O491" s="6">
        <v>0</v>
      </c>
      <c r="P491" s="6">
        <v>0</v>
      </c>
      <c r="Q491" s="6">
        <v>0</v>
      </c>
      <c r="R491" s="6">
        <v>-9</v>
      </c>
      <c r="S491" s="5"/>
      <c r="T491" s="7">
        <v>810</v>
      </c>
      <c r="U491" s="7">
        <v>0</v>
      </c>
      <c r="V491" s="7">
        <v>0</v>
      </c>
      <c r="W491" s="7">
        <v>0</v>
      </c>
      <c r="X491" s="7">
        <v>0</v>
      </c>
      <c r="Y491" s="7">
        <v>-810</v>
      </c>
      <c r="Z491" s="10" t="str">
        <f t="shared" si="14"/>
        <v>Sheet Metal</v>
      </c>
      <c r="AA491" s="24" t="str">
        <f t="shared" si="15"/>
        <v xml:space="preserve"> 3971. LAX People Mover</v>
      </c>
    </row>
    <row r="492" spans="1:27" x14ac:dyDescent="0.2">
      <c r="A492" s="5" t="s">
        <v>703</v>
      </c>
      <c r="B492" s="5" t="s">
        <v>704</v>
      </c>
      <c r="C492" s="5" t="s">
        <v>225</v>
      </c>
      <c r="D492" s="5" t="s">
        <v>22</v>
      </c>
      <c r="E492" s="5" t="s">
        <v>88</v>
      </c>
      <c r="F492" s="5" t="s">
        <v>18</v>
      </c>
      <c r="G492" s="5" t="s">
        <v>139</v>
      </c>
      <c r="H492" s="5"/>
      <c r="I492" s="6">
        <v>0</v>
      </c>
      <c r="J492" s="6">
        <v>0</v>
      </c>
      <c r="K492" s="6">
        <v>0</v>
      </c>
      <c r="L492" s="6">
        <v>0</v>
      </c>
      <c r="M492" s="5"/>
      <c r="N492" s="6">
        <v>62</v>
      </c>
      <c r="O492" s="6">
        <v>42</v>
      </c>
      <c r="P492" s="6">
        <v>62</v>
      </c>
      <c r="Q492" s="6">
        <v>20</v>
      </c>
      <c r="R492" s="6">
        <v>0</v>
      </c>
      <c r="S492" s="5"/>
      <c r="T492" s="7">
        <v>5580</v>
      </c>
      <c r="U492" s="7">
        <v>4645.3100000000004</v>
      </c>
      <c r="V492" s="7">
        <v>0</v>
      </c>
      <c r="W492" s="7">
        <v>7130</v>
      </c>
      <c r="X492" s="7">
        <v>2484.69</v>
      </c>
      <c r="Y492" s="7">
        <v>1550</v>
      </c>
      <c r="Z492" s="10" t="str">
        <f t="shared" si="14"/>
        <v>Sheet Metal</v>
      </c>
      <c r="AA492" s="24" t="str">
        <f t="shared" si="15"/>
        <v xml:space="preserve"> 3971. LAX People Mover</v>
      </c>
    </row>
    <row r="493" spans="1:27" x14ac:dyDescent="0.2">
      <c r="A493" s="5" t="s">
        <v>705</v>
      </c>
      <c r="B493" s="5" t="s">
        <v>704</v>
      </c>
      <c r="C493" s="5" t="s">
        <v>227</v>
      </c>
      <c r="D493" s="5" t="s">
        <v>22</v>
      </c>
      <c r="E493" s="5" t="s">
        <v>88</v>
      </c>
      <c r="F493" s="5" t="s">
        <v>18</v>
      </c>
      <c r="G493" s="5" t="s">
        <v>139</v>
      </c>
      <c r="H493" s="5"/>
      <c r="I493" s="6">
        <v>0</v>
      </c>
      <c r="J493" s="6">
        <v>0</v>
      </c>
      <c r="K493" s="6">
        <v>0</v>
      </c>
      <c r="L493" s="6">
        <v>0</v>
      </c>
      <c r="M493" s="5"/>
      <c r="N493" s="6">
        <v>33</v>
      </c>
      <c r="O493" s="6">
        <v>0</v>
      </c>
      <c r="P493" s="6">
        <v>33</v>
      </c>
      <c r="Q493" s="6">
        <v>33</v>
      </c>
      <c r="R493" s="6">
        <v>0</v>
      </c>
      <c r="S493" s="5"/>
      <c r="T493" s="7">
        <v>2970</v>
      </c>
      <c r="U493" s="7">
        <v>0</v>
      </c>
      <c r="V493" s="7">
        <v>0</v>
      </c>
      <c r="W493" s="7">
        <v>3795</v>
      </c>
      <c r="X493" s="7">
        <v>3795</v>
      </c>
      <c r="Y493" s="7">
        <v>825</v>
      </c>
      <c r="Z493" s="10" t="str">
        <f t="shared" si="14"/>
        <v>Sheet Metal</v>
      </c>
      <c r="AA493" s="24" t="str">
        <f t="shared" si="15"/>
        <v xml:space="preserve"> 3971. LAX People Mover</v>
      </c>
    </row>
    <row r="494" spans="1:27" x14ac:dyDescent="0.2">
      <c r="A494" s="5" t="s">
        <v>706</v>
      </c>
      <c r="B494" s="5" t="s">
        <v>704</v>
      </c>
      <c r="C494" s="5" t="s">
        <v>245</v>
      </c>
      <c r="D494" s="5" t="s">
        <v>22</v>
      </c>
      <c r="E494" s="5" t="s">
        <v>88</v>
      </c>
      <c r="F494" s="5" t="s">
        <v>18</v>
      </c>
      <c r="G494" s="5" t="s">
        <v>139</v>
      </c>
      <c r="H494" s="5"/>
      <c r="I494" s="6">
        <v>0</v>
      </c>
      <c r="J494" s="6">
        <v>0</v>
      </c>
      <c r="K494" s="6">
        <v>0</v>
      </c>
      <c r="L494" s="6">
        <v>0</v>
      </c>
      <c r="M494" s="5"/>
      <c r="N494" s="6">
        <v>8</v>
      </c>
      <c r="O494" s="6">
        <v>24</v>
      </c>
      <c r="P494" s="6">
        <v>28</v>
      </c>
      <c r="Q494" s="6">
        <v>4</v>
      </c>
      <c r="R494" s="6">
        <v>20</v>
      </c>
      <c r="S494" s="5"/>
      <c r="T494" s="7">
        <v>720</v>
      </c>
      <c r="U494" s="7">
        <v>2814.63</v>
      </c>
      <c r="V494" s="7">
        <v>0</v>
      </c>
      <c r="W494" s="7">
        <v>3283.74</v>
      </c>
      <c r="X494" s="7">
        <v>469.11</v>
      </c>
      <c r="Y494" s="7">
        <v>2563.7399999999998</v>
      </c>
      <c r="Z494" s="10" t="str">
        <f t="shared" si="14"/>
        <v>Sheet Metal</v>
      </c>
      <c r="AA494" s="24" t="str">
        <f t="shared" si="15"/>
        <v xml:space="preserve"> 3971. LAX People Mover</v>
      </c>
    </row>
    <row r="495" spans="1:27" x14ac:dyDescent="0.2">
      <c r="A495" s="5" t="s">
        <v>707</v>
      </c>
      <c r="B495" s="5" t="s">
        <v>704</v>
      </c>
      <c r="C495" s="5" t="s">
        <v>229</v>
      </c>
      <c r="D495" s="5" t="s">
        <v>22</v>
      </c>
      <c r="E495" s="5" t="s">
        <v>88</v>
      </c>
      <c r="F495" s="5" t="s">
        <v>18</v>
      </c>
      <c r="G495" s="5" t="s">
        <v>139</v>
      </c>
      <c r="H495" s="5"/>
      <c r="I495" s="6">
        <v>0</v>
      </c>
      <c r="J495" s="6">
        <v>0</v>
      </c>
      <c r="K495" s="6">
        <v>0</v>
      </c>
      <c r="L495" s="6">
        <v>0</v>
      </c>
      <c r="M495" s="5"/>
      <c r="N495" s="6">
        <v>26</v>
      </c>
      <c r="O495" s="6">
        <v>3</v>
      </c>
      <c r="P495" s="6">
        <v>26</v>
      </c>
      <c r="Q495" s="6">
        <v>23</v>
      </c>
      <c r="R495" s="6">
        <v>0</v>
      </c>
      <c r="S495" s="5"/>
      <c r="T495" s="7">
        <v>2340</v>
      </c>
      <c r="U495" s="7">
        <v>343.18</v>
      </c>
      <c r="V495" s="7">
        <v>0</v>
      </c>
      <c r="W495" s="7">
        <v>2990</v>
      </c>
      <c r="X495" s="7">
        <v>2646.82</v>
      </c>
      <c r="Y495" s="7">
        <v>650</v>
      </c>
      <c r="Z495" s="10" t="str">
        <f t="shared" si="14"/>
        <v>Sheet Metal</v>
      </c>
      <c r="AA495" s="24" t="str">
        <f t="shared" si="15"/>
        <v xml:space="preserve"> 3971. LAX People Mover</v>
      </c>
    </row>
    <row r="496" spans="1:27" x14ac:dyDescent="0.2">
      <c r="A496" s="5" t="s">
        <v>708</v>
      </c>
      <c r="B496" s="5" t="s">
        <v>704</v>
      </c>
      <c r="C496" s="5" t="s">
        <v>231</v>
      </c>
      <c r="D496" s="5" t="s">
        <v>22</v>
      </c>
      <c r="E496" s="5" t="s">
        <v>88</v>
      </c>
      <c r="F496" s="5" t="s">
        <v>18</v>
      </c>
      <c r="G496" s="5" t="s">
        <v>139</v>
      </c>
      <c r="H496" s="5"/>
      <c r="I496" s="6">
        <v>0</v>
      </c>
      <c r="J496" s="6">
        <v>0</v>
      </c>
      <c r="K496" s="6">
        <v>0</v>
      </c>
      <c r="L496" s="6">
        <v>0</v>
      </c>
      <c r="M496" s="5"/>
      <c r="N496" s="6">
        <v>40</v>
      </c>
      <c r="O496" s="6">
        <v>16</v>
      </c>
      <c r="P496" s="6">
        <v>40</v>
      </c>
      <c r="Q496" s="6">
        <v>24</v>
      </c>
      <c r="R496" s="6">
        <v>0</v>
      </c>
      <c r="S496" s="5"/>
      <c r="T496" s="7">
        <v>3600</v>
      </c>
      <c r="U496" s="7">
        <v>1876.42</v>
      </c>
      <c r="V496" s="7">
        <v>0</v>
      </c>
      <c r="W496" s="7">
        <v>4600</v>
      </c>
      <c r="X496" s="7">
        <v>2723.58</v>
      </c>
      <c r="Y496" s="7">
        <v>1000</v>
      </c>
      <c r="Z496" s="10" t="str">
        <f t="shared" si="14"/>
        <v>Sheet Metal</v>
      </c>
      <c r="AA496" s="24" t="str">
        <f t="shared" si="15"/>
        <v xml:space="preserve"> 3971. LAX People Mover</v>
      </c>
    </row>
    <row r="497" spans="1:27" x14ac:dyDescent="0.2">
      <c r="A497" s="5" t="s">
        <v>709</v>
      </c>
      <c r="B497" s="5" t="s">
        <v>704</v>
      </c>
      <c r="C497" s="5" t="s">
        <v>233</v>
      </c>
      <c r="D497" s="5" t="s">
        <v>22</v>
      </c>
      <c r="E497" s="5" t="s">
        <v>88</v>
      </c>
      <c r="F497" s="5" t="s">
        <v>18</v>
      </c>
      <c r="G497" s="5" t="s">
        <v>139</v>
      </c>
      <c r="H497" s="5"/>
      <c r="I497" s="6">
        <v>0</v>
      </c>
      <c r="J497" s="6">
        <v>0</v>
      </c>
      <c r="K497" s="6">
        <v>0</v>
      </c>
      <c r="L497" s="6">
        <v>0</v>
      </c>
      <c r="M497" s="5"/>
      <c r="N497" s="6">
        <v>8</v>
      </c>
      <c r="O497" s="6">
        <v>0</v>
      </c>
      <c r="P497" s="6">
        <v>8</v>
      </c>
      <c r="Q497" s="6">
        <v>8</v>
      </c>
      <c r="R497" s="6">
        <v>0</v>
      </c>
      <c r="S497" s="5"/>
      <c r="T497" s="7">
        <v>720</v>
      </c>
      <c r="U497" s="7">
        <v>0</v>
      </c>
      <c r="V497" s="7">
        <v>0</v>
      </c>
      <c r="W497" s="7">
        <v>920</v>
      </c>
      <c r="X497" s="7">
        <v>920</v>
      </c>
      <c r="Y497" s="7">
        <v>200</v>
      </c>
      <c r="Z497" s="10" t="str">
        <f t="shared" si="14"/>
        <v>Sheet Metal</v>
      </c>
      <c r="AA497" s="24" t="str">
        <f t="shared" si="15"/>
        <v xml:space="preserve"> 3971. LAX People Mover</v>
      </c>
    </row>
    <row r="498" spans="1:27" x14ac:dyDescent="0.2">
      <c r="A498" s="5" t="s">
        <v>710</v>
      </c>
      <c r="B498" s="5" t="s">
        <v>704</v>
      </c>
      <c r="C498" s="5" t="s">
        <v>235</v>
      </c>
      <c r="D498" s="5" t="s">
        <v>22</v>
      </c>
      <c r="E498" s="5" t="s">
        <v>88</v>
      </c>
      <c r="F498" s="5" t="s">
        <v>18</v>
      </c>
      <c r="G498" s="5" t="s">
        <v>139</v>
      </c>
      <c r="H498" s="5"/>
      <c r="I498" s="6">
        <v>0</v>
      </c>
      <c r="J498" s="6">
        <v>0</v>
      </c>
      <c r="K498" s="6">
        <v>0</v>
      </c>
      <c r="L498" s="6">
        <v>0</v>
      </c>
      <c r="M498" s="5"/>
      <c r="N498" s="6">
        <v>8</v>
      </c>
      <c r="O498" s="6">
        <v>0</v>
      </c>
      <c r="P498" s="6">
        <v>8</v>
      </c>
      <c r="Q498" s="6">
        <v>8</v>
      </c>
      <c r="R498" s="6">
        <v>0</v>
      </c>
      <c r="S498" s="5"/>
      <c r="T498" s="7">
        <v>720</v>
      </c>
      <c r="U498" s="7">
        <v>0</v>
      </c>
      <c r="V498" s="7">
        <v>0</v>
      </c>
      <c r="W498" s="7">
        <v>920</v>
      </c>
      <c r="X498" s="7">
        <v>920</v>
      </c>
      <c r="Y498" s="7">
        <v>200</v>
      </c>
      <c r="Z498" s="10" t="str">
        <f t="shared" si="14"/>
        <v>Sheet Metal</v>
      </c>
      <c r="AA498" s="24" t="str">
        <f t="shared" si="15"/>
        <v xml:space="preserve"> 3971. LAX People Mover</v>
      </c>
    </row>
    <row r="499" spans="1:27" x14ac:dyDescent="0.2">
      <c r="A499" s="5" t="s">
        <v>711</v>
      </c>
      <c r="B499" s="5" t="s">
        <v>704</v>
      </c>
      <c r="C499" s="5" t="s">
        <v>237</v>
      </c>
      <c r="D499" s="5" t="s">
        <v>22</v>
      </c>
      <c r="E499" s="5" t="s">
        <v>88</v>
      </c>
      <c r="F499" s="5" t="s">
        <v>18</v>
      </c>
      <c r="G499" s="5" t="s">
        <v>139</v>
      </c>
      <c r="H499" s="5"/>
      <c r="I499" s="6">
        <v>0</v>
      </c>
      <c r="J499" s="6">
        <v>0</v>
      </c>
      <c r="K499" s="6">
        <v>0</v>
      </c>
      <c r="L499" s="6">
        <v>0</v>
      </c>
      <c r="M499" s="5"/>
      <c r="N499" s="6">
        <v>51</v>
      </c>
      <c r="O499" s="6">
        <v>0</v>
      </c>
      <c r="P499" s="6">
        <v>51</v>
      </c>
      <c r="Q499" s="6">
        <v>51</v>
      </c>
      <c r="R499" s="6">
        <v>0</v>
      </c>
      <c r="S499" s="5"/>
      <c r="T499" s="7">
        <v>4590</v>
      </c>
      <c r="U499" s="7">
        <v>0</v>
      </c>
      <c r="V499" s="7">
        <v>0</v>
      </c>
      <c r="W499" s="7">
        <v>5865</v>
      </c>
      <c r="X499" s="7">
        <v>5865</v>
      </c>
      <c r="Y499" s="7">
        <v>1275</v>
      </c>
      <c r="Z499" s="10" t="str">
        <f t="shared" si="14"/>
        <v>Sheet Metal</v>
      </c>
      <c r="AA499" s="24" t="str">
        <f t="shared" si="15"/>
        <v xml:space="preserve"> 3971. LAX People Mover</v>
      </c>
    </row>
    <row r="500" spans="1:27" x14ac:dyDescent="0.2">
      <c r="A500" s="5" t="s">
        <v>712</v>
      </c>
      <c r="B500" s="5" t="s">
        <v>704</v>
      </c>
      <c r="C500" s="5" t="s">
        <v>239</v>
      </c>
      <c r="D500" s="5" t="s">
        <v>22</v>
      </c>
      <c r="E500" s="5" t="s">
        <v>88</v>
      </c>
      <c r="F500" s="5" t="s">
        <v>18</v>
      </c>
      <c r="G500" s="5" t="s">
        <v>139</v>
      </c>
      <c r="H500" s="5"/>
      <c r="I500" s="6">
        <v>0</v>
      </c>
      <c r="J500" s="6">
        <v>0</v>
      </c>
      <c r="K500" s="6">
        <v>0</v>
      </c>
      <c r="L500" s="6">
        <v>0</v>
      </c>
      <c r="M500" s="5"/>
      <c r="N500" s="6">
        <v>32</v>
      </c>
      <c r="O500" s="6">
        <v>50</v>
      </c>
      <c r="P500" s="6">
        <v>58</v>
      </c>
      <c r="Q500" s="6">
        <v>8</v>
      </c>
      <c r="R500" s="6">
        <v>26</v>
      </c>
      <c r="S500" s="5"/>
      <c r="T500" s="7">
        <v>2880</v>
      </c>
      <c r="U500" s="7">
        <v>5700.23</v>
      </c>
      <c r="V500" s="7">
        <v>0</v>
      </c>
      <c r="W500" s="7">
        <v>6612.27</v>
      </c>
      <c r="X500" s="7">
        <v>912.04</v>
      </c>
      <c r="Y500" s="7">
        <v>3732.27</v>
      </c>
      <c r="Z500" s="10" t="str">
        <f t="shared" si="14"/>
        <v>Sheet Metal</v>
      </c>
      <c r="AA500" s="24" t="str">
        <f t="shared" si="15"/>
        <v xml:space="preserve"> 3971. LAX People Mover</v>
      </c>
    </row>
    <row r="501" spans="1:27" x14ac:dyDescent="0.2">
      <c r="A501" s="5" t="s">
        <v>713</v>
      </c>
      <c r="B501" s="5" t="s">
        <v>714</v>
      </c>
      <c r="C501" s="5" t="s">
        <v>225</v>
      </c>
      <c r="D501" s="5" t="s">
        <v>22</v>
      </c>
      <c r="E501" s="5" t="s">
        <v>88</v>
      </c>
      <c r="F501" s="5" t="s">
        <v>18</v>
      </c>
      <c r="G501" s="5" t="s">
        <v>139</v>
      </c>
      <c r="H501" s="5"/>
      <c r="I501" s="6">
        <v>0</v>
      </c>
      <c r="J501" s="6">
        <v>0</v>
      </c>
      <c r="K501" s="6">
        <v>0</v>
      </c>
      <c r="L501" s="6">
        <v>0</v>
      </c>
      <c r="M501" s="5"/>
      <c r="N501" s="6">
        <v>341</v>
      </c>
      <c r="O501" s="6">
        <v>736</v>
      </c>
      <c r="P501" s="6">
        <v>735</v>
      </c>
      <c r="Q501" s="6">
        <v>-1</v>
      </c>
      <c r="R501" s="6">
        <v>394</v>
      </c>
      <c r="S501" s="5"/>
      <c r="T501" s="7">
        <v>30690</v>
      </c>
      <c r="U501" s="7">
        <v>73342.490000000005</v>
      </c>
      <c r="V501" s="7">
        <v>0</v>
      </c>
      <c r="W501" s="7">
        <v>73225.210000000006</v>
      </c>
      <c r="X501" s="7">
        <v>-117.28</v>
      </c>
      <c r="Y501" s="7">
        <v>42535.21</v>
      </c>
      <c r="Z501" s="10" t="str">
        <f t="shared" si="14"/>
        <v>Sheet Metal</v>
      </c>
      <c r="AA501" s="24" t="str">
        <f t="shared" si="15"/>
        <v xml:space="preserve"> 3971. LAX People Mover</v>
      </c>
    </row>
    <row r="502" spans="1:27" x14ac:dyDescent="0.2">
      <c r="A502" s="5" t="s">
        <v>715</v>
      </c>
      <c r="B502" s="5" t="s">
        <v>714</v>
      </c>
      <c r="C502" s="5" t="s">
        <v>122</v>
      </c>
      <c r="D502" s="5" t="s">
        <v>22</v>
      </c>
      <c r="E502" s="5" t="s">
        <v>88</v>
      </c>
      <c r="F502" s="5" t="s">
        <v>18</v>
      </c>
      <c r="G502" s="5" t="s">
        <v>139</v>
      </c>
      <c r="H502" s="5"/>
      <c r="I502" s="6">
        <v>0</v>
      </c>
      <c r="J502" s="6">
        <v>0</v>
      </c>
      <c r="K502" s="6">
        <v>0</v>
      </c>
      <c r="L502" s="6">
        <v>0</v>
      </c>
      <c r="M502" s="5"/>
      <c r="N502" s="6">
        <v>8</v>
      </c>
      <c r="O502" s="6">
        <v>283</v>
      </c>
      <c r="P502" s="6">
        <v>291</v>
      </c>
      <c r="Q502" s="6">
        <v>8</v>
      </c>
      <c r="R502" s="6">
        <v>283</v>
      </c>
      <c r="S502" s="5"/>
      <c r="T502" s="7">
        <v>720</v>
      </c>
      <c r="U502" s="7">
        <v>21570.75</v>
      </c>
      <c r="V502" s="7">
        <v>0</v>
      </c>
      <c r="W502" s="7">
        <v>22514.75</v>
      </c>
      <c r="X502" s="7">
        <v>944</v>
      </c>
      <c r="Y502" s="7">
        <v>21794.75</v>
      </c>
      <c r="Z502" s="10" t="str">
        <f t="shared" si="14"/>
        <v>Sheet Metal</v>
      </c>
      <c r="AA502" s="24" t="str">
        <f t="shared" si="15"/>
        <v xml:space="preserve"> 3971. LAX People Mover</v>
      </c>
    </row>
    <row r="503" spans="1:27" x14ac:dyDescent="0.2">
      <c r="A503" s="5" t="s">
        <v>716</v>
      </c>
      <c r="B503" s="5" t="s">
        <v>714</v>
      </c>
      <c r="C503" s="5" t="s">
        <v>227</v>
      </c>
      <c r="D503" s="5" t="s">
        <v>22</v>
      </c>
      <c r="E503" s="5" t="s">
        <v>88</v>
      </c>
      <c r="F503" s="5" t="s">
        <v>18</v>
      </c>
      <c r="G503" s="5" t="s">
        <v>139</v>
      </c>
      <c r="H503" s="5"/>
      <c r="I503" s="6">
        <v>0</v>
      </c>
      <c r="J503" s="6">
        <v>0</v>
      </c>
      <c r="K503" s="6">
        <v>0</v>
      </c>
      <c r="L503" s="6">
        <v>0</v>
      </c>
      <c r="M503" s="5"/>
      <c r="N503" s="6">
        <v>182</v>
      </c>
      <c r="O503" s="6">
        <v>173</v>
      </c>
      <c r="P503" s="6">
        <v>197</v>
      </c>
      <c r="Q503" s="6">
        <v>24</v>
      </c>
      <c r="R503" s="6">
        <v>15</v>
      </c>
      <c r="S503" s="5"/>
      <c r="T503" s="7">
        <v>16380</v>
      </c>
      <c r="U503" s="7">
        <v>16662.93</v>
      </c>
      <c r="V503" s="7">
        <v>0</v>
      </c>
      <c r="W503" s="7">
        <v>19494.93</v>
      </c>
      <c r="X503" s="7">
        <v>2832</v>
      </c>
      <c r="Y503" s="7">
        <v>3114.93</v>
      </c>
      <c r="Z503" s="10" t="str">
        <f t="shared" si="14"/>
        <v>Sheet Metal</v>
      </c>
      <c r="AA503" s="24" t="str">
        <f t="shared" si="15"/>
        <v xml:space="preserve"> 3971. LAX People Mover</v>
      </c>
    </row>
    <row r="504" spans="1:27" x14ac:dyDescent="0.2">
      <c r="A504" s="5" t="s">
        <v>717</v>
      </c>
      <c r="B504" s="5" t="s">
        <v>714</v>
      </c>
      <c r="C504" s="5" t="s">
        <v>245</v>
      </c>
      <c r="D504" s="5" t="s">
        <v>22</v>
      </c>
      <c r="E504" s="5" t="s">
        <v>88</v>
      </c>
      <c r="F504" s="5" t="s">
        <v>18</v>
      </c>
      <c r="G504" s="5" t="s">
        <v>139</v>
      </c>
      <c r="H504" s="5"/>
      <c r="I504" s="6">
        <v>0</v>
      </c>
      <c r="J504" s="6">
        <v>0</v>
      </c>
      <c r="K504" s="6">
        <v>0</v>
      </c>
      <c r="L504" s="6">
        <v>0</v>
      </c>
      <c r="M504" s="5"/>
      <c r="N504" s="6">
        <v>42</v>
      </c>
      <c r="O504" s="6">
        <v>58</v>
      </c>
      <c r="P504" s="6">
        <v>58</v>
      </c>
      <c r="Q504" s="6">
        <v>0</v>
      </c>
      <c r="R504" s="6">
        <v>16</v>
      </c>
      <c r="S504" s="5"/>
      <c r="T504" s="7">
        <v>3780</v>
      </c>
      <c r="U504" s="7">
        <v>6193.98</v>
      </c>
      <c r="V504" s="7">
        <v>0</v>
      </c>
      <c r="W504" s="7">
        <v>6193.98</v>
      </c>
      <c r="X504" s="7">
        <v>0</v>
      </c>
      <c r="Y504" s="7">
        <v>2413.98</v>
      </c>
      <c r="Z504" s="10" t="str">
        <f t="shared" si="14"/>
        <v>Sheet Metal</v>
      </c>
      <c r="AA504" s="24" t="str">
        <f t="shared" si="15"/>
        <v xml:space="preserve"> 3971. LAX People Mover</v>
      </c>
    </row>
    <row r="505" spans="1:27" x14ac:dyDescent="0.2">
      <c r="A505" s="5" t="s">
        <v>718</v>
      </c>
      <c r="B505" s="5" t="s">
        <v>714</v>
      </c>
      <c r="C505" s="5" t="s">
        <v>229</v>
      </c>
      <c r="D505" s="5" t="s">
        <v>22</v>
      </c>
      <c r="E505" s="5" t="s">
        <v>88</v>
      </c>
      <c r="F505" s="5" t="s">
        <v>18</v>
      </c>
      <c r="G505" s="5" t="s">
        <v>139</v>
      </c>
      <c r="H505" s="5"/>
      <c r="I505" s="6">
        <v>0</v>
      </c>
      <c r="J505" s="6">
        <v>0</v>
      </c>
      <c r="K505" s="6">
        <v>0</v>
      </c>
      <c r="L505" s="6">
        <v>0</v>
      </c>
      <c r="M505" s="5"/>
      <c r="N505" s="6">
        <v>142</v>
      </c>
      <c r="O505" s="6">
        <v>274</v>
      </c>
      <c r="P505" s="6">
        <v>290</v>
      </c>
      <c r="Q505" s="6">
        <v>16</v>
      </c>
      <c r="R505" s="6">
        <v>148</v>
      </c>
      <c r="S505" s="5"/>
      <c r="T505" s="7">
        <v>12780</v>
      </c>
      <c r="U505" s="7">
        <v>25508.63</v>
      </c>
      <c r="V505" s="7">
        <v>0</v>
      </c>
      <c r="W505" s="7">
        <v>27396.63</v>
      </c>
      <c r="X505" s="7">
        <v>1888</v>
      </c>
      <c r="Y505" s="7">
        <v>14616.63</v>
      </c>
      <c r="Z505" s="10" t="str">
        <f t="shared" si="14"/>
        <v>Sheet Metal</v>
      </c>
      <c r="AA505" s="24" t="str">
        <f t="shared" si="15"/>
        <v xml:space="preserve"> 3971. LAX People Mover</v>
      </c>
    </row>
    <row r="506" spans="1:27" x14ac:dyDescent="0.2">
      <c r="A506" s="5" t="s">
        <v>719</v>
      </c>
      <c r="B506" s="5" t="s">
        <v>714</v>
      </c>
      <c r="C506" s="5" t="s">
        <v>231</v>
      </c>
      <c r="D506" s="5" t="s">
        <v>22</v>
      </c>
      <c r="E506" s="5" t="s">
        <v>88</v>
      </c>
      <c r="F506" s="5" t="s">
        <v>18</v>
      </c>
      <c r="G506" s="5" t="s">
        <v>139</v>
      </c>
      <c r="H506" s="5"/>
      <c r="I506" s="6">
        <v>0</v>
      </c>
      <c r="J506" s="6">
        <v>0</v>
      </c>
      <c r="K506" s="6">
        <v>0</v>
      </c>
      <c r="L506" s="6">
        <v>0</v>
      </c>
      <c r="M506" s="5"/>
      <c r="N506" s="6">
        <v>200</v>
      </c>
      <c r="O506" s="6">
        <v>210</v>
      </c>
      <c r="P506" s="6">
        <v>210</v>
      </c>
      <c r="Q506" s="6">
        <v>0</v>
      </c>
      <c r="R506" s="6">
        <v>10</v>
      </c>
      <c r="S506" s="5"/>
      <c r="T506" s="7">
        <v>18000</v>
      </c>
      <c r="U506" s="7">
        <v>20559.8</v>
      </c>
      <c r="V506" s="7">
        <v>0</v>
      </c>
      <c r="W506" s="7">
        <v>20559.8</v>
      </c>
      <c r="X506" s="7">
        <v>0</v>
      </c>
      <c r="Y506" s="7">
        <v>2559.8000000000002</v>
      </c>
      <c r="Z506" s="10" t="str">
        <f t="shared" si="14"/>
        <v>Sheet Metal</v>
      </c>
      <c r="AA506" s="24" t="str">
        <f t="shared" si="15"/>
        <v xml:space="preserve"> 3971. LAX People Mover</v>
      </c>
    </row>
    <row r="507" spans="1:27" x14ac:dyDescent="0.2">
      <c r="A507" s="5" t="s">
        <v>720</v>
      </c>
      <c r="B507" s="5" t="s">
        <v>714</v>
      </c>
      <c r="C507" s="5" t="s">
        <v>233</v>
      </c>
      <c r="D507" s="5" t="s">
        <v>22</v>
      </c>
      <c r="E507" s="5" t="s">
        <v>88</v>
      </c>
      <c r="F507" s="5" t="s">
        <v>18</v>
      </c>
      <c r="G507" s="5" t="s">
        <v>139</v>
      </c>
      <c r="H507" s="5"/>
      <c r="I507" s="6">
        <v>0</v>
      </c>
      <c r="J507" s="6">
        <v>0</v>
      </c>
      <c r="K507" s="6">
        <v>0</v>
      </c>
      <c r="L507" s="6">
        <v>0</v>
      </c>
      <c r="M507" s="5"/>
      <c r="N507" s="6">
        <v>40</v>
      </c>
      <c r="O507" s="6">
        <v>12</v>
      </c>
      <c r="P507" s="6">
        <v>26</v>
      </c>
      <c r="Q507" s="6">
        <v>14</v>
      </c>
      <c r="R507" s="6">
        <v>-14</v>
      </c>
      <c r="S507" s="5"/>
      <c r="T507" s="7">
        <v>3600</v>
      </c>
      <c r="U507" s="7">
        <v>1284.24</v>
      </c>
      <c r="V507" s="7">
        <v>0</v>
      </c>
      <c r="W507" s="7">
        <v>2936.24</v>
      </c>
      <c r="X507" s="7">
        <v>1652</v>
      </c>
      <c r="Y507" s="7">
        <v>-663.76</v>
      </c>
      <c r="Z507" s="10" t="str">
        <f t="shared" si="14"/>
        <v>Sheet Metal</v>
      </c>
      <c r="AA507" s="24" t="str">
        <f t="shared" si="15"/>
        <v xml:space="preserve"> 3971. LAX People Mover</v>
      </c>
    </row>
    <row r="508" spans="1:27" x14ac:dyDescent="0.2">
      <c r="A508" s="5" t="s">
        <v>721</v>
      </c>
      <c r="B508" s="5" t="s">
        <v>714</v>
      </c>
      <c r="C508" s="5" t="s">
        <v>235</v>
      </c>
      <c r="D508" s="5" t="s">
        <v>22</v>
      </c>
      <c r="E508" s="5" t="s">
        <v>88</v>
      </c>
      <c r="F508" s="5" t="s">
        <v>18</v>
      </c>
      <c r="G508" s="5" t="s">
        <v>139</v>
      </c>
      <c r="H508" s="5"/>
      <c r="I508" s="6">
        <v>0</v>
      </c>
      <c r="J508" s="6">
        <v>0</v>
      </c>
      <c r="K508" s="6">
        <v>0</v>
      </c>
      <c r="L508" s="6">
        <v>0</v>
      </c>
      <c r="M508" s="5"/>
      <c r="N508" s="6">
        <v>40</v>
      </c>
      <c r="O508" s="6">
        <v>95</v>
      </c>
      <c r="P508" s="6">
        <v>109</v>
      </c>
      <c r="Q508" s="6">
        <v>14</v>
      </c>
      <c r="R508" s="6">
        <v>69</v>
      </c>
      <c r="S508" s="5"/>
      <c r="T508" s="7">
        <v>3600</v>
      </c>
      <c r="U508" s="7">
        <v>8824.2800000000007</v>
      </c>
      <c r="V508" s="7">
        <v>0</v>
      </c>
      <c r="W508" s="7">
        <v>10476.280000000001</v>
      </c>
      <c r="X508" s="7">
        <v>1652</v>
      </c>
      <c r="Y508" s="7">
        <v>6876.28</v>
      </c>
      <c r="Z508" s="10" t="str">
        <f t="shared" si="14"/>
        <v>Sheet Metal</v>
      </c>
      <c r="AA508" s="24" t="str">
        <f t="shared" si="15"/>
        <v xml:space="preserve"> 3971. LAX People Mover</v>
      </c>
    </row>
    <row r="509" spans="1:27" x14ac:dyDescent="0.2">
      <c r="A509" s="5" t="s">
        <v>722</v>
      </c>
      <c r="B509" s="5" t="s">
        <v>714</v>
      </c>
      <c r="C509" s="5" t="s">
        <v>237</v>
      </c>
      <c r="D509" s="5" t="s">
        <v>22</v>
      </c>
      <c r="E509" s="5" t="s">
        <v>88</v>
      </c>
      <c r="F509" s="5" t="s">
        <v>18</v>
      </c>
      <c r="G509" s="5" t="s">
        <v>139</v>
      </c>
      <c r="H509" s="5"/>
      <c r="I509" s="6">
        <v>0</v>
      </c>
      <c r="J509" s="6">
        <v>0</v>
      </c>
      <c r="K509" s="6">
        <v>0</v>
      </c>
      <c r="L509" s="6">
        <v>0</v>
      </c>
      <c r="M509" s="5"/>
      <c r="N509" s="6">
        <v>283</v>
      </c>
      <c r="O509" s="6">
        <v>482</v>
      </c>
      <c r="P509" s="6">
        <v>821</v>
      </c>
      <c r="Q509" s="6">
        <v>339</v>
      </c>
      <c r="R509" s="6">
        <v>538</v>
      </c>
      <c r="S509" s="5"/>
      <c r="T509" s="7">
        <v>25470</v>
      </c>
      <c r="U509" s="7">
        <v>48695.16</v>
      </c>
      <c r="V509" s="7">
        <v>0</v>
      </c>
      <c r="W509" s="7">
        <v>88560.69</v>
      </c>
      <c r="X509" s="7">
        <v>39865.53</v>
      </c>
      <c r="Y509" s="7">
        <v>63090.69</v>
      </c>
      <c r="Z509" s="10" t="str">
        <f t="shared" si="14"/>
        <v>Sheet Metal</v>
      </c>
      <c r="AA509" s="24" t="str">
        <f t="shared" si="15"/>
        <v xml:space="preserve"> 3971. LAX People Mover</v>
      </c>
    </row>
    <row r="510" spans="1:27" x14ac:dyDescent="0.2">
      <c r="A510" s="5" t="s">
        <v>723</v>
      </c>
      <c r="B510" s="5" t="s">
        <v>714</v>
      </c>
      <c r="C510" s="5" t="s">
        <v>239</v>
      </c>
      <c r="D510" s="5" t="s">
        <v>22</v>
      </c>
      <c r="E510" s="5" t="s">
        <v>88</v>
      </c>
      <c r="F510" s="5" t="s">
        <v>18</v>
      </c>
      <c r="G510" s="5" t="s">
        <v>139</v>
      </c>
      <c r="H510" s="5"/>
      <c r="I510" s="6">
        <v>0</v>
      </c>
      <c r="J510" s="6">
        <v>0</v>
      </c>
      <c r="K510" s="6">
        <v>0</v>
      </c>
      <c r="L510" s="6">
        <v>0</v>
      </c>
      <c r="M510" s="5"/>
      <c r="N510" s="6">
        <v>180</v>
      </c>
      <c r="O510" s="6">
        <v>305</v>
      </c>
      <c r="P510" s="6">
        <v>305</v>
      </c>
      <c r="Q510" s="6">
        <v>0</v>
      </c>
      <c r="R510" s="6">
        <v>125</v>
      </c>
      <c r="S510" s="5"/>
      <c r="T510" s="7">
        <v>16200</v>
      </c>
      <c r="U510" s="7">
        <v>30187.03</v>
      </c>
      <c r="V510" s="7">
        <v>0</v>
      </c>
      <c r="W510" s="7">
        <v>30187.03</v>
      </c>
      <c r="X510" s="7">
        <v>0</v>
      </c>
      <c r="Y510" s="7">
        <v>13987.03</v>
      </c>
      <c r="Z510" s="10" t="str">
        <f t="shared" si="14"/>
        <v>Sheet Metal</v>
      </c>
      <c r="AA510" s="24" t="str">
        <f t="shared" si="15"/>
        <v xml:space="preserve"> 3971. LAX People Mover</v>
      </c>
    </row>
    <row r="511" spans="1:27" x14ac:dyDescent="0.2">
      <c r="A511" s="5" t="s">
        <v>724</v>
      </c>
      <c r="B511" s="5" t="s">
        <v>725</v>
      </c>
      <c r="C511" s="5" t="s">
        <v>16</v>
      </c>
      <c r="D511" s="5" t="s">
        <v>22</v>
      </c>
      <c r="E511" s="5" t="s">
        <v>88</v>
      </c>
      <c r="F511" s="5" t="s">
        <v>18</v>
      </c>
      <c r="G511" s="5" t="s">
        <v>139</v>
      </c>
      <c r="H511" s="5"/>
      <c r="I511" s="6">
        <v>0</v>
      </c>
      <c r="J511" s="6">
        <v>0</v>
      </c>
      <c r="K511" s="6">
        <v>0</v>
      </c>
      <c r="L511" s="6">
        <v>0</v>
      </c>
      <c r="M511" s="5"/>
      <c r="N511" s="6">
        <v>793</v>
      </c>
      <c r="O511" s="6">
        <v>1225.5</v>
      </c>
      <c r="P511" s="6">
        <v>1257.5</v>
      </c>
      <c r="Q511" s="6">
        <v>32</v>
      </c>
      <c r="R511" s="6">
        <v>464.5</v>
      </c>
      <c r="S511" s="5"/>
      <c r="T511" s="7">
        <v>71370</v>
      </c>
      <c r="U511" s="7">
        <v>90006.84</v>
      </c>
      <c r="V511" s="7">
        <v>0</v>
      </c>
      <c r="W511" s="7">
        <v>93526.84</v>
      </c>
      <c r="X511" s="7">
        <v>3520</v>
      </c>
      <c r="Y511" s="7">
        <v>22156.84</v>
      </c>
      <c r="Z511" s="10" t="str">
        <f t="shared" si="14"/>
        <v>Sheet Metal</v>
      </c>
      <c r="AA511" s="24" t="str">
        <f t="shared" si="15"/>
        <v xml:space="preserve"> 3971. LAX People Mover</v>
      </c>
    </row>
    <row r="512" spans="1:27" x14ac:dyDescent="0.2">
      <c r="A512" s="5" t="s">
        <v>726</v>
      </c>
      <c r="B512" s="5" t="s">
        <v>727</v>
      </c>
      <c r="C512" s="5" t="s">
        <v>16</v>
      </c>
      <c r="D512" s="5" t="s">
        <v>22</v>
      </c>
      <c r="E512" s="5" t="s">
        <v>88</v>
      </c>
      <c r="F512" s="5" t="s">
        <v>18</v>
      </c>
      <c r="G512" s="5" t="s">
        <v>139</v>
      </c>
      <c r="H512" s="5"/>
      <c r="I512" s="6">
        <v>0</v>
      </c>
      <c r="J512" s="6">
        <v>0</v>
      </c>
      <c r="K512" s="6">
        <v>0</v>
      </c>
      <c r="L512" s="6">
        <v>0</v>
      </c>
      <c r="M512" s="5"/>
      <c r="N512" s="6">
        <v>141</v>
      </c>
      <c r="O512" s="6">
        <v>279</v>
      </c>
      <c r="P512" s="6">
        <v>311</v>
      </c>
      <c r="Q512" s="6">
        <v>32</v>
      </c>
      <c r="R512" s="6">
        <v>170</v>
      </c>
      <c r="S512" s="5"/>
      <c r="T512" s="7">
        <v>12690</v>
      </c>
      <c r="U512" s="7">
        <v>22905.29</v>
      </c>
      <c r="V512" s="7">
        <v>0</v>
      </c>
      <c r="W512" s="7">
        <v>26265.29</v>
      </c>
      <c r="X512" s="7">
        <v>3360</v>
      </c>
      <c r="Y512" s="7">
        <v>13575.29</v>
      </c>
      <c r="Z512" s="10" t="str">
        <f t="shared" si="14"/>
        <v>Sheet Metal</v>
      </c>
      <c r="AA512" s="24" t="str">
        <f t="shared" si="15"/>
        <v xml:space="preserve"> 3971. LAX People Mover</v>
      </c>
    </row>
    <row r="513" spans="1:27" x14ac:dyDescent="0.2">
      <c r="A513" s="5" t="s">
        <v>728</v>
      </c>
      <c r="B513" s="5" t="s">
        <v>729</v>
      </c>
      <c r="C513" s="5" t="s">
        <v>16</v>
      </c>
      <c r="D513" s="5" t="s">
        <v>22</v>
      </c>
      <c r="E513" s="5" t="s">
        <v>88</v>
      </c>
      <c r="F513" s="5" t="s">
        <v>18</v>
      </c>
      <c r="G513" s="5" t="s">
        <v>139</v>
      </c>
      <c r="H513" s="5"/>
      <c r="I513" s="6">
        <v>0</v>
      </c>
      <c r="J513" s="6">
        <v>0</v>
      </c>
      <c r="K513" s="6">
        <v>0</v>
      </c>
      <c r="L513" s="6">
        <v>0</v>
      </c>
      <c r="M513" s="5"/>
      <c r="N513" s="6">
        <v>509</v>
      </c>
      <c r="O513" s="6">
        <v>845</v>
      </c>
      <c r="P513" s="6">
        <v>845</v>
      </c>
      <c r="Q513" s="6">
        <v>0</v>
      </c>
      <c r="R513" s="6">
        <v>336</v>
      </c>
      <c r="S513" s="5"/>
      <c r="T513" s="7">
        <v>45758</v>
      </c>
      <c r="U513" s="7">
        <v>69293.37</v>
      </c>
      <c r="V513" s="7">
        <v>0</v>
      </c>
      <c r="W513" s="7">
        <v>69293.37</v>
      </c>
      <c r="X513" s="7">
        <v>0</v>
      </c>
      <c r="Y513" s="7">
        <v>23535.37</v>
      </c>
      <c r="Z513" s="10" t="str">
        <f t="shared" si="14"/>
        <v>Sheet Metal</v>
      </c>
      <c r="AA513" s="24" t="str">
        <f t="shared" si="15"/>
        <v xml:space="preserve"> 3971. LAX People Mover</v>
      </c>
    </row>
    <row r="514" spans="1:27" x14ac:dyDescent="0.2">
      <c r="A514" s="5" t="s">
        <v>730</v>
      </c>
      <c r="B514" s="5" t="s">
        <v>731</v>
      </c>
      <c r="C514" s="5" t="s">
        <v>225</v>
      </c>
      <c r="D514" s="5" t="s">
        <v>523</v>
      </c>
      <c r="E514" s="5" t="s">
        <v>88</v>
      </c>
      <c r="F514" s="5" t="s">
        <v>18</v>
      </c>
      <c r="G514" s="5" t="s">
        <v>139</v>
      </c>
      <c r="H514" s="5"/>
      <c r="I514" s="6">
        <v>0</v>
      </c>
      <c r="J514" s="6">
        <v>0</v>
      </c>
      <c r="K514" s="6">
        <v>0</v>
      </c>
      <c r="L514" s="6">
        <v>0</v>
      </c>
      <c r="M514" s="5"/>
      <c r="N514" s="6">
        <v>240</v>
      </c>
      <c r="O514" s="6">
        <v>32</v>
      </c>
      <c r="P514" s="6">
        <v>32</v>
      </c>
      <c r="Q514" s="6">
        <v>0</v>
      </c>
      <c r="R514" s="6">
        <v>-208</v>
      </c>
      <c r="S514" s="5"/>
      <c r="T514" s="7">
        <v>21600</v>
      </c>
      <c r="U514" s="7">
        <v>2699.07</v>
      </c>
      <c r="V514" s="7">
        <v>0</v>
      </c>
      <c r="W514" s="7">
        <v>2699.07</v>
      </c>
      <c r="X514" s="7">
        <v>0</v>
      </c>
      <c r="Y514" s="7">
        <v>-18900.93</v>
      </c>
      <c r="Z514" s="10" t="str">
        <f t="shared" si="14"/>
        <v>Sheet Metal</v>
      </c>
      <c r="AA514" s="24" t="str">
        <f t="shared" si="15"/>
        <v xml:space="preserve"> 3971. LAX People Mover</v>
      </c>
    </row>
    <row r="515" spans="1:27" x14ac:dyDescent="0.2">
      <c r="A515" s="5" t="s">
        <v>732</v>
      </c>
      <c r="B515" s="5" t="s">
        <v>733</v>
      </c>
      <c r="C515" s="5" t="s">
        <v>227</v>
      </c>
      <c r="D515" s="5" t="s">
        <v>523</v>
      </c>
      <c r="E515" s="5" t="s">
        <v>88</v>
      </c>
      <c r="F515" s="5" t="s">
        <v>18</v>
      </c>
      <c r="G515" s="5" t="s">
        <v>139</v>
      </c>
      <c r="H515" s="5"/>
      <c r="I515" s="6">
        <v>0</v>
      </c>
      <c r="J515" s="6">
        <v>0</v>
      </c>
      <c r="K515" s="6">
        <v>0</v>
      </c>
      <c r="L515" s="6">
        <v>0</v>
      </c>
      <c r="M515" s="5"/>
      <c r="N515" s="6">
        <v>60</v>
      </c>
      <c r="O515" s="6">
        <v>97</v>
      </c>
      <c r="P515" s="6">
        <v>168</v>
      </c>
      <c r="Q515" s="6">
        <v>71</v>
      </c>
      <c r="R515" s="6">
        <v>108</v>
      </c>
      <c r="S515" s="5"/>
      <c r="T515" s="7">
        <v>5400</v>
      </c>
      <c r="U515" s="7">
        <v>10240.02</v>
      </c>
      <c r="V515" s="7">
        <v>0</v>
      </c>
      <c r="W515" s="7">
        <v>17273.32</v>
      </c>
      <c r="X515" s="7">
        <v>7033.3</v>
      </c>
      <c r="Y515" s="7">
        <v>11873.32</v>
      </c>
      <c r="Z515" s="10" t="str">
        <f t="shared" si="14"/>
        <v>Sheet Metal</v>
      </c>
      <c r="AA515" s="24" t="str">
        <f t="shared" si="15"/>
        <v xml:space="preserve"> 3971. LAX People Mover</v>
      </c>
    </row>
    <row r="516" spans="1:27" x14ac:dyDescent="0.2">
      <c r="A516" s="5" t="s">
        <v>734</v>
      </c>
      <c r="B516" s="5" t="s">
        <v>735</v>
      </c>
      <c r="C516" s="5" t="s">
        <v>229</v>
      </c>
      <c r="D516" s="5" t="s">
        <v>523</v>
      </c>
      <c r="E516" s="5" t="s">
        <v>88</v>
      </c>
      <c r="F516" s="5" t="s">
        <v>18</v>
      </c>
      <c r="G516" s="5" t="s">
        <v>139</v>
      </c>
      <c r="H516" s="5"/>
      <c r="I516" s="6">
        <v>0</v>
      </c>
      <c r="J516" s="6">
        <v>0</v>
      </c>
      <c r="K516" s="6">
        <v>0</v>
      </c>
      <c r="L516" s="6">
        <v>0</v>
      </c>
      <c r="M516" s="5"/>
      <c r="N516" s="6">
        <v>40</v>
      </c>
      <c r="O516" s="6">
        <v>55.5</v>
      </c>
      <c r="P516" s="6">
        <v>55.5</v>
      </c>
      <c r="Q516" s="6">
        <v>0</v>
      </c>
      <c r="R516" s="6">
        <v>15.5</v>
      </c>
      <c r="S516" s="5"/>
      <c r="T516" s="7">
        <v>3600</v>
      </c>
      <c r="U516" s="7">
        <v>5552.03</v>
      </c>
      <c r="V516" s="7">
        <v>0</v>
      </c>
      <c r="W516" s="7">
        <v>5552.03</v>
      </c>
      <c r="X516" s="7">
        <v>0</v>
      </c>
      <c r="Y516" s="7">
        <v>1952.03</v>
      </c>
      <c r="Z516" s="10" t="str">
        <f t="shared" si="14"/>
        <v>Sheet Metal</v>
      </c>
      <c r="AA516" s="24" t="str">
        <f t="shared" si="15"/>
        <v xml:space="preserve"> 3971. LAX People Mover</v>
      </c>
    </row>
    <row r="517" spans="1:27" x14ac:dyDescent="0.2">
      <c r="A517" s="5" t="s">
        <v>736</v>
      </c>
      <c r="B517" s="5" t="s">
        <v>731</v>
      </c>
      <c r="C517" s="5" t="s">
        <v>231</v>
      </c>
      <c r="D517" s="5" t="s">
        <v>523</v>
      </c>
      <c r="E517" s="5" t="s">
        <v>88</v>
      </c>
      <c r="F517" s="5" t="s">
        <v>18</v>
      </c>
      <c r="G517" s="5" t="s">
        <v>139</v>
      </c>
      <c r="H517" s="5"/>
      <c r="I517" s="6">
        <v>0</v>
      </c>
      <c r="J517" s="6">
        <v>0</v>
      </c>
      <c r="K517" s="6">
        <v>0</v>
      </c>
      <c r="L517" s="6">
        <v>0</v>
      </c>
      <c r="M517" s="5"/>
      <c r="N517" s="6">
        <v>40</v>
      </c>
      <c r="O517" s="6">
        <v>0</v>
      </c>
      <c r="P517" s="6">
        <v>0</v>
      </c>
      <c r="Q517" s="6">
        <v>0</v>
      </c>
      <c r="R517" s="6">
        <v>-40</v>
      </c>
      <c r="S517" s="5"/>
      <c r="T517" s="7">
        <v>3600</v>
      </c>
      <c r="U517" s="7">
        <v>0</v>
      </c>
      <c r="V517" s="7">
        <v>0</v>
      </c>
      <c r="W517" s="7">
        <v>0</v>
      </c>
      <c r="X517" s="7">
        <v>0</v>
      </c>
      <c r="Y517" s="7">
        <v>-3600</v>
      </c>
      <c r="Z517" s="10" t="str">
        <f t="shared" ref="Z517:Z580" si="16">IF(G517="PLUM", "Plumbing", IF(G517="PIPE", "Piping", IF(G517="HVAC", "Sheet Metal", G517)))</f>
        <v>Sheet Metal</v>
      </c>
      <c r="AA517" s="24" t="str">
        <f t="shared" ref="AA517:AA580" si="17">IF(ISBLANK(B517), "", $A$2)</f>
        <v xml:space="preserve"> 3971. LAX People Mover</v>
      </c>
    </row>
    <row r="518" spans="1:27" x14ac:dyDescent="0.2">
      <c r="A518" s="5" t="s">
        <v>737</v>
      </c>
      <c r="B518" s="5" t="s">
        <v>731</v>
      </c>
      <c r="C518" s="5" t="s">
        <v>233</v>
      </c>
      <c r="D518" s="5" t="s">
        <v>523</v>
      </c>
      <c r="E518" s="5" t="s">
        <v>88</v>
      </c>
      <c r="F518" s="5" t="s">
        <v>18</v>
      </c>
      <c r="G518" s="5" t="s">
        <v>139</v>
      </c>
      <c r="H518" s="5"/>
      <c r="I518" s="6">
        <v>0</v>
      </c>
      <c r="J518" s="6">
        <v>0</v>
      </c>
      <c r="K518" s="6">
        <v>0</v>
      </c>
      <c r="L518" s="6">
        <v>0</v>
      </c>
      <c r="M518" s="5"/>
      <c r="N518" s="6">
        <v>20</v>
      </c>
      <c r="O518" s="6">
        <v>0</v>
      </c>
      <c r="P518" s="6">
        <v>0</v>
      </c>
      <c r="Q518" s="6">
        <v>0</v>
      </c>
      <c r="R518" s="6">
        <v>-20</v>
      </c>
      <c r="S518" s="5"/>
      <c r="T518" s="7">
        <v>1800</v>
      </c>
      <c r="U518" s="7">
        <v>0</v>
      </c>
      <c r="V518" s="7">
        <v>0</v>
      </c>
      <c r="W518" s="7">
        <v>0</v>
      </c>
      <c r="X518" s="7">
        <v>0</v>
      </c>
      <c r="Y518" s="7">
        <v>-1800</v>
      </c>
      <c r="Z518" s="10" t="str">
        <f t="shared" si="16"/>
        <v>Sheet Metal</v>
      </c>
      <c r="AA518" s="24" t="str">
        <f t="shared" si="17"/>
        <v xml:space="preserve"> 3971. LAX People Mover</v>
      </c>
    </row>
    <row r="519" spans="1:27" x14ac:dyDescent="0.2">
      <c r="A519" s="5" t="s">
        <v>738</v>
      </c>
      <c r="B519" s="5" t="s">
        <v>731</v>
      </c>
      <c r="C519" s="5" t="s">
        <v>235</v>
      </c>
      <c r="D519" s="5" t="s">
        <v>523</v>
      </c>
      <c r="E519" s="5" t="s">
        <v>88</v>
      </c>
      <c r="F519" s="5" t="s">
        <v>18</v>
      </c>
      <c r="G519" s="5" t="s">
        <v>139</v>
      </c>
      <c r="H519" s="5"/>
      <c r="I519" s="6">
        <v>0</v>
      </c>
      <c r="J519" s="6">
        <v>0</v>
      </c>
      <c r="K519" s="6">
        <v>0</v>
      </c>
      <c r="L519" s="6">
        <v>0</v>
      </c>
      <c r="M519" s="5"/>
      <c r="N519" s="6">
        <v>20</v>
      </c>
      <c r="O519" s="6">
        <v>0</v>
      </c>
      <c r="P519" s="6">
        <v>0</v>
      </c>
      <c r="Q519" s="6">
        <v>0</v>
      </c>
      <c r="R519" s="6">
        <v>-20</v>
      </c>
      <c r="S519" s="5"/>
      <c r="T519" s="7">
        <v>1800</v>
      </c>
      <c r="U519" s="7">
        <v>0</v>
      </c>
      <c r="V519" s="7">
        <v>0</v>
      </c>
      <c r="W519" s="7">
        <v>0</v>
      </c>
      <c r="X519" s="7">
        <v>0</v>
      </c>
      <c r="Y519" s="7">
        <v>-1800</v>
      </c>
      <c r="Z519" s="10" t="str">
        <f t="shared" si="16"/>
        <v>Sheet Metal</v>
      </c>
      <c r="AA519" s="24" t="str">
        <f t="shared" si="17"/>
        <v xml:space="preserve"> 3971. LAX People Mover</v>
      </c>
    </row>
    <row r="520" spans="1:27" x14ac:dyDescent="0.2">
      <c r="A520" s="5" t="s">
        <v>739</v>
      </c>
      <c r="B520" s="5" t="s">
        <v>731</v>
      </c>
      <c r="C520" s="5" t="s">
        <v>237</v>
      </c>
      <c r="D520" s="5" t="s">
        <v>523</v>
      </c>
      <c r="E520" s="5" t="s">
        <v>88</v>
      </c>
      <c r="F520" s="5" t="s">
        <v>18</v>
      </c>
      <c r="G520" s="5" t="s">
        <v>139</v>
      </c>
      <c r="H520" s="5"/>
      <c r="I520" s="6">
        <v>0</v>
      </c>
      <c r="J520" s="6">
        <v>0</v>
      </c>
      <c r="K520" s="6">
        <v>0</v>
      </c>
      <c r="L520" s="6">
        <v>0</v>
      </c>
      <c r="M520" s="5"/>
      <c r="N520" s="6">
        <v>300</v>
      </c>
      <c r="O520" s="6">
        <v>163</v>
      </c>
      <c r="P520" s="6">
        <v>163</v>
      </c>
      <c r="Q520" s="6">
        <v>0</v>
      </c>
      <c r="R520" s="6">
        <v>-137</v>
      </c>
      <c r="S520" s="5"/>
      <c r="T520" s="7">
        <v>27000</v>
      </c>
      <c r="U520" s="7">
        <v>14990.3</v>
      </c>
      <c r="V520" s="7">
        <v>0</v>
      </c>
      <c r="W520" s="7">
        <v>14990.3</v>
      </c>
      <c r="X520" s="7">
        <v>0</v>
      </c>
      <c r="Y520" s="7">
        <v>-12009.7</v>
      </c>
      <c r="Z520" s="10" t="str">
        <f t="shared" si="16"/>
        <v>Sheet Metal</v>
      </c>
      <c r="AA520" s="24" t="str">
        <f t="shared" si="17"/>
        <v xml:space="preserve"> 3971. LAX People Mover</v>
      </c>
    </row>
    <row r="521" spans="1:27" x14ac:dyDescent="0.2">
      <c r="A521" s="5" t="s">
        <v>740</v>
      </c>
      <c r="B521" s="5" t="s">
        <v>741</v>
      </c>
      <c r="C521" s="5" t="s">
        <v>742</v>
      </c>
      <c r="D521" s="5" t="s">
        <v>743</v>
      </c>
      <c r="E521" s="5" t="s">
        <v>88</v>
      </c>
      <c r="F521" s="5" t="s">
        <v>18</v>
      </c>
      <c r="G521" s="5" t="s">
        <v>89</v>
      </c>
      <c r="H521" s="5"/>
      <c r="I521" s="6">
        <v>0</v>
      </c>
      <c r="J521" s="6">
        <v>0</v>
      </c>
      <c r="K521" s="6">
        <v>0</v>
      </c>
      <c r="L521" s="6">
        <v>0</v>
      </c>
      <c r="M521" s="5"/>
      <c r="N521" s="6">
        <v>238</v>
      </c>
      <c r="O521" s="6">
        <v>32</v>
      </c>
      <c r="P521" s="6">
        <v>32</v>
      </c>
      <c r="Q521" s="6">
        <v>0</v>
      </c>
      <c r="R521" s="6">
        <v>-206</v>
      </c>
      <c r="S521" s="5"/>
      <c r="T521" s="7">
        <v>21420</v>
      </c>
      <c r="U521" s="7">
        <v>1533.33</v>
      </c>
      <c r="V521" s="7">
        <v>0</v>
      </c>
      <c r="W521" s="7">
        <v>1533.33</v>
      </c>
      <c r="X521" s="7">
        <v>0</v>
      </c>
      <c r="Y521" s="7">
        <v>-19886.669999999998</v>
      </c>
      <c r="Z521" s="10" t="str">
        <f t="shared" si="16"/>
        <v>Plumbing</v>
      </c>
      <c r="AA521" s="24" t="str">
        <f t="shared" si="17"/>
        <v xml:space="preserve"> 3971. LAX People Mover</v>
      </c>
    </row>
    <row r="522" spans="1:27" x14ac:dyDescent="0.2">
      <c r="A522" s="5" t="s">
        <v>744</v>
      </c>
      <c r="B522" s="5" t="s">
        <v>745</v>
      </c>
      <c r="C522" s="5" t="s">
        <v>742</v>
      </c>
      <c r="D522" s="5" t="s">
        <v>743</v>
      </c>
      <c r="E522" s="5" t="s">
        <v>88</v>
      </c>
      <c r="F522" s="5" t="s">
        <v>18</v>
      </c>
      <c r="G522" s="5" t="s">
        <v>89</v>
      </c>
      <c r="H522" s="5"/>
      <c r="I522" s="6">
        <v>0</v>
      </c>
      <c r="J522" s="6">
        <v>0</v>
      </c>
      <c r="K522" s="6">
        <v>0</v>
      </c>
      <c r="L522" s="6">
        <v>0</v>
      </c>
      <c r="M522" s="5"/>
      <c r="N522" s="6">
        <v>2368</v>
      </c>
      <c r="O522" s="6">
        <v>1430</v>
      </c>
      <c r="P522" s="6">
        <v>1430</v>
      </c>
      <c r="Q522" s="6">
        <v>0</v>
      </c>
      <c r="R522" s="6">
        <v>-938</v>
      </c>
      <c r="S522" s="5"/>
      <c r="T522" s="7">
        <v>213120</v>
      </c>
      <c r="U522" s="7">
        <v>93873</v>
      </c>
      <c r="V522" s="7">
        <v>0</v>
      </c>
      <c r="W522" s="7">
        <v>93873</v>
      </c>
      <c r="X522" s="7">
        <v>0</v>
      </c>
      <c r="Y522" s="7">
        <v>-119247</v>
      </c>
      <c r="Z522" s="10" t="str">
        <f t="shared" si="16"/>
        <v>Plumbing</v>
      </c>
      <c r="AA522" s="24" t="str">
        <f t="shared" si="17"/>
        <v xml:space="preserve"> 3971. LAX People Mover</v>
      </c>
    </row>
    <row r="523" spans="1:27" x14ac:dyDescent="0.2">
      <c r="A523" s="5" t="s">
        <v>746</v>
      </c>
      <c r="B523" s="5" t="s">
        <v>747</v>
      </c>
      <c r="C523" s="5" t="s">
        <v>742</v>
      </c>
      <c r="D523" s="5" t="s">
        <v>743</v>
      </c>
      <c r="E523" s="5" t="s">
        <v>88</v>
      </c>
      <c r="F523" s="5" t="s">
        <v>18</v>
      </c>
      <c r="G523" s="5" t="s">
        <v>89</v>
      </c>
      <c r="H523" s="5"/>
      <c r="I523" s="6">
        <v>0</v>
      </c>
      <c r="J523" s="6">
        <v>0</v>
      </c>
      <c r="K523" s="6">
        <v>0</v>
      </c>
      <c r="L523" s="6">
        <v>0</v>
      </c>
      <c r="M523" s="5"/>
      <c r="N523" s="6">
        <v>906</v>
      </c>
      <c r="O523" s="6">
        <v>908</v>
      </c>
      <c r="P523" s="6">
        <v>908</v>
      </c>
      <c r="Q523" s="6">
        <v>0</v>
      </c>
      <c r="R523" s="6">
        <v>2</v>
      </c>
      <c r="S523" s="5"/>
      <c r="T523" s="7">
        <v>81540</v>
      </c>
      <c r="U523" s="7">
        <v>63593.919999999998</v>
      </c>
      <c r="V523" s="7">
        <v>0</v>
      </c>
      <c r="W523" s="7">
        <v>63593.919999999998</v>
      </c>
      <c r="X523" s="7">
        <v>0</v>
      </c>
      <c r="Y523" s="7">
        <v>-17946.080000000002</v>
      </c>
      <c r="Z523" s="10" t="str">
        <f t="shared" si="16"/>
        <v>Plumbing</v>
      </c>
      <c r="AA523" s="24" t="str">
        <f t="shared" si="17"/>
        <v xml:space="preserve"> 3971. LAX People Mover</v>
      </c>
    </row>
    <row r="524" spans="1:27" x14ac:dyDescent="0.2">
      <c r="A524" s="5" t="s">
        <v>748</v>
      </c>
      <c r="B524" s="5" t="s">
        <v>749</v>
      </c>
      <c r="C524" s="5" t="s">
        <v>742</v>
      </c>
      <c r="D524" s="5" t="s">
        <v>743</v>
      </c>
      <c r="E524" s="5" t="s">
        <v>88</v>
      </c>
      <c r="F524" s="5" t="s">
        <v>18</v>
      </c>
      <c r="G524" s="5" t="s">
        <v>89</v>
      </c>
      <c r="H524" s="5"/>
      <c r="I524" s="6">
        <v>0</v>
      </c>
      <c r="J524" s="6">
        <v>0</v>
      </c>
      <c r="K524" s="6">
        <v>0</v>
      </c>
      <c r="L524" s="6">
        <v>0</v>
      </c>
      <c r="M524" s="5"/>
      <c r="N524" s="6">
        <v>82</v>
      </c>
      <c r="O524" s="6">
        <v>198</v>
      </c>
      <c r="P524" s="6">
        <v>198</v>
      </c>
      <c r="Q524" s="6">
        <v>0</v>
      </c>
      <c r="R524" s="6">
        <v>116</v>
      </c>
      <c r="S524" s="5"/>
      <c r="T524" s="7">
        <v>7380</v>
      </c>
      <c r="U524" s="7">
        <v>15362.27</v>
      </c>
      <c r="V524" s="7">
        <v>0</v>
      </c>
      <c r="W524" s="7">
        <v>15362.27</v>
      </c>
      <c r="X524" s="7">
        <v>0</v>
      </c>
      <c r="Y524" s="7">
        <v>7982.27</v>
      </c>
      <c r="Z524" s="10" t="str">
        <f t="shared" si="16"/>
        <v>Plumbing</v>
      </c>
      <c r="AA524" s="24" t="str">
        <f t="shared" si="17"/>
        <v xml:space="preserve"> 3971. LAX People Mover</v>
      </c>
    </row>
    <row r="525" spans="1:27" x14ac:dyDescent="0.2">
      <c r="A525" s="5" t="s">
        <v>750</v>
      </c>
      <c r="B525" s="5" t="s">
        <v>751</v>
      </c>
      <c r="C525" s="5" t="s">
        <v>742</v>
      </c>
      <c r="D525" s="5" t="s">
        <v>743</v>
      </c>
      <c r="E525" s="5" t="s">
        <v>88</v>
      </c>
      <c r="F525" s="5" t="s">
        <v>18</v>
      </c>
      <c r="G525" s="5" t="s">
        <v>20</v>
      </c>
      <c r="H525" s="5"/>
      <c r="I525" s="6">
        <v>0</v>
      </c>
      <c r="J525" s="6">
        <v>0</v>
      </c>
      <c r="K525" s="6">
        <v>0</v>
      </c>
      <c r="L525" s="6">
        <v>0</v>
      </c>
      <c r="M525" s="5"/>
      <c r="N525" s="6">
        <v>1175</v>
      </c>
      <c r="O525" s="6">
        <v>732</v>
      </c>
      <c r="P525" s="6">
        <v>732</v>
      </c>
      <c r="Q525" s="6">
        <v>0</v>
      </c>
      <c r="R525" s="6">
        <v>-443</v>
      </c>
      <c r="S525" s="5"/>
      <c r="T525" s="7">
        <v>105750</v>
      </c>
      <c r="U525" s="7">
        <v>53312.24</v>
      </c>
      <c r="V525" s="7">
        <v>0</v>
      </c>
      <c r="W525" s="7">
        <v>53312.24</v>
      </c>
      <c r="X525" s="7">
        <v>0</v>
      </c>
      <c r="Y525" s="7">
        <v>-52437.760000000002</v>
      </c>
      <c r="Z525" s="10" t="str">
        <f t="shared" si="16"/>
        <v>ALL</v>
      </c>
      <c r="AA525" s="24" t="str">
        <f t="shared" si="17"/>
        <v xml:space="preserve"> 3971. LAX People Mover</v>
      </c>
    </row>
    <row r="526" spans="1:27" x14ac:dyDescent="0.2">
      <c r="A526" s="5" t="s">
        <v>752</v>
      </c>
      <c r="B526" s="5" t="s">
        <v>753</v>
      </c>
      <c r="C526" s="5" t="s">
        <v>742</v>
      </c>
      <c r="D526" s="5" t="s">
        <v>743</v>
      </c>
      <c r="E526" s="5" t="s">
        <v>88</v>
      </c>
      <c r="F526" s="5" t="s">
        <v>18</v>
      </c>
      <c r="G526" s="5" t="s">
        <v>164</v>
      </c>
      <c r="H526" s="5"/>
      <c r="I526" s="6">
        <v>0</v>
      </c>
      <c r="J526" s="6">
        <v>0</v>
      </c>
      <c r="K526" s="6">
        <v>0</v>
      </c>
      <c r="L526" s="6">
        <v>0</v>
      </c>
      <c r="M526" s="5"/>
      <c r="N526" s="6">
        <v>2596</v>
      </c>
      <c r="O526" s="6">
        <v>1142</v>
      </c>
      <c r="P526" s="6">
        <v>1142</v>
      </c>
      <c r="Q526" s="6">
        <v>0</v>
      </c>
      <c r="R526" s="6">
        <v>-1454</v>
      </c>
      <c r="S526" s="5"/>
      <c r="T526" s="7">
        <v>233640</v>
      </c>
      <c r="U526" s="7">
        <v>98388.1</v>
      </c>
      <c r="V526" s="7">
        <v>0</v>
      </c>
      <c r="W526" s="7">
        <v>98388.1</v>
      </c>
      <c r="X526" s="7">
        <v>0</v>
      </c>
      <c r="Y526" s="7">
        <v>-135251.9</v>
      </c>
      <c r="Z526" s="10" t="str">
        <f t="shared" si="16"/>
        <v>Piping</v>
      </c>
      <c r="AA526" s="24" t="str">
        <f t="shared" si="17"/>
        <v xml:space="preserve"> 3971. LAX People Mover</v>
      </c>
    </row>
    <row r="527" spans="1:27" x14ac:dyDescent="0.2">
      <c r="A527" s="5" t="s">
        <v>754</v>
      </c>
      <c r="B527" s="5" t="s">
        <v>755</v>
      </c>
      <c r="C527" s="5" t="s">
        <v>756</v>
      </c>
      <c r="D527" s="5" t="s">
        <v>33</v>
      </c>
      <c r="E527" s="5" t="s">
        <v>88</v>
      </c>
      <c r="F527" s="5" t="s">
        <v>18</v>
      </c>
      <c r="G527" s="5" t="s">
        <v>756</v>
      </c>
      <c r="H527" s="5"/>
      <c r="I527" s="6">
        <v>0</v>
      </c>
      <c r="J527" s="6">
        <v>0</v>
      </c>
      <c r="K527" s="6">
        <v>0</v>
      </c>
      <c r="L527" s="6">
        <v>0</v>
      </c>
      <c r="M527" s="5"/>
      <c r="N527" s="6">
        <v>290</v>
      </c>
      <c r="O527" s="6">
        <v>513</v>
      </c>
      <c r="P527" s="6">
        <v>513</v>
      </c>
      <c r="Q527" s="6">
        <v>0</v>
      </c>
      <c r="R527" s="6">
        <v>223</v>
      </c>
      <c r="S527" s="5"/>
      <c r="T527" s="7">
        <v>26100</v>
      </c>
      <c r="U527" s="7">
        <v>42945.83</v>
      </c>
      <c r="V527" s="7">
        <v>0</v>
      </c>
      <c r="W527" s="7">
        <v>42945.83</v>
      </c>
      <c r="X527" s="7">
        <v>0</v>
      </c>
      <c r="Y527" s="7">
        <v>16845.830000000002</v>
      </c>
      <c r="Z527" s="10" t="str">
        <f t="shared" si="16"/>
        <v>SITE</v>
      </c>
      <c r="AA527" s="24" t="str">
        <f t="shared" si="17"/>
        <v xml:space="preserve"> 3971. LAX People Mover</v>
      </c>
    </row>
    <row r="528" spans="1:27" x14ac:dyDescent="0.2">
      <c r="A528" s="5" t="s">
        <v>757</v>
      </c>
      <c r="B528" s="5" t="s">
        <v>758</v>
      </c>
      <c r="C528" s="5" t="s">
        <v>756</v>
      </c>
      <c r="D528" s="5" t="s">
        <v>33</v>
      </c>
      <c r="E528" s="5" t="s">
        <v>88</v>
      </c>
      <c r="F528" s="5" t="s">
        <v>18</v>
      </c>
      <c r="G528" s="5" t="s">
        <v>756</v>
      </c>
      <c r="H528" s="5"/>
      <c r="I528" s="6">
        <v>0</v>
      </c>
      <c r="J528" s="6">
        <v>0</v>
      </c>
      <c r="K528" s="6">
        <v>0</v>
      </c>
      <c r="L528" s="6">
        <v>0</v>
      </c>
      <c r="M528" s="5"/>
      <c r="N528" s="6">
        <v>2365</v>
      </c>
      <c r="O528" s="6">
        <v>1841</v>
      </c>
      <c r="P528" s="6">
        <v>1841</v>
      </c>
      <c r="Q528" s="6">
        <v>0</v>
      </c>
      <c r="R528" s="6">
        <v>-524</v>
      </c>
      <c r="S528" s="5"/>
      <c r="T528" s="7">
        <v>212850</v>
      </c>
      <c r="U528" s="7">
        <v>154370.06</v>
      </c>
      <c r="V528" s="7">
        <v>0</v>
      </c>
      <c r="W528" s="7">
        <v>154370.06</v>
      </c>
      <c r="X528" s="7">
        <v>0</v>
      </c>
      <c r="Y528" s="7">
        <v>-58479.94</v>
      </c>
      <c r="Z528" s="10" t="str">
        <f t="shared" si="16"/>
        <v>SITE</v>
      </c>
      <c r="AA528" s="24" t="str">
        <f t="shared" si="17"/>
        <v xml:space="preserve"> 3971. LAX People Mover</v>
      </c>
    </row>
    <row r="529" spans="1:27" x14ac:dyDescent="0.2">
      <c r="A529" s="5" t="s">
        <v>757</v>
      </c>
      <c r="B529" s="5" t="s">
        <v>758</v>
      </c>
      <c r="C529" s="5" t="s">
        <v>756</v>
      </c>
      <c r="D529" s="5" t="s">
        <v>33</v>
      </c>
      <c r="E529" s="5" t="s">
        <v>88</v>
      </c>
      <c r="F529" s="5" t="s">
        <v>32</v>
      </c>
      <c r="G529" s="5" t="s">
        <v>756</v>
      </c>
      <c r="H529" s="5"/>
      <c r="I529" s="6">
        <v>0</v>
      </c>
      <c r="J529" s="6">
        <v>0</v>
      </c>
      <c r="K529" s="6">
        <v>0</v>
      </c>
      <c r="L529" s="6">
        <v>0</v>
      </c>
      <c r="M529" s="5"/>
      <c r="N529" s="6">
        <v>0</v>
      </c>
      <c r="O529" s="6">
        <v>0</v>
      </c>
      <c r="P529" s="6">
        <v>0</v>
      </c>
      <c r="Q529" s="6">
        <v>0</v>
      </c>
      <c r="R529" s="6">
        <v>0</v>
      </c>
      <c r="S529" s="5"/>
      <c r="T529" s="7">
        <v>515350.88</v>
      </c>
      <c r="U529" s="7">
        <v>640845.18000000005</v>
      </c>
      <c r="V529" s="7">
        <v>77415.240000000005</v>
      </c>
      <c r="W529" s="7">
        <v>664830.06999999995</v>
      </c>
      <c r="X529" s="7">
        <v>23984.89</v>
      </c>
      <c r="Y529" s="7">
        <v>149479.19</v>
      </c>
      <c r="Z529" s="10" t="str">
        <f t="shared" si="16"/>
        <v>SITE</v>
      </c>
      <c r="AA529" s="24" t="str">
        <f t="shared" si="17"/>
        <v xml:space="preserve"> 3971. LAX People Mover</v>
      </c>
    </row>
    <row r="530" spans="1:27" ht="25.5" x14ac:dyDescent="0.2">
      <c r="A530" s="5" t="s">
        <v>757</v>
      </c>
      <c r="B530" s="5" t="s">
        <v>758</v>
      </c>
      <c r="C530" s="5" t="s">
        <v>756</v>
      </c>
      <c r="D530" s="5" t="s">
        <v>33</v>
      </c>
      <c r="E530" s="5" t="s">
        <v>88</v>
      </c>
      <c r="F530" s="5" t="s">
        <v>38</v>
      </c>
      <c r="G530" s="5" t="s">
        <v>756</v>
      </c>
      <c r="H530" s="5"/>
      <c r="I530" s="6">
        <v>0</v>
      </c>
      <c r="J530" s="6">
        <v>0</v>
      </c>
      <c r="K530" s="6">
        <v>0</v>
      </c>
      <c r="L530" s="6">
        <v>0</v>
      </c>
      <c r="M530" s="5"/>
      <c r="N530" s="6">
        <v>0</v>
      </c>
      <c r="O530" s="6">
        <v>0</v>
      </c>
      <c r="P530" s="6">
        <v>0</v>
      </c>
      <c r="Q530" s="6">
        <v>0</v>
      </c>
      <c r="R530" s="6">
        <v>0</v>
      </c>
      <c r="S530" s="5"/>
      <c r="T530" s="7">
        <v>0</v>
      </c>
      <c r="U530" s="7">
        <v>15835.26</v>
      </c>
      <c r="V530" s="7">
        <v>0</v>
      </c>
      <c r="W530" s="7">
        <v>15835.26</v>
      </c>
      <c r="X530" s="7">
        <v>0</v>
      </c>
      <c r="Y530" s="7">
        <v>15835.26</v>
      </c>
      <c r="Z530" s="10" t="str">
        <f t="shared" si="16"/>
        <v>SITE</v>
      </c>
      <c r="AA530" s="24" t="str">
        <f t="shared" si="17"/>
        <v xml:space="preserve"> 3971. LAX People Mover</v>
      </c>
    </row>
    <row r="531" spans="1:27" x14ac:dyDescent="0.2">
      <c r="A531" s="5" t="s">
        <v>757</v>
      </c>
      <c r="B531" s="5" t="s">
        <v>758</v>
      </c>
      <c r="C531" s="5" t="s">
        <v>756</v>
      </c>
      <c r="D531" s="5" t="s">
        <v>33</v>
      </c>
      <c r="E531" s="5" t="s">
        <v>88</v>
      </c>
      <c r="F531" s="5" t="s">
        <v>21</v>
      </c>
      <c r="G531" s="5" t="s">
        <v>756</v>
      </c>
      <c r="H531" s="5"/>
      <c r="I531" s="6">
        <v>0</v>
      </c>
      <c r="J531" s="6">
        <v>60.5</v>
      </c>
      <c r="K531" s="6">
        <v>0</v>
      </c>
      <c r="L531" s="6">
        <v>-60.5</v>
      </c>
      <c r="M531" s="5"/>
      <c r="N531" s="6">
        <v>0</v>
      </c>
      <c r="O531" s="6">
        <v>0</v>
      </c>
      <c r="P531" s="6">
        <v>0</v>
      </c>
      <c r="Q531" s="6">
        <v>0</v>
      </c>
      <c r="R531" s="6">
        <v>0</v>
      </c>
      <c r="S531" s="5"/>
      <c r="T531" s="7">
        <v>0</v>
      </c>
      <c r="U531" s="7">
        <v>46595.83</v>
      </c>
      <c r="V531" s="7">
        <v>0</v>
      </c>
      <c r="W531" s="7">
        <v>46595.8</v>
      </c>
      <c r="X531" s="7">
        <v>-0.03</v>
      </c>
      <c r="Y531" s="7">
        <v>46595.8</v>
      </c>
      <c r="Z531" s="10" t="str">
        <f t="shared" si="16"/>
        <v>SITE</v>
      </c>
      <c r="AA531" s="24" t="str">
        <f t="shared" si="17"/>
        <v xml:space="preserve"> 3971. LAX People Mover</v>
      </c>
    </row>
    <row r="532" spans="1:27" ht="25.5" x14ac:dyDescent="0.2">
      <c r="A532" s="5" t="s">
        <v>52</v>
      </c>
      <c r="B532" s="5" t="s">
        <v>759</v>
      </c>
      <c r="C532" s="5" t="s">
        <v>16</v>
      </c>
      <c r="D532" s="5" t="s">
        <v>53</v>
      </c>
      <c r="E532" s="5" t="s">
        <v>123</v>
      </c>
      <c r="F532" s="5" t="s">
        <v>18</v>
      </c>
      <c r="G532" s="5" t="s">
        <v>20</v>
      </c>
      <c r="H532" s="5"/>
      <c r="I532" s="6">
        <v>0</v>
      </c>
      <c r="J532" s="6">
        <v>0</v>
      </c>
      <c r="K532" s="6">
        <v>0</v>
      </c>
      <c r="L532" s="6">
        <v>0</v>
      </c>
      <c r="M532" s="5"/>
      <c r="N532" s="6">
        <v>1529</v>
      </c>
      <c r="O532" s="6">
        <v>1517</v>
      </c>
      <c r="P532" s="6">
        <v>1517</v>
      </c>
      <c r="Q532" s="6">
        <v>0</v>
      </c>
      <c r="R532" s="6">
        <v>-12</v>
      </c>
      <c r="S532" s="5"/>
      <c r="T532" s="7">
        <v>120791</v>
      </c>
      <c r="U532" s="7">
        <v>119239.2</v>
      </c>
      <c r="V532" s="7">
        <v>0</v>
      </c>
      <c r="W532" s="7">
        <v>119239.2</v>
      </c>
      <c r="X532" s="7">
        <v>0</v>
      </c>
      <c r="Y532" s="7">
        <v>-1551.8</v>
      </c>
      <c r="Z532" s="10" t="str">
        <f t="shared" si="16"/>
        <v>ALL</v>
      </c>
      <c r="AA532" s="24" t="str">
        <f t="shared" si="17"/>
        <v xml:space="preserve"> 3971. LAX People Mover</v>
      </c>
    </row>
    <row r="533" spans="1:27" ht="25.5" x14ac:dyDescent="0.2">
      <c r="A533" s="5" t="s">
        <v>52</v>
      </c>
      <c r="B533" s="5" t="s">
        <v>759</v>
      </c>
      <c r="C533" s="5" t="s">
        <v>16</v>
      </c>
      <c r="D533" s="5" t="s">
        <v>53</v>
      </c>
      <c r="E533" s="5" t="s">
        <v>123</v>
      </c>
      <c r="F533" s="5" t="s">
        <v>25</v>
      </c>
      <c r="G533" s="5" t="s">
        <v>20</v>
      </c>
      <c r="H533" s="5"/>
      <c r="I533" s="6">
        <v>0</v>
      </c>
      <c r="J533" s="6">
        <v>2631</v>
      </c>
      <c r="K533" s="6">
        <v>2519</v>
      </c>
      <c r="L533" s="6">
        <v>-112</v>
      </c>
      <c r="M533" s="5"/>
      <c r="N533" s="6">
        <v>0</v>
      </c>
      <c r="O533" s="6">
        <v>0</v>
      </c>
      <c r="P533" s="6">
        <v>0</v>
      </c>
      <c r="Q533" s="6">
        <v>0</v>
      </c>
      <c r="R533" s="6">
        <v>0</v>
      </c>
      <c r="S533" s="5"/>
      <c r="T533" s="7">
        <v>85000</v>
      </c>
      <c r="U533" s="7">
        <v>83107.31</v>
      </c>
      <c r="V533" s="7">
        <v>0</v>
      </c>
      <c r="W533" s="7">
        <v>83107.31</v>
      </c>
      <c r="X533" s="7">
        <v>0</v>
      </c>
      <c r="Y533" s="7">
        <v>-1892.69</v>
      </c>
      <c r="Z533" s="10" t="str">
        <f t="shared" si="16"/>
        <v>ALL</v>
      </c>
      <c r="AA533" s="24" t="str">
        <f t="shared" si="17"/>
        <v xml:space="preserve"> 3971. LAX People Mover</v>
      </c>
    </row>
    <row r="534" spans="1:27" ht="25.5" x14ac:dyDescent="0.2">
      <c r="A534" s="5" t="s">
        <v>52</v>
      </c>
      <c r="B534" s="5" t="s">
        <v>759</v>
      </c>
      <c r="C534" s="5" t="s">
        <v>16</v>
      </c>
      <c r="D534" s="5" t="s">
        <v>53</v>
      </c>
      <c r="E534" s="5" t="s">
        <v>123</v>
      </c>
      <c r="F534" s="5" t="s">
        <v>38</v>
      </c>
      <c r="G534" s="5" t="s">
        <v>20</v>
      </c>
      <c r="H534" s="5"/>
      <c r="I534" s="6">
        <v>0</v>
      </c>
      <c r="J534" s="6">
        <v>0</v>
      </c>
      <c r="K534" s="6">
        <v>0</v>
      </c>
      <c r="L534" s="6">
        <v>0</v>
      </c>
      <c r="M534" s="5"/>
      <c r="N534" s="6">
        <v>0</v>
      </c>
      <c r="O534" s="6">
        <v>0</v>
      </c>
      <c r="P534" s="6">
        <v>0</v>
      </c>
      <c r="Q534" s="6">
        <v>0</v>
      </c>
      <c r="R534" s="6">
        <v>0</v>
      </c>
      <c r="S534" s="5"/>
      <c r="T534" s="7">
        <v>14000</v>
      </c>
      <c r="U534" s="7">
        <v>10289.15</v>
      </c>
      <c r="V534" s="7">
        <v>0</v>
      </c>
      <c r="W534" s="7">
        <v>10289.15</v>
      </c>
      <c r="X534" s="7">
        <v>0</v>
      </c>
      <c r="Y534" s="7">
        <v>-3710.85</v>
      </c>
      <c r="Z534" s="10" t="str">
        <f t="shared" si="16"/>
        <v>ALL</v>
      </c>
      <c r="AA534" s="24" t="str">
        <f t="shared" si="17"/>
        <v xml:space="preserve"> 3971. LAX People Mover</v>
      </c>
    </row>
    <row r="535" spans="1:27" ht="25.5" x14ac:dyDescent="0.2">
      <c r="A535" s="5" t="s">
        <v>52</v>
      </c>
      <c r="B535" s="5" t="s">
        <v>759</v>
      </c>
      <c r="C535" s="5" t="s">
        <v>16</v>
      </c>
      <c r="D535" s="5" t="s">
        <v>53</v>
      </c>
      <c r="E535" s="5" t="s">
        <v>123</v>
      </c>
      <c r="F535" s="5" t="s">
        <v>21</v>
      </c>
      <c r="G535" s="5" t="s">
        <v>20</v>
      </c>
      <c r="H535" s="5"/>
      <c r="I535" s="6">
        <v>0</v>
      </c>
      <c r="J535" s="6">
        <v>4</v>
      </c>
      <c r="K535" s="6">
        <v>4</v>
      </c>
      <c r="L535" s="6">
        <v>0</v>
      </c>
      <c r="M535" s="5"/>
      <c r="N535" s="6">
        <v>0</v>
      </c>
      <c r="O535" s="6">
        <v>0</v>
      </c>
      <c r="P535" s="6">
        <v>0</v>
      </c>
      <c r="Q535" s="6">
        <v>0</v>
      </c>
      <c r="R535" s="6">
        <v>0</v>
      </c>
      <c r="S535" s="5"/>
      <c r="T535" s="7">
        <v>30000</v>
      </c>
      <c r="U535" s="7">
        <v>19726.18</v>
      </c>
      <c r="V535" s="7">
        <v>0</v>
      </c>
      <c r="W535" s="7">
        <v>19726.18</v>
      </c>
      <c r="X535" s="7">
        <v>0</v>
      </c>
      <c r="Y535" s="7">
        <v>-10273.82</v>
      </c>
      <c r="Z535" s="10" t="str">
        <f t="shared" si="16"/>
        <v>ALL</v>
      </c>
      <c r="AA535" s="24" t="str">
        <f t="shared" si="17"/>
        <v xml:space="preserve"> 3971. LAX People Mover</v>
      </c>
    </row>
    <row r="536" spans="1:27" x14ac:dyDescent="0.2">
      <c r="A536" s="5" t="s">
        <v>54</v>
      </c>
      <c r="B536" s="5" t="s">
        <v>760</v>
      </c>
      <c r="C536" s="5" t="s">
        <v>16</v>
      </c>
      <c r="D536" s="5" t="s">
        <v>53</v>
      </c>
      <c r="E536" s="5" t="s">
        <v>88</v>
      </c>
      <c r="F536" s="5" t="s">
        <v>18</v>
      </c>
      <c r="G536" s="5" t="s">
        <v>20</v>
      </c>
      <c r="H536" s="5"/>
      <c r="I536" s="6">
        <v>0</v>
      </c>
      <c r="J536" s="6">
        <v>0</v>
      </c>
      <c r="K536" s="6">
        <v>0</v>
      </c>
      <c r="L536" s="6">
        <v>0</v>
      </c>
      <c r="M536" s="5"/>
      <c r="N536" s="6">
        <v>0</v>
      </c>
      <c r="O536" s="6">
        <v>30</v>
      </c>
      <c r="P536" s="6">
        <v>30</v>
      </c>
      <c r="Q536" s="6">
        <v>0</v>
      </c>
      <c r="R536" s="6">
        <v>30</v>
      </c>
      <c r="S536" s="5"/>
      <c r="T536" s="7">
        <v>0</v>
      </c>
      <c r="U536" s="7">
        <v>3055.47</v>
      </c>
      <c r="V536" s="7">
        <v>0</v>
      </c>
      <c r="W536" s="7">
        <v>3055.47</v>
      </c>
      <c r="X536" s="7">
        <v>0</v>
      </c>
      <c r="Y536" s="7">
        <v>3055.47</v>
      </c>
      <c r="Z536" s="10" t="str">
        <f t="shared" si="16"/>
        <v>ALL</v>
      </c>
      <c r="AA536" s="24" t="str">
        <f t="shared" si="17"/>
        <v xml:space="preserve"> 3971. LAX People Mover</v>
      </c>
    </row>
    <row r="537" spans="1:27" x14ac:dyDescent="0.2">
      <c r="A537" s="5" t="s">
        <v>761</v>
      </c>
      <c r="B537" s="5" t="s">
        <v>762</v>
      </c>
      <c r="C537" s="5" t="s">
        <v>16</v>
      </c>
      <c r="D537" s="5" t="s">
        <v>53</v>
      </c>
      <c r="E537" s="5" t="s">
        <v>88</v>
      </c>
      <c r="F537" s="5" t="s">
        <v>18</v>
      </c>
      <c r="G537" s="5" t="s">
        <v>20</v>
      </c>
      <c r="H537" s="5"/>
      <c r="I537" s="6">
        <v>0</v>
      </c>
      <c r="J537" s="6">
        <v>0</v>
      </c>
      <c r="K537" s="6">
        <v>0</v>
      </c>
      <c r="L537" s="6">
        <v>0</v>
      </c>
      <c r="M537" s="5"/>
      <c r="N537" s="6">
        <v>0</v>
      </c>
      <c r="O537" s="6">
        <v>2027</v>
      </c>
      <c r="P537" s="6">
        <v>2027</v>
      </c>
      <c r="Q537" s="6">
        <v>0</v>
      </c>
      <c r="R537" s="6">
        <v>2027</v>
      </c>
      <c r="S537" s="5"/>
      <c r="T537" s="7">
        <v>0</v>
      </c>
      <c r="U537" s="7">
        <v>110278.22</v>
      </c>
      <c r="V537" s="7">
        <v>0</v>
      </c>
      <c r="W537" s="7">
        <v>110278.22</v>
      </c>
      <c r="X537" s="7">
        <v>0</v>
      </c>
      <c r="Y537" s="7">
        <v>110278.22</v>
      </c>
      <c r="Z537" s="10" t="str">
        <f t="shared" si="16"/>
        <v>ALL</v>
      </c>
      <c r="AA537" s="24" t="str">
        <f t="shared" si="17"/>
        <v xml:space="preserve"> 3971. LAX People Mover</v>
      </c>
    </row>
    <row r="538" spans="1:27" ht="25.5" x14ac:dyDescent="0.2">
      <c r="A538" s="5" t="s">
        <v>763</v>
      </c>
      <c r="B538" s="5" t="s">
        <v>764</v>
      </c>
      <c r="C538" s="5" t="s">
        <v>16</v>
      </c>
      <c r="D538" s="5" t="s">
        <v>53</v>
      </c>
      <c r="E538" s="5" t="s">
        <v>123</v>
      </c>
      <c r="F538" s="5" t="s">
        <v>18</v>
      </c>
      <c r="G538" s="5" t="s">
        <v>20</v>
      </c>
      <c r="H538" s="5"/>
      <c r="I538" s="6">
        <v>0</v>
      </c>
      <c r="J538" s="6">
        <v>0</v>
      </c>
      <c r="K538" s="6">
        <v>0</v>
      </c>
      <c r="L538" s="6">
        <v>0</v>
      </c>
      <c r="M538" s="5"/>
      <c r="N538" s="6">
        <v>85</v>
      </c>
      <c r="O538" s="6">
        <v>108</v>
      </c>
      <c r="P538" s="6">
        <v>108</v>
      </c>
      <c r="Q538" s="6">
        <v>0</v>
      </c>
      <c r="R538" s="6">
        <v>23</v>
      </c>
      <c r="S538" s="5"/>
      <c r="T538" s="7">
        <v>7552.5</v>
      </c>
      <c r="U538" s="7">
        <v>10163.469999999999</v>
      </c>
      <c r="V538" s="7">
        <v>0</v>
      </c>
      <c r="W538" s="7">
        <v>10163.469999999999</v>
      </c>
      <c r="X538" s="7">
        <v>0</v>
      </c>
      <c r="Y538" s="7">
        <v>2610.9699999999998</v>
      </c>
      <c r="Z538" s="10" t="str">
        <f t="shared" si="16"/>
        <v>ALL</v>
      </c>
      <c r="AA538" s="24" t="str">
        <f t="shared" si="17"/>
        <v xml:space="preserve"> 3971. LAX People Mover</v>
      </c>
    </row>
    <row r="539" spans="1:27" ht="25.5" x14ac:dyDescent="0.2">
      <c r="A539" s="5" t="s">
        <v>763</v>
      </c>
      <c r="B539" s="5" t="s">
        <v>764</v>
      </c>
      <c r="C539" s="5" t="s">
        <v>16</v>
      </c>
      <c r="D539" s="5" t="s">
        <v>53</v>
      </c>
      <c r="E539" s="5" t="s">
        <v>123</v>
      </c>
      <c r="F539" s="5" t="s">
        <v>25</v>
      </c>
      <c r="G539" s="5" t="s">
        <v>20</v>
      </c>
      <c r="H539" s="5"/>
      <c r="I539" s="6">
        <v>0</v>
      </c>
      <c r="J539" s="6">
        <v>0</v>
      </c>
      <c r="K539" s="6">
        <v>0</v>
      </c>
      <c r="L539" s="6">
        <v>0</v>
      </c>
      <c r="M539" s="5"/>
      <c r="N539" s="6">
        <v>14</v>
      </c>
      <c r="O539" s="6">
        <v>0</v>
      </c>
      <c r="P539" s="6">
        <v>14</v>
      </c>
      <c r="Q539" s="6">
        <v>14</v>
      </c>
      <c r="R539" s="6">
        <v>0</v>
      </c>
      <c r="S539" s="5"/>
      <c r="T539" s="7">
        <v>1400</v>
      </c>
      <c r="U539" s="7">
        <v>129.22</v>
      </c>
      <c r="V539" s="7">
        <v>0</v>
      </c>
      <c r="W539" s="7">
        <v>129.22</v>
      </c>
      <c r="X539" s="7">
        <v>0</v>
      </c>
      <c r="Y539" s="7">
        <v>-1270.78</v>
      </c>
      <c r="Z539" s="10" t="str">
        <f t="shared" si="16"/>
        <v>ALL</v>
      </c>
      <c r="AA539" s="24" t="str">
        <f t="shared" si="17"/>
        <v xml:space="preserve"> 3971. LAX People Mover</v>
      </c>
    </row>
    <row r="540" spans="1:27" x14ac:dyDescent="0.2">
      <c r="A540" s="5" t="s">
        <v>765</v>
      </c>
      <c r="B540" s="5" t="s">
        <v>766</v>
      </c>
      <c r="C540" s="5" t="s">
        <v>16</v>
      </c>
      <c r="D540" s="5" t="s">
        <v>53</v>
      </c>
      <c r="E540" s="5" t="s">
        <v>88</v>
      </c>
      <c r="F540" s="5" t="s">
        <v>18</v>
      </c>
      <c r="G540" s="5" t="s">
        <v>20</v>
      </c>
      <c r="H540" s="5"/>
      <c r="I540" s="6">
        <v>0</v>
      </c>
      <c r="J540" s="6">
        <v>0</v>
      </c>
      <c r="K540" s="6">
        <v>0</v>
      </c>
      <c r="L540" s="6">
        <v>0</v>
      </c>
      <c r="M540" s="5"/>
      <c r="N540" s="6">
        <v>43</v>
      </c>
      <c r="O540" s="6">
        <v>43</v>
      </c>
      <c r="P540" s="6">
        <v>43</v>
      </c>
      <c r="Q540" s="6">
        <v>0</v>
      </c>
      <c r="R540" s="6">
        <v>0</v>
      </c>
      <c r="S540" s="5"/>
      <c r="T540" s="7">
        <v>3870</v>
      </c>
      <c r="U540" s="7">
        <v>6083.51</v>
      </c>
      <c r="V540" s="7">
        <v>0</v>
      </c>
      <c r="W540" s="7">
        <v>6083.51</v>
      </c>
      <c r="X540" s="7">
        <v>0</v>
      </c>
      <c r="Y540" s="7">
        <v>2213.5100000000002</v>
      </c>
      <c r="Z540" s="10" t="str">
        <f t="shared" si="16"/>
        <v>ALL</v>
      </c>
      <c r="AA540" s="24" t="str">
        <f t="shared" si="17"/>
        <v xml:space="preserve"> 3971. LAX People Mover</v>
      </c>
    </row>
    <row r="541" spans="1:27" x14ac:dyDescent="0.2">
      <c r="A541" s="5" t="s">
        <v>765</v>
      </c>
      <c r="B541" s="5" t="s">
        <v>766</v>
      </c>
      <c r="C541" s="5" t="s">
        <v>16</v>
      </c>
      <c r="D541" s="5" t="s">
        <v>53</v>
      </c>
      <c r="E541" s="5" t="s">
        <v>88</v>
      </c>
      <c r="F541" s="5" t="s">
        <v>32</v>
      </c>
      <c r="G541" s="5" t="s">
        <v>20</v>
      </c>
      <c r="H541" s="5"/>
      <c r="I541" s="6">
        <v>0</v>
      </c>
      <c r="J541" s="6">
        <v>0</v>
      </c>
      <c r="K541" s="6">
        <v>0</v>
      </c>
      <c r="L541" s="6">
        <v>0</v>
      </c>
      <c r="M541" s="5"/>
      <c r="N541" s="6">
        <v>0</v>
      </c>
      <c r="O541" s="6">
        <v>0</v>
      </c>
      <c r="P541" s="6">
        <v>0</v>
      </c>
      <c r="Q541" s="6">
        <v>0</v>
      </c>
      <c r="R541" s="6">
        <v>0</v>
      </c>
      <c r="S541" s="5"/>
      <c r="T541" s="7">
        <v>28930</v>
      </c>
      <c r="U541" s="7">
        <v>21290.5</v>
      </c>
      <c r="V541" s="7">
        <v>260</v>
      </c>
      <c r="W541" s="7">
        <v>21550.5</v>
      </c>
      <c r="X541" s="7">
        <v>260</v>
      </c>
      <c r="Y541" s="7">
        <v>-7379.5</v>
      </c>
      <c r="Z541" s="10" t="str">
        <f t="shared" si="16"/>
        <v>ALL</v>
      </c>
      <c r="AA541" s="24" t="str">
        <f t="shared" si="17"/>
        <v xml:space="preserve"> 3971. LAX People Mover</v>
      </c>
    </row>
    <row r="542" spans="1:27" x14ac:dyDescent="0.2">
      <c r="A542" s="5" t="s">
        <v>767</v>
      </c>
      <c r="B542" s="5" t="s">
        <v>768</v>
      </c>
      <c r="C542" s="5" t="s">
        <v>122</v>
      </c>
      <c r="D542" s="5" t="s">
        <v>53</v>
      </c>
      <c r="E542" s="5" t="s">
        <v>88</v>
      </c>
      <c r="F542" s="5" t="s">
        <v>18</v>
      </c>
      <c r="G542" s="5" t="s">
        <v>20</v>
      </c>
      <c r="H542" s="5"/>
      <c r="I542" s="6">
        <v>0</v>
      </c>
      <c r="J542" s="6">
        <v>0</v>
      </c>
      <c r="K542" s="6">
        <v>0</v>
      </c>
      <c r="L542" s="6">
        <v>0</v>
      </c>
      <c r="M542" s="5"/>
      <c r="N542" s="6">
        <v>0</v>
      </c>
      <c r="O542" s="6">
        <v>195</v>
      </c>
      <c r="P542" s="6">
        <v>211</v>
      </c>
      <c r="Q542" s="6">
        <v>16</v>
      </c>
      <c r="R542" s="6">
        <v>211</v>
      </c>
      <c r="S542" s="5"/>
      <c r="T542" s="7">
        <v>0</v>
      </c>
      <c r="U542" s="7">
        <v>15233.5</v>
      </c>
      <c r="V542" s="7">
        <v>0</v>
      </c>
      <c r="W542" s="7">
        <v>16715.419999999998</v>
      </c>
      <c r="X542" s="7">
        <v>1481.92</v>
      </c>
      <c r="Y542" s="7">
        <v>16715.419999999998</v>
      </c>
      <c r="Z542" s="10" t="str">
        <f t="shared" si="16"/>
        <v>ALL</v>
      </c>
      <c r="AA542" s="24" t="str">
        <f t="shared" si="17"/>
        <v xml:space="preserve"> 3971. LAX People Mover</v>
      </c>
    </row>
    <row r="543" spans="1:27" ht="25.5" x14ac:dyDescent="0.2">
      <c r="A543" s="5" t="s">
        <v>769</v>
      </c>
      <c r="B543" s="5" t="s">
        <v>770</v>
      </c>
      <c r="C543" s="5" t="s">
        <v>122</v>
      </c>
      <c r="D543" s="5" t="s">
        <v>53</v>
      </c>
      <c r="E543" s="5" t="s">
        <v>123</v>
      </c>
      <c r="F543" s="5" t="s">
        <v>18</v>
      </c>
      <c r="G543" s="5" t="s">
        <v>20</v>
      </c>
      <c r="H543" s="5"/>
      <c r="I543" s="6">
        <v>0</v>
      </c>
      <c r="J543" s="6">
        <v>0</v>
      </c>
      <c r="K543" s="6">
        <v>0</v>
      </c>
      <c r="L543" s="6">
        <v>0</v>
      </c>
      <c r="M543" s="5"/>
      <c r="N543" s="6">
        <v>0</v>
      </c>
      <c r="O543" s="6">
        <v>234</v>
      </c>
      <c r="P543" s="6">
        <v>234</v>
      </c>
      <c r="Q543" s="6">
        <v>0</v>
      </c>
      <c r="R543" s="6">
        <v>234</v>
      </c>
      <c r="S543" s="5"/>
      <c r="T543" s="7">
        <v>0</v>
      </c>
      <c r="U543" s="7">
        <v>18815.580000000002</v>
      </c>
      <c r="V543" s="7">
        <v>0</v>
      </c>
      <c r="W543" s="7">
        <v>18815.580000000002</v>
      </c>
      <c r="X543" s="7">
        <v>0</v>
      </c>
      <c r="Y543" s="7">
        <v>18815.580000000002</v>
      </c>
      <c r="Z543" s="10" t="str">
        <f t="shared" si="16"/>
        <v>ALL</v>
      </c>
      <c r="AA543" s="24" t="str">
        <f t="shared" si="17"/>
        <v xml:space="preserve"> 3971. LAX People Mover</v>
      </c>
    </row>
    <row r="544" spans="1:27" x14ac:dyDescent="0.2">
      <c r="A544" s="5" t="s">
        <v>771</v>
      </c>
      <c r="B544" s="5" t="s">
        <v>772</v>
      </c>
      <c r="C544" s="5" t="s">
        <v>225</v>
      </c>
      <c r="D544" s="5" t="s">
        <v>53</v>
      </c>
      <c r="E544" s="5" t="s">
        <v>88</v>
      </c>
      <c r="F544" s="5" t="s">
        <v>18</v>
      </c>
      <c r="G544" s="5" t="s">
        <v>20</v>
      </c>
      <c r="H544" s="5"/>
      <c r="I544" s="6">
        <v>0</v>
      </c>
      <c r="J544" s="6">
        <v>0</v>
      </c>
      <c r="K544" s="6">
        <v>0</v>
      </c>
      <c r="L544" s="6">
        <v>0</v>
      </c>
      <c r="M544" s="5"/>
      <c r="N544" s="6">
        <v>80</v>
      </c>
      <c r="O544" s="6">
        <v>0</v>
      </c>
      <c r="P544" s="6">
        <v>0</v>
      </c>
      <c r="Q544" s="6">
        <v>0</v>
      </c>
      <c r="R544" s="6">
        <v>-80</v>
      </c>
      <c r="S544" s="5"/>
      <c r="T544" s="7">
        <v>6940</v>
      </c>
      <c r="U544" s="7">
        <v>0</v>
      </c>
      <c r="V544" s="7">
        <v>0</v>
      </c>
      <c r="W544" s="7">
        <v>0</v>
      </c>
      <c r="X544" s="7">
        <v>0</v>
      </c>
      <c r="Y544" s="7">
        <v>-6940</v>
      </c>
      <c r="Z544" s="10" t="str">
        <f t="shared" si="16"/>
        <v>ALL</v>
      </c>
      <c r="AA544" s="24" t="str">
        <f t="shared" si="17"/>
        <v xml:space="preserve"> 3971. LAX People Mover</v>
      </c>
    </row>
    <row r="545" spans="1:27" x14ac:dyDescent="0.2">
      <c r="A545" s="5" t="s">
        <v>773</v>
      </c>
      <c r="B545" s="5" t="s">
        <v>774</v>
      </c>
      <c r="C545" s="5" t="s">
        <v>16</v>
      </c>
      <c r="D545" s="5" t="s">
        <v>53</v>
      </c>
      <c r="E545" s="5" t="s">
        <v>88</v>
      </c>
      <c r="F545" s="5" t="s">
        <v>18</v>
      </c>
      <c r="G545" s="5" t="s">
        <v>20</v>
      </c>
      <c r="H545" s="5"/>
      <c r="I545" s="6">
        <v>0</v>
      </c>
      <c r="J545" s="6">
        <v>0</v>
      </c>
      <c r="K545" s="6">
        <v>0</v>
      </c>
      <c r="L545" s="6">
        <v>0</v>
      </c>
      <c r="M545" s="5"/>
      <c r="N545" s="6">
        <v>0</v>
      </c>
      <c r="O545" s="6">
        <v>292</v>
      </c>
      <c r="P545" s="6">
        <v>292</v>
      </c>
      <c r="Q545" s="6">
        <v>0</v>
      </c>
      <c r="R545" s="6">
        <v>292</v>
      </c>
      <c r="S545" s="5"/>
      <c r="T545" s="7">
        <v>0</v>
      </c>
      <c r="U545" s="7">
        <v>22293.86</v>
      </c>
      <c r="V545" s="7">
        <v>0</v>
      </c>
      <c r="W545" s="7">
        <v>22293.86</v>
      </c>
      <c r="X545" s="7">
        <v>0</v>
      </c>
      <c r="Y545" s="7">
        <v>22293.86</v>
      </c>
      <c r="Z545" s="10" t="str">
        <f t="shared" si="16"/>
        <v>ALL</v>
      </c>
      <c r="AA545" s="24" t="str">
        <f t="shared" si="17"/>
        <v xml:space="preserve"> 3971. LAX People Mover</v>
      </c>
    </row>
    <row r="546" spans="1:27" x14ac:dyDescent="0.2">
      <c r="A546" t="s">
        <v>775</v>
      </c>
      <c r="B546" t="s">
        <v>774</v>
      </c>
      <c r="C546" t="s">
        <v>16</v>
      </c>
      <c r="D546" t="s">
        <v>53</v>
      </c>
      <c r="E546" t="s">
        <v>88</v>
      </c>
      <c r="F546" t="s">
        <v>25</v>
      </c>
      <c r="G546" s="13" t="s">
        <v>20</v>
      </c>
      <c r="I546">
        <v>0</v>
      </c>
      <c r="J546">
        <v>0</v>
      </c>
      <c r="K546">
        <v>0</v>
      </c>
      <c r="L546" s="13">
        <v>0</v>
      </c>
      <c r="N546" s="10">
        <v>0</v>
      </c>
      <c r="O546">
        <v>0</v>
      </c>
      <c r="P546">
        <v>0</v>
      </c>
      <c r="Q546">
        <v>0</v>
      </c>
      <c r="R546" s="13">
        <v>0</v>
      </c>
      <c r="T546" s="10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 s="10" t="str">
        <f t="shared" si="16"/>
        <v>ALL</v>
      </c>
      <c r="AA546" s="24" t="str">
        <f t="shared" si="17"/>
        <v xml:space="preserve"> 3971. LAX People Mover</v>
      </c>
    </row>
    <row r="547" spans="1:27" x14ac:dyDescent="0.2">
      <c r="A547" t="s">
        <v>776</v>
      </c>
      <c r="B547" t="s">
        <v>777</v>
      </c>
      <c r="C547" t="s">
        <v>16</v>
      </c>
      <c r="D547" t="s">
        <v>53</v>
      </c>
      <c r="E547" t="s">
        <v>88</v>
      </c>
      <c r="F547" t="s">
        <v>18</v>
      </c>
      <c r="G547" s="13" t="s">
        <v>20</v>
      </c>
      <c r="I547">
        <v>0</v>
      </c>
      <c r="J547">
        <v>0</v>
      </c>
      <c r="K547">
        <v>0</v>
      </c>
      <c r="L547" s="13">
        <v>0</v>
      </c>
      <c r="N547" s="10">
        <v>1948</v>
      </c>
      <c r="O547">
        <v>1560</v>
      </c>
      <c r="P547">
        <v>1569</v>
      </c>
      <c r="Q547">
        <v>9</v>
      </c>
      <c r="R547" s="13">
        <v>-379</v>
      </c>
      <c r="T547" s="10">
        <v>175320</v>
      </c>
      <c r="U547">
        <v>145501.85999999999</v>
      </c>
      <c r="V547">
        <v>0</v>
      </c>
      <c r="W547">
        <v>146422.60999999999</v>
      </c>
      <c r="X547">
        <v>920.75</v>
      </c>
      <c r="Y547">
        <v>-28897.39</v>
      </c>
      <c r="Z547" s="10" t="str">
        <f t="shared" si="16"/>
        <v>ALL</v>
      </c>
      <c r="AA547" s="24" t="str">
        <f t="shared" si="17"/>
        <v xml:space="preserve"> 3971. LAX People Mover</v>
      </c>
    </row>
    <row r="548" spans="1:27" x14ac:dyDescent="0.2">
      <c r="A548" t="s">
        <v>778</v>
      </c>
      <c r="B548" t="s">
        <v>779</v>
      </c>
      <c r="C548" t="s">
        <v>16</v>
      </c>
      <c r="D548" t="s">
        <v>53</v>
      </c>
      <c r="E548" t="s">
        <v>88</v>
      </c>
      <c r="F548" t="s">
        <v>18</v>
      </c>
      <c r="G548" s="13" t="s">
        <v>20</v>
      </c>
      <c r="I548">
        <v>0</v>
      </c>
      <c r="J548">
        <v>0</v>
      </c>
      <c r="K548">
        <v>0</v>
      </c>
      <c r="L548" s="13">
        <v>0</v>
      </c>
      <c r="N548" s="10">
        <v>0</v>
      </c>
      <c r="O548">
        <v>160</v>
      </c>
      <c r="P548">
        <v>160</v>
      </c>
      <c r="Q548">
        <v>0</v>
      </c>
      <c r="R548" s="13">
        <v>160</v>
      </c>
      <c r="T548" s="10">
        <v>0</v>
      </c>
      <c r="U548">
        <v>14168.12</v>
      </c>
      <c r="V548">
        <v>0</v>
      </c>
      <c r="W548">
        <v>14168.12</v>
      </c>
      <c r="X548">
        <v>0</v>
      </c>
      <c r="Y548">
        <v>14168.12</v>
      </c>
      <c r="Z548" s="10" t="str">
        <f t="shared" si="16"/>
        <v>ALL</v>
      </c>
      <c r="AA548" s="24" t="str">
        <f t="shared" si="17"/>
        <v xml:space="preserve"> 3971. LAX People Mover</v>
      </c>
    </row>
    <row r="549" spans="1:27" x14ac:dyDescent="0.2">
      <c r="A549" t="s">
        <v>780</v>
      </c>
      <c r="B549" t="s">
        <v>781</v>
      </c>
      <c r="C549" t="s">
        <v>16</v>
      </c>
      <c r="D549" t="s">
        <v>53</v>
      </c>
      <c r="E549" t="s">
        <v>88</v>
      </c>
      <c r="F549" t="s">
        <v>18</v>
      </c>
      <c r="G549" s="13" t="s">
        <v>20</v>
      </c>
      <c r="I549">
        <v>0</v>
      </c>
      <c r="J549">
        <v>0</v>
      </c>
      <c r="K549">
        <v>0</v>
      </c>
      <c r="L549" s="13">
        <v>0</v>
      </c>
      <c r="N549" s="10">
        <v>0</v>
      </c>
      <c r="O549">
        <v>932</v>
      </c>
      <c r="P549">
        <v>932</v>
      </c>
      <c r="Q549">
        <v>0</v>
      </c>
      <c r="R549" s="13">
        <v>932</v>
      </c>
      <c r="T549" s="10">
        <v>0</v>
      </c>
      <c r="U549">
        <v>81803.100000000006</v>
      </c>
      <c r="V549">
        <v>0</v>
      </c>
      <c r="W549">
        <v>81803.100000000006</v>
      </c>
      <c r="X549">
        <v>0</v>
      </c>
      <c r="Y549">
        <v>81803.100000000006</v>
      </c>
      <c r="Z549" s="10" t="str">
        <f t="shared" si="16"/>
        <v>ALL</v>
      </c>
      <c r="AA549" s="24" t="str">
        <f t="shared" si="17"/>
        <v xml:space="preserve"> 3971. LAX People Mover</v>
      </c>
    </row>
    <row r="550" spans="1:27" x14ac:dyDescent="0.2">
      <c r="A550" t="s">
        <v>782</v>
      </c>
      <c r="B550" t="s">
        <v>783</v>
      </c>
      <c r="C550" t="s">
        <v>16</v>
      </c>
      <c r="D550" t="s">
        <v>53</v>
      </c>
      <c r="E550" t="s">
        <v>88</v>
      </c>
      <c r="F550" t="s">
        <v>18</v>
      </c>
      <c r="G550" s="13" t="s">
        <v>20</v>
      </c>
      <c r="I550">
        <v>0</v>
      </c>
      <c r="J550">
        <v>0</v>
      </c>
      <c r="K550">
        <v>0</v>
      </c>
      <c r="L550" s="13">
        <v>0</v>
      </c>
      <c r="N550" s="10">
        <v>0</v>
      </c>
      <c r="O550">
        <v>809</v>
      </c>
      <c r="P550">
        <v>809</v>
      </c>
      <c r="Q550">
        <v>0</v>
      </c>
      <c r="R550" s="13">
        <v>809</v>
      </c>
      <c r="T550" s="10">
        <v>0</v>
      </c>
      <c r="U550">
        <v>73958.070000000007</v>
      </c>
      <c r="V550">
        <v>0</v>
      </c>
      <c r="W550">
        <v>73958.070000000007</v>
      </c>
      <c r="X550">
        <v>0</v>
      </c>
      <c r="Y550">
        <v>73958.070000000007</v>
      </c>
      <c r="Z550" s="10" t="str">
        <f t="shared" si="16"/>
        <v>ALL</v>
      </c>
      <c r="AA550" s="24" t="str">
        <f t="shared" si="17"/>
        <v xml:space="preserve"> 3971. LAX People Mover</v>
      </c>
    </row>
    <row r="551" spans="1:27" x14ac:dyDescent="0.2">
      <c r="A551" t="s">
        <v>784</v>
      </c>
      <c r="B551" t="s">
        <v>783</v>
      </c>
      <c r="C551" t="s">
        <v>16</v>
      </c>
      <c r="D551" t="s">
        <v>53</v>
      </c>
      <c r="E551" t="s">
        <v>88</v>
      </c>
      <c r="F551" t="s">
        <v>25</v>
      </c>
      <c r="G551" s="13" t="s">
        <v>20</v>
      </c>
      <c r="I551">
        <v>0</v>
      </c>
      <c r="J551">
        <v>0</v>
      </c>
      <c r="K551">
        <v>0</v>
      </c>
      <c r="L551" s="13">
        <v>0</v>
      </c>
      <c r="N551" s="10">
        <v>0</v>
      </c>
      <c r="O551">
        <v>0</v>
      </c>
      <c r="P551">
        <v>0</v>
      </c>
      <c r="Q551">
        <v>0</v>
      </c>
      <c r="R551" s="13">
        <v>0</v>
      </c>
      <c r="T551" s="10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 s="10" t="str">
        <f t="shared" si="16"/>
        <v>ALL</v>
      </c>
      <c r="AA551" s="24" t="str">
        <f t="shared" si="17"/>
        <v xml:space="preserve"> 3971. LAX People Mover</v>
      </c>
    </row>
    <row r="552" spans="1:27" x14ac:dyDescent="0.2">
      <c r="A552" t="s">
        <v>784</v>
      </c>
      <c r="B552" t="s">
        <v>783</v>
      </c>
      <c r="C552" t="s">
        <v>16</v>
      </c>
      <c r="D552" t="s">
        <v>53</v>
      </c>
      <c r="E552" t="s">
        <v>88</v>
      </c>
      <c r="F552" t="s">
        <v>32</v>
      </c>
      <c r="G552" s="13" t="s">
        <v>20</v>
      </c>
      <c r="I552">
        <v>0</v>
      </c>
      <c r="J552">
        <v>0</v>
      </c>
      <c r="K552">
        <v>0</v>
      </c>
      <c r="L552" s="13">
        <v>0</v>
      </c>
      <c r="N552" s="10">
        <v>0</v>
      </c>
      <c r="O552">
        <v>0</v>
      </c>
      <c r="P552">
        <v>0</v>
      </c>
      <c r="Q552">
        <v>0</v>
      </c>
      <c r="R552" s="13">
        <v>0</v>
      </c>
      <c r="T552" s="10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 s="10" t="str">
        <f t="shared" si="16"/>
        <v>ALL</v>
      </c>
      <c r="AA552" s="24" t="str">
        <f t="shared" si="17"/>
        <v xml:space="preserve"> 3971. LAX People Mover</v>
      </c>
    </row>
    <row r="553" spans="1:27" x14ac:dyDescent="0.2">
      <c r="A553" t="s">
        <v>784</v>
      </c>
      <c r="B553" t="s">
        <v>783</v>
      </c>
      <c r="C553" t="s">
        <v>16</v>
      </c>
      <c r="D553" t="s">
        <v>53</v>
      </c>
      <c r="E553" t="s">
        <v>88</v>
      </c>
      <c r="F553" t="s">
        <v>38</v>
      </c>
      <c r="G553" s="13" t="s">
        <v>20</v>
      </c>
      <c r="I553">
        <v>0</v>
      </c>
      <c r="J553">
        <v>0</v>
      </c>
      <c r="K553">
        <v>0</v>
      </c>
      <c r="L553" s="13">
        <v>0</v>
      </c>
      <c r="N553" s="10">
        <v>0</v>
      </c>
      <c r="O553">
        <v>0</v>
      </c>
      <c r="P553">
        <v>0</v>
      </c>
      <c r="Q553">
        <v>0</v>
      </c>
      <c r="R553" s="13">
        <v>0</v>
      </c>
      <c r="T553" s="10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 s="10" t="str">
        <f t="shared" si="16"/>
        <v>ALL</v>
      </c>
      <c r="AA553" s="24" t="str">
        <f t="shared" si="17"/>
        <v xml:space="preserve"> 3971. LAX People Mover</v>
      </c>
    </row>
    <row r="554" spans="1:27" x14ac:dyDescent="0.2">
      <c r="A554" t="s">
        <v>784</v>
      </c>
      <c r="B554" t="s">
        <v>783</v>
      </c>
      <c r="C554" t="s">
        <v>16</v>
      </c>
      <c r="D554" t="s">
        <v>53</v>
      </c>
      <c r="E554" t="s">
        <v>88</v>
      </c>
      <c r="F554" t="s">
        <v>21</v>
      </c>
      <c r="G554" s="13" t="s">
        <v>20</v>
      </c>
      <c r="I554">
        <v>0</v>
      </c>
      <c r="J554">
        <v>0</v>
      </c>
      <c r="K554">
        <v>0</v>
      </c>
      <c r="L554" s="13">
        <v>0</v>
      </c>
      <c r="N554" s="10">
        <v>0</v>
      </c>
      <c r="O554">
        <v>0</v>
      </c>
      <c r="P554">
        <v>0</v>
      </c>
      <c r="Q554">
        <v>0</v>
      </c>
      <c r="R554" s="13">
        <v>0</v>
      </c>
      <c r="T554" s="10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 s="10" t="str">
        <f t="shared" si="16"/>
        <v>ALL</v>
      </c>
      <c r="AA554" s="24" t="str">
        <f t="shared" si="17"/>
        <v xml:space="preserve"> 3971. LAX People Mover</v>
      </c>
    </row>
    <row r="555" spans="1:27" x14ac:dyDescent="0.2">
      <c r="Z555" s="10">
        <f t="shared" si="16"/>
        <v>0</v>
      </c>
      <c r="AA555" s="24" t="str">
        <f t="shared" si="17"/>
        <v/>
      </c>
    </row>
    <row r="556" spans="1:27" x14ac:dyDescent="0.2">
      <c r="Z556" s="10">
        <f t="shared" si="16"/>
        <v>0</v>
      </c>
      <c r="AA556" s="24" t="str">
        <f t="shared" si="17"/>
        <v/>
      </c>
    </row>
    <row r="557" spans="1:27" x14ac:dyDescent="0.2">
      <c r="Z557" s="10">
        <f t="shared" si="16"/>
        <v>0</v>
      </c>
      <c r="AA557" s="24" t="str">
        <f t="shared" si="17"/>
        <v/>
      </c>
    </row>
    <row r="558" spans="1:27" x14ac:dyDescent="0.2">
      <c r="Z558" s="10">
        <f t="shared" si="16"/>
        <v>0</v>
      </c>
      <c r="AA558" s="24" t="str">
        <f t="shared" si="17"/>
        <v/>
      </c>
    </row>
    <row r="559" spans="1:27" x14ac:dyDescent="0.2">
      <c r="Z559" s="10">
        <f t="shared" si="16"/>
        <v>0</v>
      </c>
      <c r="AA559" s="24" t="str">
        <f t="shared" si="17"/>
        <v/>
      </c>
    </row>
    <row r="560" spans="1:27" x14ac:dyDescent="0.2">
      <c r="Z560" s="10">
        <f t="shared" si="16"/>
        <v>0</v>
      </c>
      <c r="AA560" s="24" t="str">
        <f t="shared" si="17"/>
        <v/>
      </c>
    </row>
    <row r="561" spans="26:27" x14ac:dyDescent="0.2">
      <c r="Z561" s="10">
        <f t="shared" si="16"/>
        <v>0</v>
      </c>
      <c r="AA561" s="24" t="str">
        <f t="shared" si="17"/>
        <v/>
      </c>
    </row>
    <row r="562" spans="26:27" x14ac:dyDescent="0.2">
      <c r="Z562" s="10">
        <f t="shared" si="16"/>
        <v>0</v>
      </c>
      <c r="AA562" s="24" t="str">
        <f t="shared" si="17"/>
        <v/>
      </c>
    </row>
    <row r="563" spans="26:27" x14ac:dyDescent="0.2">
      <c r="Z563" s="10">
        <f t="shared" si="16"/>
        <v>0</v>
      </c>
      <c r="AA563" s="24" t="str">
        <f t="shared" si="17"/>
        <v/>
      </c>
    </row>
    <row r="564" spans="26:27" x14ac:dyDescent="0.2">
      <c r="Z564" s="10">
        <f t="shared" si="16"/>
        <v>0</v>
      </c>
      <c r="AA564" s="24" t="str">
        <f t="shared" si="17"/>
        <v/>
      </c>
    </row>
    <row r="565" spans="26:27" x14ac:dyDescent="0.2">
      <c r="Z565" s="10">
        <f t="shared" si="16"/>
        <v>0</v>
      </c>
      <c r="AA565" s="24" t="str">
        <f t="shared" si="17"/>
        <v/>
      </c>
    </row>
    <row r="566" spans="26:27" x14ac:dyDescent="0.2">
      <c r="Z566" s="10">
        <f t="shared" si="16"/>
        <v>0</v>
      </c>
      <c r="AA566" s="24" t="str">
        <f t="shared" si="17"/>
        <v/>
      </c>
    </row>
    <row r="567" spans="26:27" x14ac:dyDescent="0.2">
      <c r="Z567" s="10">
        <f t="shared" si="16"/>
        <v>0</v>
      </c>
      <c r="AA567" s="24" t="str">
        <f t="shared" si="17"/>
        <v/>
      </c>
    </row>
    <row r="568" spans="26:27" x14ac:dyDescent="0.2">
      <c r="Z568" s="10">
        <f t="shared" si="16"/>
        <v>0</v>
      </c>
      <c r="AA568" s="24" t="str">
        <f t="shared" si="17"/>
        <v/>
      </c>
    </row>
    <row r="569" spans="26:27" x14ac:dyDescent="0.2">
      <c r="Z569" s="10">
        <f t="shared" si="16"/>
        <v>0</v>
      </c>
      <c r="AA569" s="24" t="str">
        <f t="shared" si="17"/>
        <v/>
      </c>
    </row>
    <row r="570" spans="26:27" x14ac:dyDescent="0.2">
      <c r="Z570" s="10">
        <f t="shared" si="16"/>
        <v>0</v>
      </c>
      <c r="AA570" s="24" t="str">
        <f t="shared" si="17"/>
        <v/>
      </c>
    </row>
    <row r="571" spans="26:27" x14ac:dyDescent="0.2">
      <c r="Z571" s="10">
        <f t="shared" si="16"/>
        <v>0</v>
      </c>
      <c r="AA571" s="24" t="str">
        <f t="shared" si="17"/>
        <v/>
      </c>
    </row>
    <row r="572" spans="26:27" x14ac:dyDescent="0.2">
      <c r="Z572" s="10">
        <f t="shared" si="16"/>
        <v>0</v>
      </c>
      <c r="AA572" s="24" t="str">
        <f t="shared" si="17"/>
        <v/>
      </c>
    </row>
    <row r="573" spans="26:27" x14ac:dyDescent="0.2">
      <c r="Z573" s="10">
        <f t="shared" si="16"/>
        <v>0</v>
      </c>
      <c r="AA573" s="24" t="str">
        <f t="shared" si="17"/>
        <v/>
      </c>
    </row>
    <row r="574" spans="26:27" x14ac:dyDescent="0.2">
      <c r="Z574" s="10">
        <f t="shared" si="16"/>
        <v>0</v>
      </c>
      <c r="AA574" s="24" t="str">
        <f t="shared" si="17"/>
        <v/>
      </c>
    </row>
    <row r="575" spans="26:27" x14ac:dyDescent="0.2">
      <c r="Z575" s="10">
        <f t="shared" si="16"/>
        <v>0</v>
      </c>
      <c r="AA575" s="24" t="str">
        <f t="shared" si="17"/>
        <v/>
      </c>
    </row>
    <row r="576" spans="26:27" x14ac:dyDescent="0.2">
      <c r="Z576" s="10">
        <f t="shared" si="16"/>
        <v>0</v>
      </c>
      <c r="AA576" s="24" t="str">
        <f t="shared" si="17"/>
        <v/>
      </c>
    </row>
    <row r="577" spans="26:27" x14ac:dyDescent="0.2">
      <c r="Z577" s="10">
        <f t="shared" si="16"/>
        <v>0</v>
      </c>
      <c r="AA577" s="24" t="str">
        <f t="shared" si="17"/>
        <v/>
      </c>
    </row>
    <row r="578" spans="26:27" x14ac:dyDescent="0.2">
      <c r="Z578" s="10">
        <f t="shared" si="16"/>
        <v>0</v>
      </c>
      <c r="AA578" s="24" t="str">
        <f t="shared" si="17"/>
        <v/>
      </c>
    </row>
    <row r="579" spans="26:27" x14ac:dyDescent="0.2">
      <c r="Z579" s="10">
        <f t="shared" si="16"/>
        <v>0</v>
      </c>
      <c r="AA579" s="24" t="str">
        <f t="shared" si="17"/>
        <v/>
      </c>
    </row>
    <row r="580" spans="26:27" x14ac:dyDescent="0.2">
      <c r="Z580" s="10">
        <f t="shared" si="16"/>
        <v>0</v>
      </c>
      <c r="AA580" s="24" t="str">
        <f t="shared" si="17"/>
        <v/>
      </c>
    </row>
    <row r="581" spans="26:27" x14ac:dyDescent="0.2">
      <c r="Z581" s="10">
        <f t="shared" ref="Z581:Z644" si="18">IF(G581="PLUM", "Plumbing", IF(G581="PIPE", "Piping", IF(G581="HVAC", "Sheet Metal", G581)))</f>
        <v>0</v>
      </c>
      <c r="AA581" s="24" t="str">
        <f t="shared" ref="AA581:AA644" si="19">IF(ISBLANK(B581), "", $A$2)</f>
        <v/>
      </c>
    </row>
    <row r="582" spans="26:27" x14ac:dyDescent="0.2">
      <c r="Z582" s="10">
        <f t="shared" si="18"/>
        <v>0</v>
      </c>
      <c r="AA582" s="24" t="str">
        <f t="shared" si="19"/>
        <v/>
      </c>
    </row>
    <row r="583" spans="26:27" x14ac:dyDescent="0.2">
      <c r="Z583" s="10">
        <f t="shared" si="18"/>
        <v>0</v>
      </c>
      <c r="AA583" s="24" t="str">
        <f t="shared" si="19"/>
        <v/>
      </c>
    </row>
    <row r="584" spans="26:27" x14ac:dyDescent="0.2">
      <c r="Z584" s="10">
        <f t="shared" si="18"/>
        <v>0</v>
      </c>
      <c r="AA584" s="24" t="str">
        <f t="shared" si="19"/>
        <v/>
      </c>
    </row>
    <row r="585" spans="26:27" x14ac:dyDescent="0.2">
      <c r="Z585" s="10">
        <f t="shared" si="18"/>
        <v>0</v>
      </c>
      <c r="AA585" s="24" t="str">
        <f t="shared" si="19"/>
        <v/>
      </c>
    </row>
    <row r="586" spans="26:27" x14ac:dyDescent="0.2">
      <c r="Z586" s="10">
        <f t="shared" si="18"/>
        <v>0</v>
      </c>
      <c r="AA586" s="24" t="str">
        <f t="shared" si="19"/>
        <v/>
      </c>
    </row>
    <row r="587" spans="26:27" x14ac:dyDescent="0.2">
      <c r="Z587" s="10">
        <f t="shared" si="18"/>
        <v>0</v>
      </c>
      <c r="AA587" s="24" t="str">
        <f t="shared" si="19"/>
        <v/>
      </c>
    </row>
    <row r="588" spans="26:27" x14ac:dyDescent="0.2">
      <c r="Z588" s="10">
        <f t="shared" si="18"/>
        <v>0</v>
      </c>
      <c r="AA588" s="24" t="str">
        <f t="shared" si="19"/>
        <v/>
      </c>
    </row>
    <row r="589" spans="26:27" x14ac:dyDescent="0.2">
      <c r="Z589" s="10">
        <f t="shared" si="18"/>
        <v>0</v>
      </c>
      <c r="AA589" s="24" t="str">
        <f t="shared" si="19"/>
        <v/>
      </c>
    </row>
    <row r="590" spans="26:27" x14ac:dyDescent="0.2">
      <c r="Z590" s="10">
        <f t="shared" si="18"/>
        <v>0</v>
      </c>
      <c r="AA590" s="24" t="str">
        <f t="shared" si="19"/>
        <v/>
      </c>
    </row>
    <row r="591" spans="26:27" x14ac:dyDescent="0.2">
      <c r="Z591" s="10">
        <f t="shared" si="18"/>
        <v>0</v>
      </c>
      <c r="AA591" s="24" t="str">
        <f t="shared" si="19"/>
        <v/>
      </c>
    </row>
    <row r="592" spans="26:27" x14ac:dyDescent="0.2">
      <c r="Z592" s="10">
        <f t="shared" si="18"/>
        <v>0</v>
      </c>
      <c r="AA592" s="24" t="str">
        <f t="shared" si="19"/>
        <v/>
      </c>
    </row>
    <row r="593" spans="26:27" x14ac:dyDescent="0.2">
      <c r="Z593" s="10">
        <f t="shared" si="18"/>
        <v>0</v>
      </c>
      <c r="AA593" s="24" t="str">
        <f t="shared" si="19"/>
        <v/>
      </c>
    </row>
    <row r="594" spans="26:27" x14ac:dyDescent="0.2">
      <c r="Z594" s="10">
        <f t="shared" si="18"/>
        <v>0</v>
      </c>
      <c r="AA594" s="24" t="str">
        <f t="shared" si="19"/>
        <v/>
      </c>
    </row>
    <row r="595" spans="26:27" x14ac:dyDescent="0.2">
      <c r="Z595" s="10">
        <f t="shared" si="18"/>
        <v>0</v>
      </c>
      <c r="AA595" s="24" t="str">
        <f t="shared" si="19"/>
        <v/>
      </c>
    </row>
    <row r="596" spans="26:27" x14ac:dyDescent="0.2">
      <c r="Z596" s="10">
        <f t="shared" si="18"/>
        <v>0</v>
      </c>
      <c r="AA596" s="24" t="str">
        <f t="shared" si="19"/>
        <v/>
      </c>
    </row>
    <row r="597" spans="26:27" x14ac:dyDescent="0.2">
      <c r="Z597" s="10">
        <f t="shared" si="18"/>
        <v>0</v>
      </c>
      <c r="AA597" s="24" t="str">
        <f t="shared" si="19"/>
        <v/>
      </c>
    </row>
    <row r="598" spans="26:27" x14ac:dyDescent="0.2">
      <c r="Z598" s="10">
        <f t="shared" si="18"/>
        <v>0</v>
      </c>
      <c r="AA598" s="24" t="str">
        <f t="shared" si="19"/>
        <v/>
      </c>
    </row>
    <row r="599" spans="26:27" x14ac:dyDescent="0.2">
      <c r="Z599" s="10">
        <f t="shared" si="18"/>
        <v>0</v>
      </c>
      <c r="AA599" s="24" t="str">
        <f t="shared" si="19"/>
        <v/>
      </c>
    </row>
    <row r="600" spans="26:27" x14ac:dyDescent="0.2">
      <c r="Z600" s="10">
        <f t="shared" si="18"/>
        <v>0</v>
      </c>
      <c r="AA600" s="24" t="str">
        <f t="shared" si="19"/>
        <v/>
      </c>
    </row>
    <row r="601" spans="26:27" x14ac:dyDescent="0.2">
      <c r="Z601" s="10">
        <f t="shared" si="18"/>
        <v>0</v>
      </c>
      <c r="AA601" s="24" t="str">
        <f t="shared" si="19"/>
        <v/>
      </c>
    </row>
    <row r="602" spans="26:27" x14ac:dyDescent="0.2">
      <c r="Z602" s="10">
        <f t="shared" si="18"/>
        <v>0</v>
      </c>
      <c r="AA602" s="24" t="str">
        <f t="shared" si="19"/>
        <v/>
      </c>
    </row>
    <row r="603" spans="26:27" x14ac:dyDescent="0.2">
      <c r="Z603" s="10">
        <f t="shared" si="18"/>
        <v>0</v>
      </c>
      <c r="AA603" s="24" t="str">
        <f t="shared" si="19"/>
        <v/>
      </c>
    </row>
    <row r="604" spans="26:27" x14ac:dyDescent="0.2">
      <c r="Z604" s="10">
        <f t="shared" si="18"/>
        <v>0</v>
      </c>
      <c r="AA604" s="24" t="str">
        <f t="shared" si="19"/>
        <v/>
      </c>
    </row>
    <row r="605" spans="26:27" x14ac:dyDescent="0.2">
      <c r="Z605" s="10">
        <f t="shared" si="18"/>
        <v>0</v>
      </c>
      <c r="AA605" s="24" t="str">
        <f t="shared" si="19"/>
        <v/>
      </c>
    </row>
    <row r="606" spans="26:27" x14ac:dyDescent="0.2">
      <c r="Z606" s="10">
        <f t="shared" si="18"/>
        <v>0</v>
      </c>
      <c r="AA606" s="24" t="str">
        <f t="shared" si="19"/>
        <v/>
      </c>
    </row>
    <row r="607" spans="26:27" x14ac:dyDescent="0.2">
      <c r="Z607" s="10">
        <f t="shared" si="18"/>
        <v>0</v>
      </c>
      <c r="AA607" s="24" t="str">
        <f t="shared" si="19"/>
        <v/>
      </c>
    </row>
    <row r="608" spans="26:27" x14ac:dyDescent="0.2">
      <c r="Z608" s="10">
        <f t="shared" si="18"/>
        <v>0</v>
      </c>
      <c r="AA608" s="24" t="str">
        <f t="shared" si="19"/>
        <v/>
      </c>
    </row>
    <row r="609" spans="26:27" x14ac:dyDescent="0.2">
      <c r="Z609" s="10">
        <f t="shared" si="18"/>
        <v>0</v>
      </c>
      <c r="AA609" s="24" t="str">
        <f t="shared" si="19"/>
        <v/>
      </c>
    </row>
    <row r="610" spans="26:27" x14ac:dyDescent="0.2">
      <c r="Z610" s="10">
        <f t="shared" si="18"/>
        <v>0</v>
      </c>
      <c r="AA610" s="24" t="str">
        <f t="shared" si="19"/>
        <v/>
      </c>
    </row>
    <row r="611" spans="26:27" x14ac:dyDescent="0.2">
      <c r="Z611" s="10">
        <f t="shared" si="18"/>
        <v>0</v>
      </c>
      <c r="AA611" s="24" t="str">
        <f t="shared" si="19"/>
        <v/>
      </c>
    </row>
    <row r="612" spans="26:27" x14ac:dyDescent="0.2">
      <c r="Z612" s="10">
        <f t="shared" si="18"/>
        <v>0</v>
      </c>
      <c r="AA612" s="24" t="str">
        <f t="shared" si="19"/>
        <v/>
      </c>
    </row>
    <row r="613" spans="26:27" x14ac:dyDescent="0.2">
      <c r="Z613" s="10">
        <f t="shared" si="18"/>
        <v>0</v>
      </c>
      <c r="AA613" s="24" t="str">
        <f t="shared" si="19"/>
        <v/>
      </c>
    </row>
    <row r="614" spans="26:27" x14ac:dyDescent="0.2">
      <c r="Z614" s="10">
        <f t="shared" si="18"/>
        <v>0</v>
      </c>
      <c r="AA614" s="24" t="str">
        <f t="shared" si="19"/>
        <v/>
      </c>
    </row>
    <row r="615" spans="26:27" x14ac:dyDescent="0.2">
      <c r="Z615" s="10">
        <f t="shared" si="18"/>
        <v>0</v>
      </c>
      <c r="AA615" s="24" t="str">
        <f t="shared" si="19"/>
        <v/>
      </c>
    </row>
    <row r="616" spans="26:27" x14ac:dyDescent="0.2">
      <c r="Z616" s="10">
        <f t="shared" si="18"/>
        <v>0</v>
      </c>
      <c r="AA616" s="24" t="str">
        <f t="shared" si="19"/>
        <v/>
      </c>
    </row>
    <row r="617" spans="26:27" x14ac:dyDescent="0.2">
      <c r="Z617" s="10">
        <f t="shared" si="18"/>
        <v>0</v>
      </c>
      <c r="AA617" s="24" t="str">
        <f t="shared" si="19"/>
        <v/>
      </c>
    </row>
    <row r="618" spans="26:27" x14ac:dyDescent="0.2">
      <c r="Z618" s="10">
        <f t="shared" si="18"/>
        <v>0</v>
      </c>
      <c r="AA618" s="24" t="str">
        <f t="shared" si="19"/>
        <v/>
      </c>
    </row>
    <row r="619" spans="26:27" x14ac:dyDescent="0.2">
      <c r="Z619" s="10">
        <f t="shared" si="18"/>
        <v>0</v>
      </c>
      <c r="AA619" s="24" t="str">
        <f t="shared" si="19"/>
        <v/>
      </c>
    </row>
    <row r="620" spans="26:27" x14ac:dyDescent="0.2">
      <c r="Z620" s="10">
        <f t="shared" si="18"/>
        <v>0</v>
      </c>
      <c r="AA620" s="24" t="str">
        <f t="shared" si="19"/>
        <v/>
      </c>
    </row>
    <row r="621" spans="26:27" x14ac:dyDescent="0.2">
      <c r="Z621" s="10">
        <f t="shared" si="18"/>
        <v>0</v>
      </c>
      <c r="AA621" s="24" t="str">
        <f t="shared" si="19"/>
        <v/>
      </c>
    </row>
    <row r="622" spans="26:27" x14ac:dyDescent="0.2">
      <c r="Z622" s="10">
        <f t="shared" si="18"/>
        <v>0</v>
      </c>
      <c r="AA622" s="24" t="str">
        <f t="shared" si="19"/>
        <v/>
      </c>
    </row>
    <row r="623" spans="26:27" x14ac:dyDescent="0.2">
      <c r="Z623" s="10">
        <f t="shared" si="18"/>
        <v>0</v>
      </c>
      <c r="AA623" s="24" t="str">
        <f t="shared" si="19"/>
        <v/>
      </c>
    </row>
    <row r="624" spans="26:27" x14ac:dyDescent="0.2">
      <c r="Z624" s="10">
        <f t="shared" si="18"/>
        <v>0</v>
      </c>
      <c r="AA624" s="24" t="str">
        <f t="shared" si="19"/>
        <v/>
      </c>
    </row>
    <row r="625" spans="26:27" x14ac:dyDescent="0.2">
      <c r="Z625" s="10">
        <f t="shared" si="18"/>
        <v>0</v>
      </c>
      <c r="AA625" s="24" t="str">
        <f t="shared" si="19"/>
        <v/>
      </c>
    </row>
    <row r="626" spans="26:27" x14ac:dyDescent="0.2">
      <c r="Z626" s="10">
        <f t="shared" si="18"/>
        <v>0</v>
      </c>
      <c r="AA626" s="24" t="str">
        <f t="shared" si="19"/>
        <v/>
      </c>
    </row>
    <row r="627" spans="26:27" x14ac:dyDescent="0.2">
      <c r="Z627" s="10">
        <f t="shared" si="18"/>
        <v>0</v>
      </c>
      <c r="AA627" s="24" t="str">
        <f t="shared" si="19"/>
        <v/>
      </c>
    </row>
    <row r="628" spans="26:27" x14ac:dyDescent="0.2">
      <c r="Z628" s="10">
        <f t="shared" si="18"/>
        <v>0</v>
      </c>
      <c r="AA628" s="24" t="str">
        <f t="shared" si="19"/>
        <v/>
      </c>
    </row>
    <row r="629" spans="26:27" x14ac:dyDescent="0.2">
      <c r="Z629" s="10">
        <f t="shared" si="18"/>
        <v>0</v>
      </c>
      <c r="AA629" s="24" t="str">
        <f t="shared" si="19"/>
        <v/>
      </c>
    </row>
    <row r="630" spans="26:27" x14ac:dyDescent="0.2">
      <c r="Z630" s="10">
        <f t="shared" si="18"/>
        <v>0</v>
      </c>
      <c r="AA630" s="24" t="str">
        <f t="shared" si="19"/>
        <v/>
      </c>
    </row>
    <row r="631" spans="26:27" x14ac:dyDescent="0.2">
      <c r="Z631" s="10">
        <f t="shared" si="18"/>
        <v>0</v>
      </c>
      <c r="AA631" s="24" t="str">
        <f t="shared" si="19"/>
        <v/>
      </c>
    </row>
    <row r="632" spans="26:27" x14ac:dyDescent="0.2">
      <c r="Z632" s="10">
        <f t="shared" si="18"/>
        <v>0</v>
      </c>
      <c r="AA632" s="24" t="str">
        <f t="shared" si="19"/>
        <v/>
      </c>
    </row>
    <row r="633" spans="26:27" x14ac:dyDescent="0.2">
      <c r="Z633" s="10">
        <f t="shared" si="18"/>
        <v>0</v>
      </c>
      <c r="AA633" s="24" t="str">
        <f t="shared" si="19"/>
        <v/>
      </c>
    </row>
    <row r="634" spans="26:27" x14ac:dyDescent="0.2">
      <c r="Z634" s="10">
        <f t="shared" si="18"/>
        <v>0</v>
      </c>
      <c r="AA634" s="24" t="str">
        <f t="shared" si="19"/>
        <v/>
      </c>
    </row>
    <row r="635" spans="26:27" x14ac:dyDescent="0.2">
      <c r="Z635" s="10">
        <f t="shared" si="18"/>
        <v>0</v>
      </c>
      <c r="AA635" s="24" t="str">
        <f t="shared" si="19"/>
        <v/>
      </c>
    </row>
    <row r="636" spans="26:27" x14ac:dyDescent="0.2">
      <c r="Z636" s="10">
        <f t="shared" si="18"/>
        <v>0</v>
      </c>
      <c r="AA636" s="24" t="str">
        <f t="shared" si="19"/>
        <v/>
      </c>
    </row>
    <row r="637" spans="26:27" x14ac:dyDescent="0.2">
      <c r="Z637" s="10">
        <f t="shared" si="18"/>
        <v>0</v>
      </c>
      <c r="AA637" s="24" t="str">
        <f t="shared" si="19"/>
        <v/>
      </c>
    </row>
    <row r="638" spans="26:27" x14ac:dyDescent="0.2">
      <c r="Z638" s="10">
        <f t="shared" si="18"/>
        <v>0</v>
      </c>
      <c r="AA638" s="24" t="str">
        <f t="shared" si="19"/>
        <v/>
      </c>
    </row>
    <row r="639" spans="26:27" x14ac:dyDescent="0.2">
      <c r="Z639" s="10">
        <f t="shared" si="18"/>
        <v>0</v>
      </c>
      <c r="AA639" s="24" t="str">
        <f t="shared" si="19"/>
        <v/>
      </c>
    </row>
    <row r="640" spans="26:27" x14ac:dyDescent="0.2">
      <c r="Z640" s="10">
        <f t="shared" si="18"/>
        <v>0</v>
      </c>
      <c r="AA640" s="24" t="str">
        <f t="shared" si="19"/>
        <v/>
      </c>
    </row>
    <row r="641" spans="26:27" x14ac:dyDescent="0.2">
      <c r="Z641" s="10">
        <f t="shared" si="18"/>
        <v>0</v>
      </c>
      <c r="AA641" s="24" t="str">
        <f t="shared" si="19"/>
        <v/>
      </c>
    </row>
    <row r="642" spans="26:27" x14ac:dyDescent="0.2">
      <c r="Z642" s="10">
        <f t="shared" si="18"/>
        <v>0</v>
      </c>
      <c r="AA642" s="24" t="str">
        <f t="shared" si="19"/>
        <v/>
      </c>
    </row>
    <row r="643" spans="26:27" x14ac:dyDescent="0.2">
      <c r="Z643" s="10">
        <f t="shared" si="18"/>
        <v>0</v>
      </c>
      <c r="AA643" s="24" t="str">
        <f t="shared" si="19"/>
        <v/>
      </c>
    </row>
    <row r="644" spans="26:27" x14ac:dyDescent="0.2">
      <c r="Z644" s="10">
        <f t="shared" si="18"/>
        <v>0</v>
      </c>
      <c r="AA644" s="24" t="str">
        <f t="shared" si="19"/>
        <v/>
      </c>
    </row>
    <row r="645" spans="26:27" x14ac:dyDescent="0.2">
      <c r="Z645" s="10">
        <f t="shared" ref="Z645:Z708" si="20">IF(G645="PLUM", "Plumbing", IF(G645="PIPE", "Piping", IF(G645="HVAC", "Sheet Metal", G645)))</f>
        <v>0</v>
      </c>
      <c r="AA645" s="24" t="str">
        <f t="shared" ref="AA645:AA708" si="21">IF(ISBLANK(B645), "", $A$2)</f>
        <v/>
      </c>
    </row>
    <row r="646" spans="26:27" x14ac:dyDescent="0.2">
      <c r="Z646" s="10">
        <f t="shared" si="20"/>
        <v>0</v>
      </c>
      <c r="AA646" s="24" t="str">
        <f t="shared" si="21"/>
        <v/>
      </c>
    </row>
    <row r="647" spans="26:27" x14ac:dyDescent="0.2">
      <c r="Z647" s="10">
        <f t="shared" si="20"/>
        <v>0</v>
      </c>
      <c r="AA647" s="24" t="str">
        <f t="shared" si="21"/>
        <v/>
      </c>
    </row>
    <row r="648" spans="26:27" x14ac:dyDescent="0.2">
      <c r="Z648" s="10">
        <f t="shared" si="20"/>
        <v>0</v>
      </c>
      <c r="AA648" s="24" t="str">
        <f t="shared" si="21"/>
        <v/>
      </c>
    </row>
    <row r="649" spans="26:27" x14ac:dyDescent="0.2">
      <c r="Z649" s="10">
        <f t="shared" si="20"/>
        <v>0</v>
      </c>
      <c r="AA649" s="24" t="str">
        <f t="shared" si="21"/>
        <v/>
      </c>
    </row>
    <row r="650" spans="26:27" x14ac:dyDescent="0.2">
      <c r="Z650" s="10">
        <f t="shared" si="20"/>
        <v>0</v>
      </c>
      <c r="AA650" s="24" t="str">
        <f t="shared" si="21"/>
        <v/>
      </c>
    </row>
    <row r="651" spans="26:27" x14ac:dyDescent="0.2">
      <c r="Z651" s="10">
        <f t="shared" si="20"/>
        <v>0</v>
      </c>
      <c r="AA651" s="24" t="str">
        <f t="shared" si="21"/>
        <v/>
      </c>
    </row>
    <row r="652" spans="26:27" x14ac:dyDescent="0.2">
      <c r="Z652" s="10">
        <f t="shared" si="20"/>
        <v>0</v>
      </c>
      <c r="AA652" s="24" t="str">
        <f t="shared" si="21"/>
        <v/>
      </c>
    </row>
    <row r="653" spans="26:27" x14ac:dyDescent="0.2">
      <c r="Z653" s="10">
        <f t="shared" si="20"/>
        <v>0</v>
      </c>
      <c r="AA653" s="24" t="str">
        <f t="shared" si="21"/>
        <v/>
      </c>
    </row>
    <row r="654" spans="26:27" x14ac:dyDescent="0.2">
      <c r="Z654" s="10">
        <f t="shared" si="20"/>
        <v>0</v>
      </c>
      <c r="AA654" s="24" t="str">
        <f t="shared" si="21"/>
        <v/>
      </c>
    </row>
    <row r="655" spans="26:27" x14ac:dyDescent="0.2">
      <c r="Z655" s="10">
        <f t="shared" si="20"/>
        <v>0</v>
      </c>
      <c r="AA655" s="24" t="str">
        <f t="shared" si="21"/>
        <v/>
      </c>
    </row>
    <row r="656" spans="26:27" x14ac:dyDescent="0.2">
      <c r="Z656" s="10">
        <f t="shared" si="20"/>
        <v>0</v>
      </c>
      <c r="AA656" s="24" t="str">
        <f t="shared" si="21"/>
        <v/>
      </c>
    </row>
    <row r="657" spans="26:27" x14ac:dyDescent="0.2">
      <c r="Z657" s="10">
        <f t="shared" si="20"/>
        <v>0</v>
      </c>
      <c r="AA657" s="24" t="str">
        <f t="shared" si="21"/>
        <v/>
      </c>
    </row>
    <row r="658" spans="26:27" x14ac:dyDescent="0.2">
      <c r="Z658" s="10">
        <f t="shared" si="20"/>
        <v>0</v>
      </c>
      <c r="AA658" s="24" t="str">
        <f t="shared" si="21"/>
        <v/>
      </c>
    </row>
    <row r="659" spans="26:27" x14ac:dyDescent="0.2">
      <c r="Z659" s="10">
        <f t="shared" si="20"/>
        <v>0</v>
      </c>
      <c r="AA659" s="24" t="str">
        <f t="shared" si="21"/>
        <v/>
      </c>
    </row>
    <row r="660" spans="26:27" x14ac:dyDescent="0.2">
      <c r="Z660" s="10">
        <f t="shared" si="20"/>
        <v>0</v>
      </c>
      <c r="AA660" s="24" t="str">
        <f t="shared" si="21"/>
        <v/>
      </c>
    </row>
    <row r="661" spans="26:27" x14ac:dyDescent="0.2">
      <c r="Z661" s="10">
        <f t="shared" si="20"/>
        <v>0</v>
      </c>
      <c r="AA661" s="24" t="str">
        <f t="shared" si="21"/>
        <v/>
      </c>
    </row>
    <row r="662" spans="26:27" x14ac:dyDescent="0.2">
      <c r="Z662" s="10">
        <f t="shared" si="20"/>
        <v>0</v>
      </c>
      <c r="AA662" s="24" t="str">
        <f t="shared" si="21"/>
        <v/>
      </c>
    </row>
    <row r="663" spans="26:27" x14ac:dyDescent="0.2">
      <c r="Z663" s="10">
        <f t="shared" si="20"/>
        <v>0</v>
      </c>
      <c r="AA663" s="24" t="str">
        <f t="shared" si="21"/>
        <v/>
      </c>
    </row>
    <row r="664" spans="26:27" x14ac:dyDescent="0.2">
      <c r="Z664" s="10">
        <f t="shared" si="20"/>
        <v>0</v>
      </c>
      <c r="AA664" s="24" t="str">
        <f t="shared" si="21"/>
        <v/>
      </c>
    </row>
    <row r="665" spans="26:27" x14ac:dyDescent="0.2">
      <c r="Z665" s="10">
        <f t="shared" si="20"/>
        <v>0</v>
      </c>
      <c r="AA665" s="24" t="str">
        <f t="shared" si="21"/>
        <v/>
      </c>
    </row>
    <row r="666" spans="26:27" x14ac:dyDescent="0.2">
      <c r="Z666" s="10">
        <f t="shared" si="20"/>
        <v>0</v>
      </c>
      <c r="AA666" s="24" t="str">
        <f t="shared" si="21"/>
        <v/>
      </c>
    </row>
    <row r="667" spans="26:27" x14ac:dyDescent="0.2">
      <c r="Z667" s="10">
        <f t="shared" si="20"/>
        <v>0</v>
      </c>
      <c r="AA667" s="24" t="str">
        <f t="shared" si="21"/>
        <v/>
      </c>
    </row>
    <row r="668" spans="26:27" x14ac:dyDescent="0.2">
      <c r="Z668" s="10">
        <f t="shared" si="20"/>
        <v>0</v>
      </c>
      <c r="AA668" s="24" t="str">
        <f t="shared" si="21"/>
        <v/>
      </c>
    </row>
    <row r="669" spans="26:27" x14ac:dyDescent="0.2">
      <c r="Z669" s="10">
        <f t="shared" si="20"/>
        <v>0</v>
      </c>
      <c r="AA669" s="24" t="str">
        <f t="shared" si="21"/>
        <v/>
      </c>
    </row>
    <row r="670" spans="26:27" x14ac:dyDescent="0.2">
      <c r="Z670" s="10">
        <f t="shared" si="20"/>
        <v>0</v>
      </c>
      <c r="AA670" s="24" t="str">
        <f t="shared" si="21"/>
        <v/>
      </c>
    </row>
    <row r="671" spans="26:27" x14ac:dyDescent="0.2">
      <c r="Z671" s="10">
        <f t="shared" si="20"/>
        <v>0</v>
      </c>
      <c r="AA671" s="24" t="str">
        <f t="shared" si="21"/>
        <v/>
      </c>
    </row>
    <row r="672" spans="26:27" x14ac:dyDescent="0.2">
      <c r="Z672" s="10">
        <f t="shared" si="20"/>
        <v>0</v>
      </c>
      <c r="AA672" s="24" t="str">
        <f t="shared" si="21"/>
        <v/>
      </c>
    </row>
    <row r="673" spans="26:27" x14ac:dyDescent="0.2">
      <c r="Z673" s="10">
        <f t="shared" si="20"/>
        <v>0</v>
      </c>
      <c r="AA673" s="24" t="str">
        <f t="shared" si="21"/>
        <v/>
      </c>
    </row>
    <row r="674" spans="26:27" x14ac:dyDescent="0.2">
      <c r="Z674" s="10">
        <f t="shared" si="20"/>
        <v>0</v>
      </c>
      <c r="AA674" s="24" t="str">
        <f t="shared" si="21"/>
        <v/>
      </c>
    </row>
    <row r="675" spans="26:27" x14ac:dyDescent="0.2">
      <c r="Z675" s="10">
        <f t="shared" si="20"/>
        <v>0</v>
      </c>
      <c r="AA675" s="24" t="str">
        <f t="shared" si="21"/>
        <v/>
      </c>
    </row>
    <row r="676" spans="26:27" x14ac:dyDescent="0.2">
      <c r="Z676" s="10">
        <f t="shared" si="20"/>
        <v>0</v>
      </c>
      <c r="AA676" s="24" t="str">
        <f t="shared" si="21"/>
        <v/>
      </c>
    </row>
    <row r="677" spans="26:27" x14ac:dyDescent="0.2">
      <c r="Z677" s="10">
        <f t="shared" si="20"/>
        <v>0</v>
      </c>
      <c r="AA677" s="24" t="str">
        <f t="shared" si="21"/>
        <v/>
      </c>
    </row>
    <row r="678" spans="26:27" x14ac:dyDescent="0.2">
      <c r="Z678" s="10">
        <f t="shared" si="20"/>
        <v>0</v>
      </c>
      <c r="AA678" s="24" t="str">
        <f t="shared" si="21"/>
        <v/>
      </c>
    </row>
    <row r="679" spans="26:27" x14ac:dyDescent="0.2">
      <c r="Z679" s="10">
        <f t="shared" si="20"/>
        <v>0</v>
      </c>
      <c r="AA679" s="24" t="str">
        <f t="shared" si="21"/>
        <v/>
      </c>
    </row>
    <row r="680" spans="26:27" x14ac:dyDescent="0.2">
      <c r="Z680" s="10">
        <f t="shared" si="20"/>
        <v>0</v>
      </c>
      <c r="AA680" s="24" t="str">
        <f t="shared" si="21"/>
        <v/>
      </c>
    </row>
    <row r="681" spans="26:27" x14ac:dyDescent="0.2">
      <c r="Z681" s="10">
        <f t="shared" si="20"/>
        <v>0</v>
      </c>
      <c r="AA681" s="24" t="str">
        <f t="shared" si="21"/>
        <v/>
      </c>
    </row>
    <row r="682" spans="26:27" x14ac:dyDescent="0.2">
      <c r="Z682" s="10">
        <f t="shared" si="20"/>
        <v>0</v>
      </c>
      <c r="AA682" s="24" t="str">
        <f t="shared" si="21"/>
        <v/>
      </c>
    </row>
    <row r="683" spans="26:27" x14ac:dyDescent="0.2">
      <c r="Z683" s="10">
        <f t="shared" si="20"/>
        <v>0</v>
      </c>
      <c r="AA683" s="24" t="str">
        <f t="shared" si="21"/>
        <v/>
      </c>
    </row>
    <row r="684" spans="26:27" x14ac:dyDescent="0.2">
      <c r="Z684" s="10">
        <f t="shared" si="20"/>
        <v>0</v>
      </c>
      <c r="AA684" s="24" t="str">
        <f t="shared" si="21"/>
        <v/>
      </c>
    </row>
    <row r="685" spans="26:27" x14ac:dyDescent="0.2">
      <c r="Z685" s="10">
        <f t="shared" si="20"/>
        <v>0</v>
      </c>
      <c r="AA685" s="24" t="str">
        <f t="shared" si="21"/>
        <v/>
      </c>
    </row>
    <row r="686" spans="26:27" x14ac:dyDescent="0.2">
      <c r="Z686" s="10">
        <f t="shared" si="20"/>
        <v>0</v>
      </c>
      <c r="AA686" s="24" t="str">
        <f t="shared" si="21"/>
        <v/>
      </c>
    </row>
    <row r="687" spans="26:27" x14ac:dyDescent="0.2">
      <c r="Z687" s="10">
        <f t="shared" si="20"/>
        <v>0</v>
      </c>
      <c r="AA687" s="24" t="str">
        <f t="shared" si="21"/>
        <v/>
      </c>
    </row>
    <row r="688" spans="26:27" x14ac:dyDescent="0.2">
      <c r="Z688" s="10">
        <f t="shared" si="20"/>
        <v>0</v>
      </c>
      <c r="AA688" s="24" t="str">
        <f t="shared" si="21"/>
        <v/>
      </c>
    </row>
    <row r="689" spans="26:27" x14ac:dyDescent="0.2">
      <c r="Z689" s="10">
        <f t="shared" si="20"/>
        <v>0</v>
      </c>
      <c r="AA689" s="24" t="str">
        <f t="shared" si="21"/>
        <v/>
      </c>
    </row>
    <row r="690" spans="26:27" x14ac:dyDescent="0.2">
      <c r="Z690" s="10">
        <f t="shared" si="20"/>
        <v>0</v>
      </c>
      <c r="AA690" s="24" t="str">
        <f t="shared" si="21"/>
        <v/>
      </c>
    </row>
    <row r="691" spans="26:27" x14ac:dyDescent="0.2">
      <c r="Z691" s="10">
        <f t="shared" si="20"/>
        <v>0</v>
      </c>
      <c r="AA691" s="24" t="str">
        <f t="shared" si="21"/>
        <v/>
      </c>
    </row>
    <row r="692" spans="26:27" x14ac:dyDescent="0.2">
      <c r="Z692" s="10">
        <f t="shared" si="20"/>
        <v>0</v>
      </c>
      <c r="AA692" s="24" t="str">
        <f t="shared" si="21"/>
        <v/>
      </c>
    </row>
    <row r="693" spans="26:27" x14ac:dyDescent="0.2">
      <c r="Z693" s="10">
        <f t="shared" si="20"/>
        <v>0</v>
      </c>
      <c r="AA693" s="24" t="str">
        <f t="shared" si="21"/>
        <v/>
      </c>
    </row>
    <row r="694" spans="26:27" x14ac:dyDescent="0.2">
      <c r="Z694" s="10">
        <f t="shared" si="20"/>
        <v>0</v>
      </c>
      <c r="AA694" s="24" t="str">
        <f t="shared" si="21"/>
        <v/>
      </c>
    </row>
    <row r="695" spans="26:27" x14ac:dyDescent="0.2">
      <c r="Z695" s="10">
        <f t="shared" si="20"/>
        <v>0</v>
      </c>
      <c r="AA695" s="24" t="str">
        <f t="shared" si="21"/>
        <v/>
      </c>
    </row>
    <row r="696" spans="26:27" x14ac:dyDescent="0.2">
      <c r="Z696" s="10">
        <f t="shared" si="20"/>
        <v>0</v>
      </c>
      <c r="AA696" s="24" t="str">
        <f t="shared" si="21"/>
        <v/>
      </c>
    </row>
    <row r="697" spans="26:27" x14ac:dyDescent="0.2">
      <c r="Z697" s="10">
        <f t="shared" si="20"/>
        <v>0</v>
      </c>
      <c r="AA697" s="24" t="str">
        <f t="shared" si="21"/>
        <v/>
      </c>
    </row>
    <row r="698" spans="26:27" x14ac:dyDescent="0.2">
      <c r="Z698" s="10">
        <f t="shared" si="20"/>
        <v>0</v>
      </c>
      <c r="AA698" s="24" t="str">
        <f t="shared" si="21"/>
        <v/>
      </c>
    </row>
    <row r="699" spans="26:27" x14ac:dyDescent="0.2">
      <c r="Z699" s="10">
        <f t="shared" si="20"/>
        <v>0</v>
      </c>
      <c r="AA699" s="24" t="str">
        <f t="shared" si="21"/>
        <v/>
      </c>
    </row>
    <row r="700" spans="26:27" x14ac:dyDescent="0.2">
      <c r="Z700" s="10">
        <f t="shared" si="20"/>
        <v>0</v>
      </c>
      <c r="AA700" s="24" t="str">
        <f t="shared" si="21"/>
        <v/>
      </c>
    </row>
    <row r="701" spans="26:27" x14ac:dyDescent="0.2">
      <c r="Z701" s="10">
        <f t="shared" si="20"/>
        <v>0</v>
      </c>
      <c r="AA701" s="24" t="str">
        <f t="shared" si="21"/>
        <v/>
      </c>
    </row>
    <row r="702" spans="26:27" x14ac:dyDescent="0.2">
      <c r="Z702" s="10">
        <f t="shared" si="20"/>
        <v>0</v>
      </c>
      <c r="AA702" s="24" t="str">
        <f t="shared" si="21"/>
        <v/>
      </c>
    </row>
    <row r="703" spans="26:27" x14ac:dyDescent="0.2">
      <c r="Z703" s="10">
        <f t="shared" si="20"/>
        <v>0</v>
      </c>
      <c r="AA703" s="24" t="str">
        <f t="shared" si="21"/>
        <v/>
      </c>
    </row>
    <row r="704" spans="26:27" x14ac:dyDescent="0.2">
      <c r="Z704" s="10">
        <f t="shared" si="20"/>
        <v>0</v>
      </c>
      <c r="AA704" s="24" t="str">
        <f t="shared" si="21"/>
        <v/>
      </c>
    </row>
    <row r="705" spans="26:27" x14ac:dyDescent="0.2">
      <c r="Z705" s="10">
        <f t="shared" si="20"/>
        <v>0</v>
      </c>
      <c r="AA705" s="24" t="str">
        <f t="shared" si="21"/>
        <v/>
      </c>
    </row>
    <row r="706" spans="26:27" x14ac:dyDescent="0.2">
      <c r="Z706" s="10">
        <f t="shared" si="20"/>
        <v>0</v>
      </c>
      <c r="AA706" s="24" t="str">
        <f t="shared" si="21"/>
        <v/>
      </c>
    </row>
    <row r="707" spans="26:27" x14ac:dyDescent="0.2">
      <c r="Z707" s="10">
        <f t="shared" si="20"/>
        <v>0</v>
      </c>
      <c r="AA707" s="24" t="str">
        <f t="shared" si="21"/>
        <v/>
      </c>
    </row>
    <row r="708" spans="26:27" x14ac:dyDescent="0.2">
      <c r="Z708" s="10">
        <f t="shared" si="20"/>
        <v>0</v>
      </c>
      <c r="AA708" s="24" t="str">
        <f t="shared" si="21"/>
        <v/>
      </c>
    </row>
    <row r="709" spans="26:27" x14ac:dyDescent="0.2">
      <c r="Z709" s="10">
        <f t="shared" ref="Z709:Z772" si="22">IF(G709="PLUM", "Plumbing", IF(G709="PIPE", "Piping", IF(G709="HVAC", "Sheet Metal", G709)))</f>
        <v>0</v>
      </c>
      <c r="AA709" s="24" t="str">
        <f t="shared" ref="AA709:AA772" si="23">IF(ISBLANK(B709), "", $A$2)</f>
        <v/>
      </c>
    </row>
    <row r="710" spans="26:27" x14ac:dyDescent="0.2">
      <c r="Z710" s="10">
        <f t="shared" si="22"/>
        <v>0</v>
      </c>
      <c r="AA710" s="24" t="str">
        <f t="shared" si="23"/>
        <v/>
      </c>
    </row>
    <row r="711" spans="26:27" x14ac:dyDescent="0.2">
      <c r="Z711" s="10">
        <f t="shared" si="22"/>
        <v>0</v>
      </c>
      <c r="AA711" s="24" t="str">
        <f t="shared" si="23"/>
        <v/>
      </c>
    </row>
    <row r="712" spans="26:27" x14ac:dyDescent="0.2">
      <c r="Z712" s="10">
        <f t="shared" si="22"/>
        <v>0</v>
      </c>
      <c r="AA712" s="24" t="str">
        <f t="shared" si="23"/>
        <v/>
      </c>
    </row>
    <row r="713" spans="26:27" x14ac:dyDescent="0.2">
      <c r="Z713" s="10">
        <f t="shared" si="22"/>
        <v>0</v>
      </c>
      <c r="AA713" s="24" t="str">
        <f t="shared" si="23"/>
        <v/>
      </c>
    </row>
    <row r="714" spans="26:27" x14ac:dyDescent="0.2">
      <c r="Z714" s="10">
        <f t="shared" si="22"/>
        <v>0</v>
      </c>
      <c r="AA714" s="24" t="str">
        <f t="shared" si="23"/>
        <v/>
      </c>
    </row>
    <row r="715" spans="26:27" x14ac:dyDescent="0.2">
      <c r="Z715" s="10">
        <f t="shared" si="22"/>
        <v>0</v>
      </c>
      <c r="AA715" s="24" t="str">
        <f t="shared" si="23"/>
        <v/>
      </c>
    </row>
    <row r="716" spans="26:27" x14ac:dyDescent="0.2">
      <c r="Z716" s="10">
        <f t="shared" si="22"/>
        <v>0</v>
      </c>
      <c r="AA716" s="24" t="str">
        <f t="shared" si="23"/>
        <v/>
      </c>
    </row>
    <row r="717" spans="26:27" x14ac:dyDescent="0.2">
      <c r="Z717" s="10">
        <f t="shared" si="22"/>
        <v>0</v>
      </c>
      <c r="AA717" s="24" t="str">
        <f t="shared" si="23"/>
        <v/>
      </c>
    </row>
    <row r="718" spans="26:27" x14ac:dyDescent="0.2">
      <c r="Z718" s="10">
        <f t="shared" si="22"/>
        <v>0</v>
      </c>
      <c r="AA718" s="24" t="str">
        <f t="shared" si="23"/>
        <v/>
      </c>
    </row>
    <row r="719" spans="26:27" x14ac:dyDescent="0.2">
      <c r="Z719" s="10">
        <f t="shared" si="22"/>
        <v>0</v>
      </c>
      <c r="AA719" s="24" t="str">
        <f t="shared" si="23"/>
        <v/>
      </c>
    </row>
    <row r="720" spans="26:27" x14ac:dyDescent="0.2">
      <c r="Z720" s="10">
        <f t="shared" si="22"/>
        <v>0</v>
      </c>
      <c r="AA720" s="24" t="str">
        <f t="shared" si="23"/>
        <v/>
      </c>
    </row>
    <row r="721" spans="26:27" x14ac:dyDescent="0.2">
      <c r="Z721" s="10">
        <f t="shared" si="22"/>
        <v>0</v>
      </c>
      <c r="AA721" s="24" t="str">
        <f t="shared" si="23"/>
        <v/>
      </c>
    </row>
    <row r="722" spans="26:27" x14ac:dyDescent="0.2">
      <c r="Z722" s="10">
        <f t="shared" si="22"/>
        <v>0</v>
      </c>
      <c r="AA722" s="24" t="str">
        <f t="shared" si="23"/>
        <v/>
      </c>
    </row>
    <row r="723" spans="26:27" x14ac:dyDescent="0.2">
      <c r="Z723" s="10">
        <f t="shared" si="22"/>
        <v>0</v>
      </c>
      <c r="AA723" s="24" t="str">
        <f t="shared" si="23"/>
        <v/>
      </c>
    </row>
    <row r="724" spans="26:27" x14ac:dyDescent="0.2">
      <c r="Z724" s="10">
        <f t="shared" si="22"/>
        <v>0</v>
      </c>
      <c r="AA724" s="24" t="str">
        <f t="shared" si="23"/>
        <v/>
      </c>
    </row>
    <row r="725" spans="26:27" x14ac:dyDescent="0.2">
      <c r="Z725" s="10">
        <f t="shared" si="22"/>
        <v>0</v>
      </c>
      <c r="AA725" s="24" t="str">
        <f t="shared" si="23"/>
        <v/>
      </c>
    </row>
    <row r="726" spans="26:27" x14ac:dyDescent="0.2">
      <c r="Z726" s="10">
        <f t="shared" si="22"/>
        <v>0</v>
      </c>
      <c r="AA726" s="24" t="str">
        <f t="shared" si="23"/>
        <v/>
      </c>
    </row>
    <row r="727" spans="26:27" x14ac:dyDescent="0.2">
      <c r="Z727" s="10">
        <f t="shared" si="22"/>
        <v>0</v>
      </c>
      <c r="AA727" s="24" t="str">
        <f t="shared" si="23"/>
        <v/>
      </c>
    </row>
    <row r="728" spans="26:27" x14ac:dyDescent="0.2">
      <c r="Z728" s="10">
        <f t="shared" si="22"/>
        <v>0</v>
      </c>
      <c r="AA728" s="24" t="str">
        <f t="shared" si="23"/>
        <v/>
      </c>
    </row>
    <row r="729" spans="26:27" x14ac:dyDescent="0.2">
      <c r="Z729" s="10">
        <f t="shared" si="22"/>
        <v>0</v>
      </c>
      <c r="AA729" s="24" t="str">
        <f t="shared" si="23"/>
        <v/>
      </c>
    </row>
    <row r="730" spans="26:27" x14ac:dyDescent="0.2">
      <c r="Z730" s="10">
        <f t="shared" si="22"/>
        <v>0</v>
      </c>
      <c r="AA730" s="24" t="str">
        <f t="shared" si="23"/>
        <v/>
      </c>
    </row>
    <row r="731" spans="26:27" x14ac:dyDescent="0.2">
      <c r="Z731" s="10">
        <f t="shared" si="22"/>
        <v>0</v>
      </c>
      <c r="AA731" s="24" t="str">
        <f t="shared" si="23"/>
        <v/>
      </c>
    </row>
    <row r="732" spans="26:27" x14ac:dyDescent="0.2">
      <c r="Z732" s="10">
        <f t="shared" si="22"/>
        <v>0</v>
      </c>
      <c r="AA732" s="24" t="str">
        <f t="shared" si="23"/>
        <v/>
      </c>
    </row>
    <row r="733" spans="26:27" x14ac:dyDescent="0.2">
      <c r="Z733" s="10">
        <f t="shared" si="22"/>
        <v>0</v>
      </c>
      <c r="AA733" s="24" t="str">
        <f t="shared" si="23"/>
        <v/>
      </c>
    </row>
    <row r="734" spans="26:27" x14ac:dyDescent="0.2">
      <c r="Z734" s="10">
        <f t="shared" si="22"/>
        <v>0</v>
      </c>
      <c r="AA734" s="24" t="str">
        <f t="shared" si="23"/>
        <v/>
      </c>
    </row>
    <row r="735" spans="26:27" x14ac:dyDescent="0.2">
      <c r="Z735" s="10">
        <f t="shared" si="22"/>
        <v>0</v>
      </c>
      <c r="AA735" s="24" t="str">
        <f t="shared" si="23"/>
        <v/>
      </c>
    </row>
    <row r="736" spans="26:27" x14ac:dyDescent="0.2">
      <c r="Z736" s="10">
        <f t="shared" si="22"/>
        <v>0</v>
      </c>
      <c r="AA736" s="24" t="str">
        <f t="shared" si="23"/>
        <v/>
      </c>
    </row>
    <row r="737" spans="26:27" x14ac:dyDescent="0.2">
      <c r="Z737" s="10">
        <f t="shared" si="22"/>
        <v>0</v>
      </c>
      <c r="AA737" s="24" t="str">
        <f t="shared" si="23"/>
        <v/>
      </c>
    </row>
    <row r="738" spans="26:27" x14ac:dyDescent="0.2">
      <c r="Z738" s="10">
        <f t="shared" si="22"/>
        <v>0</v>
      </c>
      <c r="AA738" s="24" t="str">
        <f t="shared" si="23"/>
        <v/>
      </c>
    </row>
    <row r="739" spans="26:27" x14ac:dyDescent="0.2">
      <c r="Z739" s="10">
        <f t="shared" si="22"/>
        <v>0</v>
      </c>
      <c r="AA739" s="24" t="str">
        <f t="shared" si="23"/>
        <v/>
      </c>
    </row>
    <row r="740" spans="26:27" x14ac:dyDescent="0.2">
      <c r="Z740" s="10">
        <f t="shared" si="22"/>
        <v>0</v>
      </c>
      <c r="AA740" s="24" t="str">
        <f t="shared" si="23"/>
        <v/>
      </c>
    </row>
    <row r="741" spans="26:27" x14ac:dyDescent="0.2">
      <c r="Z741" s="10">
        <f t="shared" si="22"/>
        <v>0</v>
      </c>
      <c r="AA741" s="24" t="str">
        <f t="shared" si="23"/>
        <v/>
      </c>
    </row>
    <row r="742" spans="26:27" x14ac:dyDescent="0.2">
      <c r="Z742" s="10">
        <f t="shared" si="22"/>
        <v>0</v>
      </c>
      <c r="AA742" s="24" t="str">
        <f t="shared" si="23"/>
        <v/>
      </c>
    </row>
    <row r="743" spans="26:27" x14ac:dyDescent="0.2">
      <c r="Z743" s="10">
        <f t="shared" si="22"/>
        <v>0</v>
      </c>
      <c r="AA743" s="24" t="str">
        <f t="shared" si="23"/>
        <v/>
      </c>
    </row>
    <row r="744" spans="26:27" x14ac:dyDescent="0.2">
      <c r="Z744" s="10">
        <f t="shared" si="22"/>
        <v>0</v>
      </c>
      <c r="AA744" s="24" t="str">
        <f t="shared" si="23"/>
        <v/>
      </c>
    </row>
    <row r="745" spans="26:27" x14ac:dyDescent="0.2">
      <c r="Z745" s="10">
        <f t="shared" si="22"/>
        <v>0</v>
      </c>
      <c r="AA745" s="24" t="str">
        <f t="shared" si="23"/>
        <v/>
      </c>
    </row>
    <row r="746" spans="26:27" x14ac:dyDescent="0.2">
      <c r="Z746" s="10">
        <f t="shared" si="22"/>
        <v>0</v>
      </c>
      <c r="AA746" s="24" t="str">
        <f t="shared" si="23"/>
        <v/>
      </c>
    </row>
    <row r="747" spans="26:27" x14ac:dyDescent="0.2">
      <c r="Z747" s="10">
        <f t="shared" si="22"/>
        <v>0</v>
      </c>
      <c r="AA747" s="24" t="str">
        <f t="shared" si="23"/>
        <v/>
      </c>
    </row>
    <row r="748" spans="26:27" x14ac:dyDescent="0.2">
      <c r="Z748" s="10">
        <f t="shared" si="22"/>
        <v>0</v>
      </c>
      <c r="AA748" s="24" t="str">
        <f t="shared" si="23"/>
        <v/>
      </c>
    </row>
    <row r="749" spans="26:27" x14ac:dyDescent="0.2">
      <c r="Z749" s="10">
        <f t="shared" si="22"/>
        <v>0</v>
      </c>
      <c r="AA749" s="24" t="str">
        <f t="shared" si="23"/>
        <v/>
      </c>
    </row>
    <row r="750" spans="26:27" x14ac:dyDescent="0.2">
      <c r="Z750" s="10">
        <f t="shared" si="22"/>
        <v>0</v>
      </c>
      <c r="AA750" s="24" t="str">
        <f t="shared" si="23"/>
        <v/>
      </c>
    </row>
    <row r="751" spans="26:27" x14ac:dyDescent="0.2">
      <c r="Z751" s="10">
        <f t="shared" si="22"/>
        <v>0</v>
      </c>
      <c r="AA751" s="24" t="str">
        <f t="shared" si="23"/>
        <v/>
      </c>
    </row>
    <row r="752" spans="26:27" x14ac:dyDescent="0.2">
      <c r="Z752" s="10">
        <f t="shared" si="22"/>
        <v>0</v>
      </c>
      <c r="AA752" s="24" t="str">
        <f t="shared" si="23"/>
        <v/>
      </c>
    </row>
    <row r="753" spans="26:27" x14ac:dyDescent="0.2">
      <c r="Z753" s="10">
        <f t="shared" si="22"/>
        <v>0</v>
      </c>
      <c r="AA753" s="24" t="str">
        <f t="shared" si="23"/>
        <v/>
      </c>
    </row>
    <row r="754" spans="26:27" x14ac:dyDescent="0.2">
      <c r="Z754" s="10">
        <f t="shared" si="22"/>
        <v>0</v>
      </c>
      <c r="AA754" s="24" t="str">
        <f t="shared" si="23"/>
        <v/>
      </c>
    </row>
    <row r="755" spans="26:27" x14ac:dyDescent="0.2">
      <c r="Z755" s="10">
        <f t="shared" si="22"/>
        <v>0</v>
      </c>
      <c r="AA755" s="24" t="str">
        <f t="shared" si="23"/>
        <v/>
      </c>
    </row>
    <row r="756" spans="26:27" x14ac:dyDescent="0.2">
      <c r="Z756" s="10">
        <f t="shared" si="22"/>
        <v>0</v>
      </c>
      <c r="AA756" s="24" t="str">
        <f t="shared" si="23"/>
        <v/>
      </c>
    </row>
    <row r="757" spans="26:27" x14ac:dyDescent="0.2">
      <c r="Z757" s="10">
        <f t="shared" si="22"/>
        <v>0</v>
      </c>
      <c r="AA757" s="24" t="str">
        <f t="shared" si="23"/>
        <v/>
      </c>
    </row>
    <row r="758" spans="26:27" x14ac:dyDescent="0.2">
      <c r="Z758" s="10">
        <f t="shared" si="22"/>
        <v>0</v>
      </c>
      <c r="AA758" s="24" t="str">
        <f t="shared" si="23"/>
        <v/>
      </c>
    </row>
    <row r="759" spans="26:27" x14ac:dyDescent="0.2">
      <c r="Z759" s="10">
        <f t="shared" si="22"/>
        <v>0</v>
      </c>
      <c r="AA759" s="24" t="str">
        <f t="shared" si="23"/>
        <v/>
      </c>
    </row>
    <row r="760" spans="26:27" x14ac:dyDescent="0.2">
      <c r="Z760" s="10">
        <f t="shared" si="22"/>
        <v>0</v>
      </c>
      <c r="AA760" s="24" t="str">
        <f t="shared" si="23"/>
        <v/>
      </c>
    </row>
    <row r="761" spans="26:27" x14ac:dyDescent="0.2">
      <c r="Z761" s="10">
        <f t="shared" si="22"/>
        <v>0</v>
      </c>
      <c r="AA761" s="24" t="str">
        <f t="shared" si="23"/>
        <v/>
      </c>
    </row>
    <row r="762" spans="26:27" x14ac:dyDescent="0.2">
      <c r="Z762" s="10">
        <f t="shared" si="22"/>
        <v>0</v>
      </c>
      <c r="AA762" s="24" t="str">
        <f t="shared" si="23"/>
        <v/>
      </c>
    </row>
    <row r="763" spans="26:27" x14ac:dyDescent="0.2">
      <c r="Z763" s="10">
        <f t="shared" si="22"/>
        <v>0</v>
      </c>
      <c r="AA763" s="24" t="str">
        <f t="shared" si="23"/>
        <v/>
      </c>
    </row>
    <row r="764" spans="26:27" x14ac:dyDescent="0.2">
      <c r="Z764" s="10">
        <f t="shared" si="22"/>
        <v>0</v>
      </c>
      <c r="AA764" s="24" t="str">
        <f t="shared" si="23"/>
        <v/>
      </c>
    </row>
    <row r="765" spans="26:27" x14ac:dyDescent="0.2">
      <c r="Z765" s="10">
        <f t="shared" si="22"/>
        <v>0</v>
      </c>
      <c r="AA765" s="24" t="str">
        <f t="shared" si="23"/>
        <v/>
      </c>
    </row>
    <row r="766" spans="26:27" x14ac:dyDescent="0.2">
      <c r="Z766" s="10">
        <f t="shared" si="22"/>
        <v>0</v>
      </c>
      <c r="AA766" s="24" t="str">
        <f t="shared" si="23"/>
        <v/>
      </c>
    </row>
    <row r="767" spans="26:27" x14ac:dyDescent="0.2">
      <c r="Z767" s="10">
        <f t="shared" si="22"/>
        <v>0</v>
      </c>
      <c r="AA767" s="24" t="str">
        <f t="shared" si="23"/>
        <v/>
      </c>
    </row>
    <row r="768" spans="26:27" x14ac:dyDescent="0.2">
      <c r="Z768" s="10">
        <f t="shared" si="22"/>
        <v>0</v>
      </c>
      <c r="AA768" s="24" t="str">
        <f t="shared" si="23"/>
        <v/>
      </c>
    </row>
    <row r="769" spans="26:27" x14ac:dyDescent="0.2">
      <c r="Z769" s="10">
        <f t="shared" si="22"/>
        <v>0</v>
      </c>
      <c r="AA769" s="24" t="str">
        <f t="shared" si="23"/>
        <v/>
      </c>
    </row>
    <row r="770" spans="26:27" x14ac:dyDescent="0.2">
      <c r="Z770" s="10">
        <f t="shared" si="22"/>
        <v>0</v>
      </c>
      <c r="AA770" s="24" t="str">
        <f t="shared" si="23"/>
        <v/>
      </c>
    </row>
    <row r="771" spans="26:27" x14ac:dyDescent="0.2">
      <c r="Z771" s="10">
        <f t="shared" si="22"/>
        <v>0</v>
      </c>
      <c r="AA771" s="24" t="str">
        <f t="shared" si="23"/>
        <v/>
      </c>
    </row>
    <row r="772" spans="26:27" x14ac:dyDescent="0.2">
      <c r="Z772" s="10">
        <f t="shared" si="22"/>
        <v>0</v>
      </c>
      <c r="AA772" s="24" t="str">
        <f t="shared" si="23"/>
        <v/>
      </c>
    </row>
    <row r="773" spans="26:27" x14ac:dyDescent="0.2">
      <c r="Z773" s="10">
        <f t="shared" ref="Z773:Z836" si="24">IF(G773="PLUM", "Plumbing", IF(G773="PIPE", "Piping", IF(G773="HVAC", "Sheet Metal", G773)))</f>
        <v>0</v>
      </c>
      <c r="AA773" s="24" t="str">
        <f t="shared" ref="AA773:AA836" si="25">IF(ISBLANK(B773), "", $A$2)</f>
        <v/>
      </c>
    </row>
    <row r="774" spans="26:27" x14ac:dyDescent="0.2">
      <c r="Z774" s="10">
        <f t="shared" si="24"/>
        <v>0</v>
      </c>
      <c r="AA774" s="24" t="str">
        <f t="shared" si="25"/>
        <v/>
      </c>
    </row>
    <row r="775" spans="26:27" x14ac:dyDescent="0.2">
      <c r="Z775" s="10">
        <f t="shared" si="24"/>
        <v>0</v>
      </c>
      <c r="AA775" s="24" t="str">
        <f t="shared" si="25"/>
        <v/>
      </c>
    </row>
    <row r="776" spans="26:27" x14ac:dyDescent="0.2">
      <c r="Z776" s="10">
        <f t="shared" si="24"/>
        <v>0</v>
      </c>
      <c r="AA776" s="24" t="str">
        <f t="shared" si="25"/>
        <v/>
      </c>
    </row>
    <row r="777" spans="26:27" x14ac:dyDescent="0.2">
      <c r="Z777" s="10">
        <f t="shared" si="24"/>
        <v>0</v>
      </c>
      <c r="AA777" s="24" t="str">
        <f t="shared" si="25"/>
        <v/>
      </c>
    </row>
    <row r="778" spans="26:27" x14ac:dyDescent="0.2">
      <c r="Z778" s="10">
        <f t="shared" si="24"/>
        <v>0</v>
      </c>
      <c r="AA778" s="24" t="str">
        <f t="shared" si="25"/>
        <v/>
      </c>
    </row>
    <row r="779" spans="26:27" x14ac:dyDescent="0.2">
      <c r="Z779" s="10">
        <f t="shared" si="24"/>
        <v>0</v>
      </c>
      <c r="AA779" s="24" t="str">
        <f t="shared" si="25"/>
        <v/>
      </c>
    </row>
    <row r="780" spans="26:27" x14ac:dyDescent="0.2">
      <c r="Z780" s="10">
        <f t="shared" si="24"/>
        <v>0</v>
      </c>
      <c r="AA780" s="24" t="str">
        <f t="shared" si="25"/>
        <v/>
      </c>
    </row>
    <row r="781" spans="26:27" x14ac:dyDescent="0.2">
      <c r="Z781" s="10">
        <f t="shared" si="24"/>
        <v>0</v>
      </c>
      <c r="AA781" s="24" t="str">
        <f t="shared" si="25"/>
        <v/>
      </c>
    </row>
    <row r="782" spans="26:27" x14ac:dyDescent="0.2">
      <c r="Z782" s="10">
        <f t="shared" si="24"/>
        <v>0</v>
      </c>
      <c r="AA782" s="24" t="str">
        <f t="shared" si="25"/>
        <v/>
      </c>
    </row>
    <row r="783" spans="26:27" x14ac:dyDescent="0.2">
      <c r="Z783" s="10">
        <f t="shared" si="24"/>
        <v>0</v>
      </c>
      <c r="AA783" s="24" t="str">
        <f t="shared" si="25"/>
        <v/>
      </c>
    </row>
    <row r="784" spans="26:27" x14ac:dyDescent="0.2">
      <c r="Z784" s="10">
        <f t="shared" si="24"/>
        <v>0</v>
      </c>
      <c r="AA784" s="24" t="str">
        <f t="shared" si="25"/>
        <v/>
      </c>
    </row>
    <row r="785" spans="26:27" x14ac:dyDescent="0.2">
      <c r="Z785" s="10">
        <f t="shared" si="24"/>
        <v>0</v>
      </c>
      <c r="AA785" s="24" t="str">
        <f t="shared" si="25"/>
        <v/>
      </c>
    </row>
    <row r="786" spans="26:27" x14ac:dyDescent="0.2">
      <c r="Z786" s="10">
        <f t="shared" si="24"/>
        <v>0</v>
      </c>
      <c r="AA786" s="24" t="str">
        <f t="shared" si="25"/>
        <v/>
      </c>
    </row>
    <row r="787" spans="26:27" x14ac:dyDescent="0.2">
      <c r="Z787" s="10">
        <f t="shared" si="24"/>
        <v>0</v>
      </c>
      <c r="AA787" s="24" t="str">
        <f t="shared" si="25"/>
        <v/>
      </c>
    </row>
    <row r="788" spans="26:27" x14ac:dyDescent="0.2">
      <c r="Z788" s="10">
        <f t="shared" si="24"/>
        <v>0</v>
      </c>
      <c r="AA788" s="24" t="str">
        <f t="shared" si="25"/>
        <v/>
      </c>
    </row>
    <row r="789" spans="26:27" x14ac:dyDescent="0.2">
      <c r="Z789" s="10">
        <f t="shared" si="24"/>
        <v>0</v>
      </c>
      <c r="AA789" s="24" t="str">
        <f t="shared" si="25"/>
        <v/>
      </c>
    </row>
    <row r="790" spans="26:27" x14ac:dyDescent="0.2">
      <c r="Z790" s="10">
        <f t="shared" si="24"/>
        <v>0</v>
      </c>
      <c r="AA790" s="24" t="str">
        <f t="shared" si="25"/>
        <v/>
      </c>
    </row>
    <row r="791" spans="26:27" x14ac:dyDescent="0.2">
      <c r="Z791" s="10">
        <f t="shared" si="24"/>
        <v>0</v>
      </c>
      <c r="AA791" s="24" t="str">
        <f t="shared" si="25"/>
        <v/>
      </c>
    </row>
    <row r="792" spans="26:27" x14ac:dyDescent="0.2">
      <c r="Z792" s="10">
        <f t="shared" si="24"/>
        <v>0</v>
      </c>
      <c r="AA792" s="24" t="str">
        <f t="shared" si="25"/>
        <v/>
      </c>
    </row>
    <row r="793" spans="26:27" x14ac:dyDescent="0.2">
      <c r="Z793" s="10">
        <f t="shared" si="24"/>
        <v>0</v>
      </c>
      <c r="AA793" s="24" t="str">
        <f t="shared" si="25"/>
        <v/>
      </c>
    </row>
    <row r="794" spans="26:27" x14ac:dyDescent="0.2">
      <c r="Z794" s="10">
        <f t="shared" si="24"/>
        <v>0</v>
      </c>
      <c r="AA794" s="24" t="str">
        <f t="shared" si="25"/>
        <v/>
      </c>
    </row>
    <row r="795" spans="26:27" x14ac:dyDescent="0.2">
      <c r="Z795" s="10">
        <f t="shared" si="24"/>
        <v>0</v>
      </c>
      <c r="AA795" s="24" t="str">
        <f t="shared" si="25"/>
        <v/>
      </c>
    </row>
    <row r="796" spans="26:27" x14ac:dyDescent="0.2">
      <c r="Z796" s="10">
        <f t="shared" si="24"/>
        <v>0</v>
      </c>
      <c r="AA796" s="24" t="str">
        <f t="shared" si="25"/>
        <v/>
      </c>
    </row>
    <row r="797" spans="26:27" x14ac:dyDescent="0.2">
      <c r="Z797" s="10">
        <f t="shared" si="24"/>
        <v>0</v>
      </c>
      <c r="AA797" s="24" t="str">
        <f t="shared" si="25"/>
        <v/>
      </c>
    </row>
    <row r="798" spans="26:27" x14ac:dyDescent="0.2">
      <c r="Z798" s="10">
        <f t="shared" si="24"/>
        <v>0</v>
      </c>
      <c r="AA798" s="24" t="str">
        <f t="shared" si="25"/>
        <v/>
      </c>
    </row>
    <row r="799" spans="26:27" x14ac:dyDescent="0.2">
      <c r="Z799" s="10">
        <f t="shared" si="24"/>
        <v>0</v>
      </c>
      <c r="AA799" s="24" t="str">
        <f t="shared" si="25"/>
        <v/>
      </c>
    </row>
    <row r="800" spans="26:27" x14ac:dyDescent="0.2">
      <c r="Z800" s="10">
        <f t="shared" si="24"/>
        <v>0</v>
      </c>
      <c r="AA800" s="24" t="str">
        <f t="shared" si="25"/>
        <v/>
      </c>
    </row>
    <row r="801" spans="26:27" x14ac:dyDescent="0.2">
      <c r="Z801" s="10">
        <f t="shared" si="24"/>
        <v>0</v>
      </c>
      <c r="AA801" s="24" t="str">
        <f t="shared" si="25"/>
        <v/>
      </c>
    </row>
    <row r="802" spans="26:27" x14ac:dyDescent="0.2">
      <c r="Z802" s="10">
        <f t="shared" si="24"/>
        <v>0</v>
      </c>
      <c r="AA802" s="24" t="str">
        <f t="shared" si="25"/>
        <v/>
      </c>
    </row>
    <row r="803" spans="26:27" x14ac:dyDescent="0.2">
      <c r="Z803" s="10">
        <f t="shared" si="24"/>
        <v>0</v>
      </c>
      <c r="AA803" s="24" t="str">
        <f t="shared" si="25"/>
        <v/>
      </c>
    </row>
    <row r="804" spans="26:27" x14ac:dyDescent="0.2">
      <c r="Z804" s="10">
        <f t="shared" si="24"/>
        <v>0</v>
      </c>
      <c r="AA804" s="24" t="str">
        <f t="shared" si="25"/>
        <v/>
      </c>
    </row>
    <row r="805" spans="26:27" x14ac:dyDescent="0.2">
      <c r="Z805" s="10">
        <f t="shared" si="24"/>
        <v>0</v>
      </c>
      <c r="AA805" s="24" t="str">
        <f t="shared" si="25"/>
        <v/>
      </c>
    </row>
    <row r="806" spans="26:27" x14ac:dyDescent="0.2">
      <c r="Z806" s="10">
        <f t="shared" si="24"/>
        <v>0</v>
      </c>
      <c r="AA806" s="24" t="str">
        <f t="shared" si="25"/>
        <v/>
      </c>
    </row>
    <row r="807" spans="26:27" x14ac:dyDescent="0.2">
      <c r="Z807" s="10">
        <f t="shared" si="24"/>
        <v>0</v>
      </c>
      <c r="AA807" s="24" t="str">
        <f t="shared" si="25"/>
        <v/>
      </c>
    </row>
    <row r="808" spans="26:27" x14ac:dyDescent="0.2">
      <c r="Z808" s="10">
        <f t="shared" si="24"/>
        <v>0</v>
      </c>
      <c r="AA808" s="24" t="str">
        <f t="shared" si="25"/>
        <v/>
      </c>
    </row>
    <row r="809" spans="26:27" x14ac:dyDescent="0.2">
      <c r="Z809" s="10">
        <f t="shared" si="24"/>
        <v>0</v>
      </c>
      <c r="AA809" s="24" t="str">
        <f t="shared" si="25"/>
        <v/>
      </c>
    </row>
    <row r="810" spans="26:27" x14ac:dyDescent="0.2">
      <c r="Z810" s="10">
        <f t="shared" si="24"/>
        <v>0</v>
      </c>
      <c r="AA810" s="24" t="str">
        <f t="shared" si="25"/>
        <v/>
      </c>
    </row>
    <row r="811" spans="26:27" x14ac:dyDescent="0.2">
      <c r="Z811" s="10">
        <f t="shared" si="24"/>
        <v>0</v>
      </c>
      <c r="AA811" s="24" t="str">
        <f t="shared" si="25"/>
        <v/>
      </c>
    </row>
    <row r="812" spans="26:27" x14ac:dyDescent="0.2">
      <c r="Z812" s="10">
        <f t="shared" si="24"/>
        <v>0</v>
      </c>
      <c r="AA812" s="24" t="str">
        <f t="shared" si="25"/>
        <v/>
      </c>
    </row>
    <row r="813" spans="26:27" x14ac:dyDescent="0.2">
      <c r="Z813" s="10">
        <f t="shared" si="24"/>
        <v>0</v>
      </c>
      <c r="AA813" s="24" t="str">
        <f t="shared" si="25"/>
        <v/>
      </c>
    </row>
    <row r="814" spans="26:27" x14ac:dyDescent="0.2">
      <c r="Z814" s="10">
        <f t="shared" si="24"/>
        <v>0</v>
      </c>
      <c r="AA814" s="24" t="str">
        <f t="shared" si="25"/>
        <v/>
      </c>
    </row>
    <row r="815" spans="26:27" x14ac:dyDescent="0.2">
      <c r="Z815" s="10">
        <f t="shared" si="24"/>
        <v>0</v>
      </c>
      <c r="AA815" s="24" t="str">
        <f t="shared" si="25"/>
        <v/>
      </c>
    </row>
    <row r="816" spans="26:27" x14ac:dyDescent="0.2">
      <c r="Z816" s="10">
        <f t="shared" si="24"/>
        <v>0</v>
      </c>
      <c r="AA816" s="24" t="str">
        <f t="shared" si="25"/>
        <v/>
      </c>
    </row>
    <row r="817" spans="26:27" x14ac:dyDescent="0.2">
      <c r="Z817" s="10">
        <f t="shared" si="24"/>
        <v>0</v>
      </c>
      <c r="AA817" s="24" t="str">
        <f t="shared" si="25"/>
        <v/>
      </c>
    </row>
    <row r="818" spans="26:27" x14ac:dyDescent="0.2">
      <c r="Z818" s="10">
        <f t="shared" si="24"/>
        <v>0</v>
      </c>
      <c r="AA818" s="24" t="str">
        <f t="shared" si="25"/>
        <v/>
      </c>
    </row>
    <row r="819" spans="26:27" x14ac:dyDescent="0.2">
      <c r="Z819" s="10">
        <f t="shared" si="24"/>
        <v>0</v>
      </c>
      <c r="AA819" s="24" t="str">
        <f t="shared" si="25"/>
        <v/>
      </c>
    </row>
    <row r="820" spans="26:27" x14ac:dyDescent="0.2">
      <c r="Z820" s="10">
        <f t="shared" si="24"/>
        <v>0</v>
      </c>
      <c r="AA820" s="24" t="str">
        <f t="shared" si="25"/>
        <v/>
      </c>
    </row>
    <row r="821" spans="26:27" x14ac:dyDescent="0.2">
      <c r="Z821" s="10">
        <f t="shared" si="24"/>
        <v>0</v>
      </c>
      <c r="AA821" s="24" t="str">
        <f t="shared" si="25"/>
        <v/>
      </c>
    </row>
    <row r="822" spans="26:27" x14ac:dyDescent="0.2">
      <c r="Z822" s="10">
        <f t="shared" si="24"/>
        <v>0</v>
      </c>
      <c r="AA822" s="24" t="str">
        <f t="shared" si="25"/>
        <v/>
      </c>
    </row>
    <row r="823" spans="26:27" x14ac:dyDescent="0.2">
      <c r="Z823" s="10">
        <f t="shared" si="24"/>
        <v>0</v>
      </c>
      <c r="AA823" s="24" t="str">
        <f t="shared" si="25"/>
        <v/>
      </c>
    </row>
    <row r="824" spans="26:27" x14ac:dyDescent="0.2">
      <c r="Z824" s="10">
        <f t="shared" si="24"/>
        <v>0</v>
      </c>
      <c r="AA824" s="24" t="str">
        <f t="shared" si="25"/>
        <v/>
      </c>
    </row>
    <row r="825" spans="26:27" x14ac:dyDescent="0.2">
      <c r="Z825" s="10">
        <f t="shared" si="24"/>
        <v>0</v>
      </c>
      <c r="AA825" s="24" t="str">
        <f t="shared" si="25"/>
        <v/>
      </c>
    </row>
    <row r="826" spans="26:27" x14ac:dyDescent="0.2">
      <c r="Z826" s="10">
        <f t="shared" si="24"/>
        <v>0</v>
      </c>
      <c r="AA826" s="24" t="str">
        <f t="shared" si="25"/>
        <v/>
      </c>
    </row>
    <row r="827" spans="26:27" x14ac:dyDescent="0.2">
      <c r="Z827" s="10">
        <f t="shared" si="24"/>
        <v>0</v>
      </c>
      <c r="AA827" s="24" t="str">
        <f t="shared" si="25"/>
        <v/>
      </c>
    </row>
    <row r="828" spans="26:27" x14ac:dyDescent="0.2">
      <c r="Z828" s="10">
        <f t="shared" si="24"/>
        <v>0</v>
      </c>
      <c r="AA828" s="24" t="str">
        <f t="shared" si="25"/>
        <v/>
      </c>
    </row>
    <row r="829" spans="26:27" x14ac:dyDescent="0.2">
      <c r="Z829" s="10">
        <f t="shared" si="24"/>
        <v>0</v>
      </c>
      <c r="AA829" s="24" t="str">
        <f t="shared" si="25"/>
        <v/>
      </c>
    </row>
    <row r="830" spans="26:27" x14ac:dyDescent="0.2">
      <c r="Z830" s="10">
        <f t="shared" si="24"/>
        <v>0</v>
      </c>
      <c r="AA830" s="24" t="str">
        <f t="shared" si="25"/>
        <v/>
      </c>
    </row>
    <row r="831" spans="26:27" x14ac:dyDescent="0.2">
      <c r="Z831" s="10">
        <f t="shared" si="24"/>
        <v>0</v>
      </c>
      <c r="AA831" s="24" t="str">
        <f t="shared" si="25"/>
        <v/>
      </c>
    </row>
    <row r="832" spans="26:27" x14ac:dyDescent="0.2">
      <c r="Z832" s="10">
        <f t="shared" si="24"/>
        <v>0</v>
      </c>
      <c r="AA832" s="24" t="str">
        <f t="shared" si="25"/>
        <v/>
      </c>
    </row>
    <row r="833" spans="26:27" x14ac:dyDescent="0.2">
      <c r="Z833" s="10">
        <f t="shared" si="24"/>
        <v>0</v>
      </c>
      <c r="AA833" s="24" t="str">
        <f t="shared" si="25"/>
        <v/>
      </c>
    </row>
    <row r="834" spans="26:27" x14ac:dyDescent="0.2">
      <c r="Z834" s="10">
        <f t="shared" si="24"/>
        <v>0</v>
      </c>
      <c r="AA834" s="24" t="str">
        <f t="shared" si="25"/>
        <v/>
      </c>
    </row>
    <row r="835" spans="26:27" x14ac:dyDescent="0.2">
      <c r="Z835" s="10">
        <f t="shared" si="24"/>
        <v>0</v>
      </c>
      <c r="AA835" s="24" t="str">
        <f t="shared" si="25"/>
        <v/>
      </c>
    </row>
    <row r="836" spans="26:27" x14ac:dyDescent="0.2">
      <c r="Z836" s="10">
        <f t="shared" si="24"/>
        <v>0</v>
      </c>
      <c r="AA836" s="24" t="str">
        <f t="shared" si="25"/>
        <v/>
      </c>
    </row>
    <row r="837" spans="26:27" x14ac:dyDescent="0.2">
      <c r="Z837" s="10">
        <f t="shared" ref="Z837:Z900" si="26">IF(G837="PLUM", "Plumbing", IF(G837="PIPE", "Piping", IF(G837="HVAC", "Sheet Metal", G837)))</f>
        <v>0</v>
      </c>
      <c r="AA837" s="24" t="str">
        <f t="shared" ref="AA837:AA900" si="27">IF(ISBLANK(B837), "", $A$2)</f>
        <v/>
      </c>
    </row>
    <row r="838" spans="26:27" x14ac:dyDescent="0.2">
      <c r="Z838" s="10">
        <f t="shared" si="26"/>
        <v>0</v>
      </c>
      <c r="AA838" s="24" t="str">
        <f t="shared" si="27"/>
        <v/>
      </c>
    </row>
    <row r="839" spans="26:27" x14ac:dyDescent="0.2">
      <c r="Z839" s="10">
        <f t="shared" si="26"/>
        <v>0</v>
      </c>
      <c r="AA839" s="24" t="str">
        <f t="shared" si="27"/>
        <v/>
      </c>
    </row>
    <row r="840" spans="26:27" x14ac:dyDescent="0.2">
      <c r="Z840" s="10">
        <f t="shared" si="26"/>
        <v>0</v>
      </c>
      <c r="AA840" s="24" t="str">
        <f t="shared" si="27"/>
        <v/>
      </c>
    </row>
    <row r="841" spans="26:27" x14ac:dyDescent="0.2">
      <c r="Z841" s="10">
        <f t="shared" si="26"/>
        <v>0</v>
      </c>
      <c r="AA841" s="24" t="str">
        <f t="shared" si="27"/>
        <v/>
      </c>
    </row>
    <row r="842" spans="26:27" x14ac:dyDescent="0.2">
      <c r="Z842" s="10">
        <f t="shared" si="26"/>
        <v>0</v>
      </c>
      <c r="AA842" s="24" t="str">
        <f t="shared" si="27"/>
        <v/>
      </c>
    </row>
    <row r="843" spans="26:27" x14ac:dyDescent="0.2">
      <c r="Z843" s="10">
        <f t="shared" si="26"/>
        <v>0</v>
      </c>
      <c r="AA843" s="24" t="str">
        <f t="shared" si="27"/>
        <v/>
      </c>
    </row>
    <row r="844" spans="26:27" x14ac:dyDescent="0.2">
      <c r="Z844" s="10">
        <f t="shared" si="26"/>
        <v>0</v>
      </c>
      <c r="AA844" s="24" t="str">
        <f t="shared" si="27"/>
        <v/>
      </c>
    </row>
    <row r="845" spans="26:27" x14ac:dyDescent="0.2">
      <c r="Z845" s="10">
        <f t="shared" si="26"/>
        <v>0</v>
      </c>
      <c r="AA845" s="24" t="str">
        <f t="shared" si="27"/>
        <v/>
      </c>
    </row>
    <row r="846" spans="26:27" x14ac:dyDescent="0.2">
      <c r="Z846" s="10">
        <f t="shared" si="26"/>
        <v>0</v>
      </c>
      <c r="AA846" s="24" t="str">
        <f t="shared" si="27"/>
        <v/>
      </c>
    </row>
    <row r="847" spans="26:27" x14ac:dyDescent="0.2">
      <c r="Z847" s="10">
        <f t="shared" si="26"/>
        <v>0</v>
      </c>
      <c r="AA847" s="24" t="str">
        <f t="shared" si="27"/>
        <v/>
      </c>
    </row>
    <row r="848" spans="26:27" x14ac:dyDescent="0.2">
      <c r="Z848" s="10">
        <f t="shared" si="26"/>
        <v>0</v>
      </c>
      <c r="AA848" s="24" t="str">
        <f t="shared" si="27"/>
        <v/>
      </c>
    </row>
    <row r="849" spans="26:27" x14ac:dyDescent="0.2">
      <c r="Z849" s="10">
        <f t="shared" si="26"/>
        <v>0</v>
      </c>
      <c r="AA849" s="24" t="str">
        <f t="shared" si="27"/>
        <v/>
      </c>
    </row>
    <row r="850" spans="26:27" x14ac:dyDescent="0.2">
      <c r="Z850" s="10">
        <f t="shared" si="26"/>
        <v>0</v>
      </c>
      <c r="AA850" s="24" t="str">
        <f t="shared" si="27"/>
        <v/>
      </c>
    </row>
    <row r="851" spans="26:27" x14ac:dyDescent="0.2">
      <c r="Z851" s="10">
        <f t="shared" si="26"/>
        <v>0</v>
      </c>
      <c r="AA851" s="24" t="str">
        <f t="shared" si="27"/>
        <v/>
      </c>
    </row>
    <row r="852" spans="26:27" x14ac:dyDescent="0.2">
      <c r="Z852" s="10">
        <f t="shared" si="26"/>
        <v>0</v>
      </c>
      <c r="AA852" s="24" t="str">
        <f t="shared" si="27"/>
        <v/>
      </c>
    </row>
    <row r="853" spans="26:27" x14ac:dyDescent="0.2">
      <c r="Z853" s="10">
        <f t="shared" si="26"/>
        <v>0</v>
      </c>
      <c r="AA853" s="24" t="str">
        <f t="shared" si="27"/>
        <v/>
      </c>
    </row>
    <row r="854" spans="26:27" x14ac:dyDescent="0.2">
      <c r="Z854" s="10">
        <f t="shared" si="26"/>
        <v>0</v>
      </c>
      <c r="AA854" s="24" t="str">
        <f t="shared" si="27"/>
        <v/>
      </c>
    </row>
    <row r="855" spans="26:27" x14ac:dyDescent="0.2">
      <c r="Z855" s="10">
        <f t="shared" si="26"/>
        <v>0</v>
      </c>
      <c r="AA855" s="24" t="str">
        <f t="shared" si="27"/>
        <v/>
      </c>
    </row>
    <row r="856" spans="26:27" x14ac:dyDescent="0.2">
      <c r="Z856" s="10">
        <f t="shared" si="26"/>
        <v>0</v>
      </c>
      <c r="AA856" s="24" t="str">
        <f t="shared" si="27"/>
        <v/>
      </c>
    </row>
    <row r="857" spans="26:27" x14ac:dyDescent="0.2">
      <c r="Z857" s="10">
        <f t="shared" si="26"/>
        <v>0</v>
      </c>
      <c r="AA857" s="24" t="str">
        <f t="shared" si="27"/>
        <v/>
      </c>
    </row>
    <row r="858" spans="26:27" x14ac:dyDescent="0.2">
      <c r="Z858" s="10">
        <f t="shared" si="26"/>
        <v>0</v>
      </c>
      <c r="AA858" s="24" t="str">
        <f t="shared" si="27"/>
        <v/>
      </c>
    </row>
    <row r="859" spans="26:27" x14ac:dyDescent="0.2">
      <c r="Z859" s="10">
        <f t="shared" si="26"/>
        <v>0</v>
      </c>
      <c r="AA859" s="24" t="str">
        <f t="shared" si="27"/>
        <v/>
      </c>
    </row>
    <row r="860" spans="26:27" x14ac:dyDescent="0.2">
      <c r="Z860" s="10">
        <f t="shared" si="26"/>
        <v>0</v>
      </c>
      <c r="AA860" s="24" t="str">
        <f t="shared" si="27"/>
        <v/>
      </c>
    </row>
    <row r="861" spans="26:27" x14ac:dyDescent="0.2">
      <c r="Z861" s="10">
        <f t="shared" si="26"/>
        <v>0</v>
      </c>
      <c r="AA861" s="24" t="str">
        <f t="shared" si="27"/>
        <v/>
      </c>
    </row>
    <row r="862" spans="26:27" x14ac:dyDescent="0.2">
      <c r="Z862" s="10">
        <f t="shared" si="26"/>
        <v>0</v>
      </c>
      <c r="AA862" s="24" t="str">
        <f t="shared" si="27"/>
        <v/>
      </c>
    </row>
    <row r="863" spans="26:27" x14ac:dyDescent="0.2">
      <c r="Z863" s="10">
        <f t="shared" si="26"/>
        <v>0</v>
      </c>
      <c r="AA863" s="24" t="str">
        <f t="shared" si="27"/>
        <v/>
      </c>
    </row>
    <row r="864" spans="26:27" x14ac:dyDescent="0.2">
      <c r="Z864" s="10">
        <f t="shared" si="26"/>
        <v>0</v>
      </c>
      <c r="AA864" s="24" t="str">
        <f t="shared" si="27"/>
        <v/>
      </c>
    </row>
    <row r="865" spans="26:27" x14ac:dyDescent="0.2">
      <c r="Z865" s="10">
        <f t="shared" si="26"/>
        <v>0</v>
      </c>
      <c r="AA865" s="24" t="str">
        <f t="shared" si="27"/>
        <v/>
      </c>
    </row>
    <row r="866" spans="26:27" x14ac:dyDescent="0.2">
      <c r="Z866" s="10">
        <f t="shared" si="26"/>
        <v>0</v>
      </c>
      <c r="AA866" s="24" t="str">
        <f t="shared" si="27"/>
        <v/>
      </c>
    </row>
    <row r="867" spans="26:27" x14ac:dyDescent="0.2">
      <c r="Z867" s="10">
        <f t="shared" si="26"/>
        <v>0</v>
      </c>
      <c r="AA867" s="24" t="str">
        <f t="shared" si="27"/>
        <v/>
      </c>
    </row>
    <row r="868" spans="26:27" x14ac:dyDescent="0.2">
      <c r="Z868" s="10">
        <f t="shared" si="26"/>
        <v>0</v>
      </c>
      <c r="AA868" s="24" t="str">
        <f t="shared" si="27"/>
        <v/>
      </c>
    </row>
    <row r="869" spans="26:27" x14ac:dyDescent="0.2">
      <c r="Z869" s="10">
        <f t="shared" si="26"/>
        <v>0</v>
      </c>
      <c r="AA869" s="24" t="str">
        <f t="shared" si="27"/>
        <v/>
      </c>
    </row>
    <row r="870" spans="26:27" x14ac:dyDescent="0.2">
      <c r="Z870" s="10">
        <f t="shared" si="26"/>
        <v>0</v>
      </c>
      <c r="AA870" s="24" t="str">
        <f t="shared" si="27"/>
        <v/>
      </c>
    </row>
    <row r="871" spans="26:27" x14ac:dyDescent="0.2">
      <c r="Z871" s="10">
        <f t="shared" si="26"/>
        <v>0</v>
      </c>
      <c r="AA871" s="24" t="str">
        <f t="shared" si="27"/>
        <v/>
      </c>
    </row>
    <row r="872" spans="26:27" x14ac:dyDescent="0.2">
      <c r="Z872" s="10">
        <f t="shared" si="26"/>
        <v>0</v>
      </c>
      <c r="AA872" s="24" t="str">
        <f t="shared" si="27"/>
        <v/>
      </c>
    </row>
    <row r="873" spans="26:27" x14ac:dyDescent="0.2">
      <c r="Z873" s="10">
        <f t="shared" si="26"/>
        <v>0</v>
      </c>
      <c r="AA873" s="24" t="str">
        <f t="shared" si="27"/>
        <v/>
      </c>
    </row>
    <row r="874" spans="26:27" x14ac:dyDescent="0.2">
      <c r="Z874" s="10">
        <f t="shared" si="26"/>
        <v>0</v>
      </c>
      <c r="AA874" s="24" t="str">
        <f t="shared" si="27"/>
        <v/>
      </c>
    </row>
    <row r="875" spans="26:27" x14ac:dyDescent="0.2">
      <c r="Z875" s="10">
        <f t="shared" si="26"/>
        <v>0</v>
      </c>
      <c r="AA875" s="24" t="str">
        <f t="shared" si="27"/>
        <v/>
      </c>
    </row>
    <row r="876" spans="26:27" x14ac:dyDescent="0.2">
      <c r="Z876" s="10">
        <f t="shared" si="26"/>
        <v>0</v>
      </c>
      <c r="AA876" s="24" t="str">
        <f t="shared" si="27"/>
        <v/>
      </c>
    </row>
    <row r="877" spans="26:27" x14ac:dyDescent="0.2">
      <c r="Z877" s="10">
        <f t="shared" si="26"/>
        <v>0</v>
      </c>
      <c r="AA877" s="24" t="str">
        <f t="shared" si="27"/>
        <v/>
      </c>
    </row>
    <row r="878" spans="26:27" x14ac:dyDescent="0.2">
      <c r="Z878" s="10">
        <f t="shared" si="26"/>
        <v>0</v>
      </c>
      <c r="AA878" s="24" t="str">
        <f t="shared" si="27"/>
        <v/>
      </c>
    </row>
    <row r="879" spans="26:27" x14ac:dyDescent="0.2">
      <c r="Z879" s="10">
        <f t="shared" si="26"/>
        <v>0</v>
      </c>
      <c r="AA879" s="24" t="str">
        <f t="shared" si="27"/>
        <v/>
      </c>
    </row>
    <row r="880" spans="26:27" x14ac:dyDescent="0.2">
      <c r="Z880" s="10">
        <f t="shared" si="26"/>
        <v>0</v>
      </c>
      <c r="AA880" s="24" t="str">
        <f t="shared" si="27"/>
        <v/>
      </c>
    </row>
    <row r="881" spans="26:27" x14ac:dyDescent="0.2">
      <c r="Z881" s="10">
        <f t="shared" si="26"/>
        <v>0</v>
      </c>
      <c r="AA881" s="24" t="str">
        <f t="shared" si="27"/>
        <v/>
      </c>
    </row>
    <row r="882" spans="26:27" x14ac:dyDescent="0.2">
      <c r="Z882" s="10">
        <f t="shared" si="26"/>
        <v>0</v>
      </c>
      <c r="AA882" s="24" t="str">
        <f t="shared" si="27"/>
        <v/>
      </c>
    </row>
    <row r="883" spans="26:27" x14ac:dyDescent="0.2">
      <c r="Z883" s="10">
        <f t="shared" si="26"/>
        <v>0</v>
      </c>
      <c r="AA883" s="24" t="str">
        <f t="shared" si="27"/>
        <v/>
      </c>
    </row>
    <row r="884" spans="26:27" x14ac:dyDescent="0.2">
      <c r="Z884" s="10">
        <f t="shared" si="26"/>
        <v>0</v>
      </c>
      <c r="AA884" s="24" t="str">
        <f t="shared" si="27"/>
        <v/>
      </c>
    </row>
    <row r="885" spans="26:27" x14ac:dyDescent="0.2">
      <c r="Z885" s="10">
        <f t="shared" si="26"/>
        <v>0</v>
      </c>
      <c r="AA885" s="24" t="str">
        <f t="shared" si="27"/>
        <v/>
      </c>
    </row>
    <row r="886" spans="26:27" x14ac:dyDescent="0.2">
      <c r="Z886" s="10">
        <f t="shared" si="26"/>
        <v>0</v>
      </c>
      <c r="AA886" s="24" t="str">
        <f t="shared" si="27"/>
        <v/>
      </c>
    </row>
    <row r="887" spans="26:27" x14ac:dyDescent="0.2">
      <c r="Z887" s="10">
        <f t="shared" si="26"/>
        <v>0</v>
      </c>
      <c r="AA887" s="24" t="str">
        <f t="shared" si="27"/>
        <v/>
      </c>
    </row>
    <row r="888" spans="26:27" x14ac:dyDescent="0.2">
      <c r="Z888" s="10">
        <f t="shared" si="26"/>
        <v>0</v>
      </c>
      <c r="AA888" s="24" t="str">
        <f t="shared" si="27"/>
        <v/>
      </c>
    </row>
    <row r="889" spans="26:27" x14ac:dyDescent="0.2">
      <c r="Z889" s="10">
        <f t="shared" si="26"/>
        <v>0</v>
      </c>
      <c r="AA889" s="24" t="str">
        <f t="shared" si="27"/>
        <v/>
      </c>
    </row>
    <row r="890" spans="26:27" x14ac:dyDescent="0.2">
      <c r="Z890" s="10">
        <f t="shared" si="26"/>
        <v>0</v>
      </c>
      <c r="AA890" s="24" t="str">
        <f t="shared" si="27"/>
        <v/>
      </c>
    </row>
    <row r="891" spans="26:27" x14ac:dyDescent="0.2">
      <c r="Z891" s="10">
        <f t="shared" si="26"/>
        <v>0</v>
      </c>
      <c r="AA891" s="24" t="str">
        <f t="shared" si="27"/>
        <v/>
      </c>
    </row>
    <row r="892" spans="26:27" x14ac:dyDescent="0.2">
      <c r="Z892" s="10">
        <f t="shared" si="26"/>
        <v>0</v>
      </c>
      <c r="AA892" s="24" t="str">
        <f t="shared" si="27"/>
        <v/>
      </c>
    </row>
    <row r="893" spans="26:27" x14ac:dyDescent="0.2">
      <c r="Z893" s="10">
        <f t="shared" si="26"/>
        <v>0</v>
      </c>
      <c r="AA893" s="24" t="str">
        <f t="shared" si="27"/>
        <v/>
      </c>
    </row>
    <row r="894" spans="26:27" x14ac:dyDescent="0.2">
      <c r="Z894" s="10">
        <f t="shared" si="26"/>
        <v>0</v>
      </c>
      <c r="AA894" s="24" t="str">
        <f t="shared" si="27"/>
        <v/>
      </c>
    </row>
    <row r="895" spans="26:27" x14ac:dyDescent="0.2">
      <c r="Z895" s="10">
        <f t="shared" si="26"/>
        <v>0</v>
      </c>
      <c r="AA895" s="24" t="str">
        <f t="shared" si="27"/>
        <v/>
      </c>
    </row>
    <row r="896" spans="26:27" x14ac:dyDescent="0.2">
      <c r="Z896" s="10">
        <f t="shared" si="26"/>
        <v>0</v>
      </c>
      <c r="AA896" s="24" t="str">
        <f t="shared" si="27"/>
        <v/>
      </c>
    </row>
    <row r="897" spans="26:27" x14ac:dyDescent="0.2">
      <c r="Z897" s="10">
        <f t="shared" si="26"/>
        <v>0</v>
      </c>
      <c r="AA897" s="24" t="str">
        <f t="shared" si="27"/>
        <v/>
      </c>
    </row>
    <row r="898" spans="26:27" x14ac:dyDescent="0.2">
      <c r="Z898" s="10">
        <f t="shared" si="26"/>
        <v>0</v>
      </c>
      <c r="AA898" s="24" t="str">
        <f t="shared" si="27"/>
        <v/>
      </c>
    </row>
    <row r="899" spans="26:27" x14ac:dyDescent="0.2">
      <c r="Z899" s="10">
        <f t="shared" si="26"/>
        <v>0</v>
      </c>
      <c r="AA899" s="24" t="str">
        <f t="shared" si="27"/>
        <v/>
      </c>
    </row>
    <row r="900" spans="26:27" x14ac:dyDescent="0.2">
      <c r="Z900" s="10">
        <f t="shared" si="26"/>
        <v>0</v>
      </c>
      <c r="AA900" s="24" t="str">
        <f t="shared" si="27"/>
        <v/>
      </c>
    </row>
    <row r="901" spans="26:27" x14ac:dyDescent="0.2">
      <c r="Z901" s="10">
        <f t="shared" ref="Z901:Z964" si="28">IF(G901="PLUM", "Plumbing", IF(G901="PIPE", "Piping", IF(G901="HVAC", "Sheet Metal", G901)))</f>
        <v>0</v>
      </c>
      <c r="AA901" s="24" t="str">
        <f t="shared" ref="AA901:AA964" si="29">IF(ISBLANK(B901), "", $A$2)</f>
        <v/>
      </c>
    </row>
    <row r="902" spans="26:27" x14ac:dyDescent="0.2">
      <c r="Z902" s="10">
        <f t="shared" si="28"/>
        <v>0</v>
      </c>
      <c r="AA902" s="24" t="str">
        <f t="shared" si="29"/>
        <v/>
      </c>
    </row>
    <row r="903" spans="26:27" x14ac:dyDescent="0.2">
      <c r="Z903" s="10">
        <f t="shared" si="28"/>
        <v>0</v>
      </c>
      <c r="AA903" s="24" t="str">
        <f t="shared" si="29"/>
        <v/>
      </c>
    </row>
    <row r="904" spans="26:27" x14ac:dyDescent="0.2">
      <c r="Z904" s="10">
        <f t="shared" si="28"/>
        <v>0</v>
      </c>
      <c r="AA904" s="24" t="str">
        <f t="shared" si="29"/>
        <v/>
      </c>
    </row>
    <row r="905" spans="26:27" x14ac:dyDescent="0.2">
      <c r="Z905" s="10">
        <f t="shared" si="28"/>
        <v>0</v>
      </c>
      <c r="AA905" s="24" t="str">
        <f t="shared" si="29"/>
        <v/>
      </c>
    </row>
    <row r="906" spans="26:27" x14ac:dyDescent="0.2">
      <c r="Z906" s="10">
        <f t="shared" si="28"/>
        <v>0</v>
      </c>
      <c r="AA906" s="24" t="str">
        <f t="shared" si="29"/>
        <v/>
      </c>
    </row>
    <row r="907" spans="26:27" x14ac:dyDescent="0.2">
      <c r="Z907" s="10">
        <f t="shared" si="28"/>
        <v>0</v>
      </c>
      <c r="AA907" s="24" t="str">
        <f t="shared" si="29"/>
        <v/>
      </c>
    </row>
    <row r="908" spans="26:27" x14ac:dyDescent="0.2">
      <c r="Z908" s="10">
        <f t="shared" si="28"/>
        <v>0</v>
      </c>
      <c r="AA908" s="24" t="str">
        <f t="shared" si="29"/>
        <v/>
      </c>
    </row>
    <row r="909" spans="26:27" x14ac:dyDescent="0.2">
      <c r="Z909" s="10">
        <f t="shared" si="28"/>
        <v>0</v>
      </c>
      <c r="AA909" s="24" t="str">
        <f t="shared" si="29"/>
        <v/>
      </c>
    </row>
    <row r="910" spans="26:27" x14ac:dyDescent="0.2">
      <c r="Z910" s="10">
        <f t="shared" si="28"/>
        <v>0</v>
      </c>
      <c r="AA910" s="24" t="str">
        <f t="shared" si="29"/>
        <v/>
      </c>
    </row>
    <row r="911" spans="26:27" x14ac:dyDescent="0.2">
      <c r="Z911" s="10">
        <f t="shared" si="28"/>
        <v>0</v>
      </c>
      <c r="AA911" s="24" t="str">
        <f t="shared" si="29"/>
        <v/>
      </c>
    </row>
    <row r="912" spans="26:27" x14ac:dyDescent="0.2">
      <c r="Z912" s="10">
        <f t="shared" si="28"/>
        <v>0</v>
      </c>
      <c r="AA912" s="24" t="str">
        <f t="shared" si="29"/>
        <v/>
      </c>
    </row>
    <row r="913" spans="26:27" x14ac:dyDescent="0.2">
      <c r="Z913" s="10">
        <f t="shared" si="28"/>
        <v>0</v>
      </c>
      <c r="AA913" s="24" t="str">
        <f t="shared" si="29"/>
        <v/>
      </c>
    </row>
    <row r="914" spans="26:27" x14ac:dyDescent="0.2">
      <c r="Z914" s="10">
        <f t="shared" si="28"/>
        <v>0</v>
      </c>
      <c r="AA914" s="24" t="str">
        <f t="shared" si="29"/>
        <v/>
      </c>
    </row>
    <row r="915" spans="26:27" x14ac:dyDescent="0.2">
      <c r="Z915" s="10">
        <f t="shared" si="28"/>
        <v>0</v>
      </c>
      <c r="AA915" s="24" t="str">
        <f t="shared" si="29"/>
        <v/>
      </c>
    </row>
    <row r="916" spans="26:27" x14ac:dyDescent="0.2">
      <c r="Z916" s="10">
        <f t="shared" si="28"/>
        <v>0</v>
      </c>
      <c r="AA916" s="24" t="str">
        <f t="shared" si="29"/>
        <v/>
      </c>
    </row>
    <row r="917" spans="26:27" x14ac:dyDescent="0.2">
      <c r="Z917" s="10">
        <f t="shared" si="28"/>
        <v>0</v>
      </c>
      <c r="AA917" s="24" t="str">
        <f t="shared" si="29"/>
        <v/>
      </c>
    </row>
    <row r="918" spans="26:27" x14ac:dyDescent="0.2">
      <c r="Z918" s="10">
        <f t="shared" si="28"/>
        <v>0</v>
      </c>
      <c r="AA918" s="24" t="str">
        <f t="shared" si="29"/>
        <v/>
      </c>
    </row>
    <row r="919" spans="26:27" x14ac:dyDescent="0.2">
      <c r="Z919" s="10">
        <f t="shared" si="28"/>
        <v>0</v>
      </c>
      <c r="AA919" s="24" t="str">
        <f t="shared" si="29"/>
        <v/>
      </c>
    </row>
    <row r="920" spans="26:27" x14ac:dyDescent="0.2">
      <c r="Z920" s="10">
        <f t="shared" si="28"/>
        <v>0</v>
      </c>
      <c r="AA920" s="24" t="str">
        <f t="shared" si="29"/>
        <v/>
      </c>
    </row>
    <row r="921" spans="26:27" x14ac:dyDescent="0.2">
      <c r="Z921" s="10">
        <f t="shared" si="28"/>
        <v>0</v>
      </c>
      <c r="AA921" s="24" t="str">
        <f t="shared" si="29"/>
        <v/>
      </c>
    </row>
    <row r="922" spans="26:27" x14ac:dyDescent="0.2">
      <c r="Z922" s="10">
        <f t="shared" si="28"/>
        <v>0</v>
      </c>
      <c r="AA922" s="24" t="str">
        <f t="shared" si="29"/>
        <v/>
      </c>
    </row>
    <row r="923" spans="26:27" x14ac:dyDescent="0.2">
      <c r="Z923" s="10">
        <f t="shared" si="28"/>
        <v>0</v>
      </c>
      <c r="AA923" s="24" t="str">
        <f t="shared" si="29"/>
        <v/>
      </c>
    </row>
    <row r="924" spans="26:27" x14ac:dyDescent="0.2">
      <c r="Z924" s="10">
        <f t="shared" si="28"/>
        <v>0</v>
      </c>
      <c r="AA924" s="24" t="str">
        <f t="shared" si="29"/>
        <v/>
      </c>
    </row>
    <row r="925" spans="26:27" x14ac:dyDescent="0.2">
      <c r="Z925" s="10">
        <f t="shared" si="28"/>
        <v>0</v>
      </c>
      <c r="AA925" s="24" t="str">
        <f t="shared" si="29"/>
        <v/>
      </c>
    </row>
    <row r="926" spans="26:27" x14ac:dyDescent="0.2">
      <c r="Z926" s="10">
        <f t="shared" si="28"/>
        <v>0</v>
      </c>
      <c r="AA926" s="24" t="str">
        <f t="shared" si="29"/>
        <v/>
      </c>
    </row>
    <row r="927" spans="26:27" x14ac:dyDescent="0.2">
      <c r="Z927" s="10">
        <f t="shared" si="28"/>
        <v>0</v>
      </c>
      <c r="AA927" s="24" t="str">
        <f t="shared" si="29"/>
        <v/>
      </c>
    </row>
    <row r="928" spans="26:27" x14ac:dyDescent="0.2">
      <c r="Z928" s="10">
        <f t="shared" si="28"/>
        <v>0</v>
      </c>
      <c r="AA928" s="24" t="str">
        <f t="shared" si="29"/>
        <v/>
      </c>
    </row>
    <row r="929" spans="26:27" x14ac:dyDescent="0.2">
      <c r="Z929" s="10">
        <f t="shared" si="28"/>
        <v>0</v>
      </c>
      <c r="AA929" s="24" t="str">
        <f t="shared" si="29"/>
        <v/>
      </c>
    </row>
    <row r="930" spans="26:27" x14ac:dyDescent="0.2">
      <c r="Z930" s="10">
        <f t="shared" si="28"/>
        <v>0</v>
      </c>
      <c r="AA930" s="24" t="str">
        <f t="shared" si="29"/>
        <v/>
      </c>
    </row>
    <row r="931" spans="26:27" x14ac:dyDescent="0.2">
      <c r="Z931" s="10">
        <f t="shared" si="28"/>
        <v>0</v>
      </c>
      <c r="AA931" s="24" t="str">
        <f t="shared" si="29"/>
        <v/>
      </c>
    </row>
    <row r="932" spans="26:27" x14ac:dyDescent="0.2">
      <c r="Z932" s="10">
        <f t="shared" si="28"/>
        <v>0</v>
      </c>
      <c r="AA932" s="24" t="str">
        <f t="shared" si="29"/>
        <v/>
      </c>
    </row>
    <row r="933" spans="26:27" x14ac:dyDescent="0.2">
      <c r="Z933" s="10">
        <f t="shared" si="28"/>
        <v>0</v>
      </c>
      <c r="AA933" s="24" t="str">
        <f t="shared" si="29"/>
        <v/>
      </c>
    </row>
    <row r="934" spans="26:27" x14ac:dyDescent="0.2">
      <c r="Z934" s="10">
        <f t="shared" si="28"/>
        <v>0</v>
      </c>
      <c r="AA934" s="24" t="str">
        <f t="shared" si="29"/>
        <v/>
      </c>
    </row>
    <row r="935" spans="26:27" x14ac:dyDescent="0.2">
      <c r="Z935" s="10">
        <f t="shared" si="28"/>
        <v>0</v>
      </c>
      <c r="AA935" s="24" t="str">
        <f t="shared" si="29"/>
        <v/>
      </c>
    </row>
    <row r="936" spans="26:27" x14ac:dyDescent="0.2">
      <c r="Z936" s="10">
        <f t="shared" si="28"/>
        <v>0</v>
      </c>
      <c r="AA936" s="24" t="str">
        <f t="shared" si="29"/>
        <v/>
      </c>
    </row>
    <row r="937" spans="26:27" x14ac:dyDescent="0.2">
      <c r="Z937" s="10">
        <f t="shared" si="28"/>
        <v>0</v>
      </c>
      <c r="AA937" s="24" t="str">
        <f t="shared" si="29"/>
        <v/>
      </c>
    </row>
    <row r="938" spans="26:27" x14ac:dyDescent="0.2">
      <c r="Z938" s="10">
        <f t="shared" si="28"/>
        <v>0</v>
      </c>
      <c r="AA938" s="24" t="str">
        <f t="shared" si="29"/>
        <v/>
      </c>
    </row>
    <row r="939" spans="26:27" x14ac:dyDescent="0.2">
      <c r="Z939" s="10">
        <f t="shared" si="28"/>
        <v>0</v>
      </c>
      <c r="AA939" s="24" t="str">
        <f t="shared" si="29"/>
        <v/>
      </c>
    </row>
    <row r="940" spans="26:27" x14ac:dyDescent="0.2">
      <c r="Z940" s="10">
        <f t="shared" si="28"/>
        <v>0</v>
      </c>
      <c r="AA940" s="24" t="str">
        <f t="shared" si="29"/>
        <v/>
      </c>
    </row>
    <row r="941" spans="26:27" x14ac:dyDescent="0.2">
      <c r="Z941" s="10">
        <f t="shared" si="28"/>
        <v>0</v>
      </c>
      <c r="AA941" s="24" t="str">
        <f t="shared" si="29"/>
        <v/>
      </c>
    </row>
    <row r="942" spans="26:27" x14ac:dyDescent="0.2">
      <c r="Z942" s="10">
        <f t="shared" si="28"/>
        <v>0</v>
      </c>
      <c r="AA942" s="24" t="str">
        <f t="shared" si="29"/>
        <v/>
      </c>
    </row>
    <row r="943" spans="26:27" x14ac:dyDescent="0.2">
      <c r="Z943" s="10">
        <f t="shared" si="28"/>
        <v>0</v>
      </c>
      <c r="AA943" s="24" t="str">
        <f t="shared" si="29"/>
        <v/>
      </c>
    </row>
    <row r="944" spans="26:27" x14ac:dyDescent="0.2">
      <c r="Z944" s="10">
        <f t="shared" si="28"/>
        <v>0</v>
      </c>
      <c r="AA944" s="24" t="str">
        <f t="shared" si="29"/>
        <v/>
      </c>
    </row>
    <row r="945" spans="26:27" x14ac:dyDescent="0.2">
      <c r="Z945" s="10">
        <f t="shared" si="28"/>
        <v>0</v>
      </c>
      <c r="AA945" s="24" t="str">
        <f t="shared" si="29"/>
        <v/>
      </c>
    </row>
    <row r="946" spans="26:27" x14ac:dyDescent="0.2">
      <c r="Z946" s="10">
        <f t="shared" si="28"/>
        <v>0</v>
      </c>
      <c r="AA946" s="24" t="str">
        <f t="shared" si="29"/>
        <v/>
      </c>
    </row>
    <row r="947" spans="26:27" x14ac:dyDescent="0.2">
      <c r="Z947" s="10">
        <f t="shared" si="28"/>
        <v>0</v>
      </c>
      <c r="AA947" s="24" t="str">
        <f t="shared" si="29"/>
        <v/>
      </c>
    </row>
    <row r="948" spans="26:27" x14ac:dyDescent="0.2">
      <c r="Z948" s="10">
        <f t="shared" si="28"/>
        <v>0</v>
      </c>
      <c r="AA948" s="24" t="str">
        <f t="shared" si="29"/>
        <v/>
      </c>
    </row>
    <row r="949" spans="26:27" x14ac:dyDescent="0.2">
      <c r="Z949" s="10">
        <f t="shared" si="28"/>
        <v>0</v>
      </c>
      <c r="AA949" s="24" t="str">
        <f t="shared" si="29"/>
        <v/>
      </c>
    </row>
    <row r="950" spans="26:27" x14ac:dyDescent="0.2">
      <c r="Z950" s="10">
        <f t="shared" si="28"/>
        <v>0</v>
      </c>
      <c r="AA950" s="24" t="str">
        <f t="shared" si="29"/>
        <v/>
      </c>
    </row>
    <row r="951" spans="26:27" x14ac:dyDescent="0.2">
      <c r="Z951" s="10">
        <f t="shared" si="28"/>
        <v>0</v>
      </c>
      <c r="AA951" s="24" t="str">
        <f t="shared" si="29"/>
        <v/>
      </c>
    </row>
    <row r="952" spans="26:27" x14ac:dyDescent="0.2">
      <c r="Z952" s="10">
        <f t="shared" si="28"/>
        <v>0</v>
      </c>
      <c r="AA952" s="24" t="str">
        <f t="shared" si="29"/>
        <v/>
      </c>
    </row>
    <row r="953" spans="26:27" x14ac:dyDescent="0.2">
      <c r="Z953" s="10">
        <f t="shared" si="28"/>
        <v>0</v>
      </c>
      <c r="AA953" s="24" t="str">
        <f t="shared" si="29"/>
        <v/>
      </c>
    </row>
    <row r="954" spans="26:27" x14ac:dyDescent="0.2">
      <c r="Z954" s="10">
        <f t="shared" si="28"/>
        <v>0</v>
      </c>
      <c r="AA954" s="24" t="str">
        <f t="shared" si="29"/>
        <v/>
      </c>
    </row>
    <row r="955" spans="26:27" x14ac:dyDescent="0.2">
      <c r="Z955" s="10">
        <f t="shared" si="28"/>
        <v>0</v>
      </c>
      <c r="AA955" s="24" t="str">
        <f t="shared" si="29"/>
        <v/>
      </c>
    </row>
    <row r="956" spans="26:27" x14ac:dyDescent="0.2">
      <c r="Z956" s="10">
        <f t="shared" si="28"/>
        <v>0</v>
      </c>
      <c r="AA956" s="24" t="str">
        <f t="shared" si="29"/>
        <v/>
      </c>
    </row>
    <row r="957" spans="26:27" x14ac:dyDescent="0.2">
      <c r="Z957" s="10">
        <f t="shared" si="28"/>
        <v>0</v>
      </c>
      <c r="AA957" s="24" t="str">
        <f t="shared" si="29"/>
        <v/>
      </c>
    </row>
    <row r="958" spans="26:27" x14ac:dyDescent="0.2">
      <c r="Z958" s="10">
        <f t="shared" si="28"/>
        <v>0</v>
      </c>
      <c r="AA958" s="24" t="str">
        <f t="shared" si="29"/>
        <v/>
      </c>
    </row>
    <row r="959" spans="26:27" x14ac:dyDescent="0.2">
      <c r="Z959" s="10">
        <f t="shared" si="28"/>
        <v>0</v>
      </c>
      <c r="AA959" s="24" t="str">
        <f t="shared" si="29"/>
        <v/>
      </c>
    </row>
    <row r="960" spans="26:27" x14ac:dyDescent="0.2">
      <c r="Z960" s="10">
        <f t="shared" si="28"/>
        <v>0</v>
      </c>
      <c r="AA960" s="24" t="str">
        <f t="shared" si="29"/>
        <v/>
      </c>
    </row>
    <row r="961" spans="26:27" x14ac:dyDescent="0.2">
      <c r="Z961" s="10">
        <f t="shared" si="28"/>
        <v>0</v>
      </c>
      <c r="AA961" s="24" t="str">
        <f t="shared" si="29"/>
        <v/>
      </c>
    </row>
    <row r="962" spans="26:27" x14ac:dyDescent="0.2">
      <c r="Z962" s="10">
        <f t="shared" si="28"/>
        <v>0</v>
      </c>
      <c r="AA962" s="24" t="str">
        <f t="shared" si="29"/>
        <v/>
      </c>
    </row>
    <row r="963" spans="26:27" x14ac:dyDescent="0.2">
      <c r="Z963" s="10">
        <f t="shared" si="28"/>
        <v>0</v>
      </c>
      <c r="AA963" s="24" t="str">
        <f t="shared" si="29"/>
        <v/>
      </c>
    </row>
    <row r="964" spans="26:27" x14ac:dyDescent="0.2">
      <c r="Z964" s="10">
        <f t="shared" si="28"/>
        <v>0</v>
      </c>
      <c r="AA964" s="24" t="str">
        <f t="shared" si="29"/>
        <v/>
      </c>
    </row>
    <row r="965" spans="26:27" x14ac:dyDescent="0.2">
      <c r="Z965" s="10">
        <f t="shared" ref="Z965:Z1028" si="30">IF(G965="PLUM", "Plumbing", IF(G965="PIPE", "Piping", IF(G965="HVAC", "Sheet Metal", G965)))</f>
        <v>0</v>
      </c>
      <c r="AA965" s="24" t="str">
        <f t="shared" ref="AA965:AA1028" si="31">IF(ISBLANK(B965), "", $A$2)</f>
        <v/>
      </c>
    </row>
    <row r="966" spans="26:27" x14ac:dyDescent="0.2">
      <c r="Z966" s="10">
        <f t="shared" si="30"/>
        <v>0</v>
      </c>
      <c r="AA966" s="24" t="str">
        <f t="shared" si="31"/>
        <v/>
      </c>
    </row>
    <row r="967" spans="26:27" x14ac:dyDescent="0.2">
      <c r="Z967" s="10">
        <f t="shared" si="30"/>
        <v>0</v>
      </c>
      <c r="AA967" s="24" t="str">
        <f t="shared" si="31"/>
        <v/>
      </c>
    </row>
    <row r="968" spans="26:27" x14ac:dyDescent="0.2">
      <c r="Z968" s="10">
        <f t="shared" si="30"/>
        <v>0</v>
      </c>
      <c r="AA968" s="24" t="str">
        <f t="shared" si="31"/>
        <v/>
      </c>
    </row>
    <row r="969" spans="26:27" x14ac:dyDescent="0.2">
      <c r="Z969" s="10">
        <f t="shared" si="30"/>
        <v>0</v>
      </c>
      <c r="AA969" s="24" t="str">
        <f t="shared" si="31"/>
        <v/>
      </c>
    </row>
    <row r="970" spans="26:27" x14ac:dyDescent="0.2">
      <c r="Z970" s="10">
        <f t="shared" si="30"/>
        <v>0</v>
      </c>
      <c r="AA970" s="24" t="str">
        <f t="shared" si="31"/>
        <v/>
      </c>
    </row>
    <row r="971" spans="26:27" x14ac:dyDescent="0.2">
      <c r="Z971" s="10">
        <f t="shared" si="30"/>
        <v>0</v>
      </c>
      <c r="AA971" s="24" t="str">
        <f t="shared" si="31"/>
        <v/>
      </c>
    </row>
    <row r="972" spans="26:27" x14ac:dyDescent="0.2">
      <c r="Z972" s="10">
        <f t="shared" si="30"/>
        <v>0</v>
      </c>
      <c r="AA972" s="24" t="str">
        <f t="shared" si="31"/>
        <v/>
      </c>
    </row>
    <row r="973" spans="26:27" x14ac:dyDescent="0.2">
      <c r="Z973" s="10">
        <f t="shared" si="30"/>
        <v>0</v>
      </c>
      <c r="AA973" s="24" t="str">
        <f t="shared" si="31"/>
        <v/>
      </c>
    </row>
    <row r="974" spans="26:27" x14ac:dyDescent="0.2">
      <c r="Z974" s="10">
        <f t="shared" si="30"/>
        <v>0</v>
      </c>
      <c r="AA974" s="24" t="str">
        <f t="shared" si="31"/>
        <v/>
      </c>
    </row>
    <row r="975" spans="26:27" x14ac:dyDescent="0.2">
      <c r="Z975" s="10">
        <f t="shared" si="30"/>
        <v>0</v>
      </c>
      <c r="AA975" s="24" t="str">
        <f t="shared" si="31"/>
        <v/>
      </c>
    </row>
    <row r="976" spans="26:27" x14ac:dyDescent="0.2">
      <c r="Z976" s="10">
        <f t="shared" si="30"/>
        <v>0</v>
      </c>
      <c r="AA976" s="24" t="str">
        <f t="shared" si="31"/>
        <v/>
      </c>
    </row>
    <row r="977" spans="26:27" x14ac:dyDescent="0.2">
      <c r="Z977" s="10">
        <f t="shared" si="30"/>
        <v>0</v>
      </c>
      <c r="AA977" s="24" t="str">
        <f t="shared" si="31"/>
        <v/>
      </c>
    </row>
    <row r="978" spans="26:27" x14ac:dyDescent="0.2">
      <c r="Z978" s="10">
        <f t="shared" si="30"/>
        <v>0</v>
      </c>
      <c r="AA978" s="24" t="str">
        <f t="shared" si="31"/>
        <v/>
      </c>
    </row>
    <row r="979" spans="26:27" x14ac:dyDescent="0.2">
      <c r="Z979" s="10">
        <f t="shared" si="30"/>
        <v>0</v>
      </c>
      <c r="AA979" s="24" t="str">
        <f t="shared" si="31"/>
        <v/>
      </c>
    </row>
    <row r="980" spans="26:27" x14ac:dyDescent="0.2">
      <c r="Z980" s="10">
        <f t="shared" si="30"/>
        <v>0</v>
      </c>
      <c r="AA980" s="24" t="str">
        <f t="shared" si="31"/>
        <v/>
      </c>
    </row>
    <row r="981" spans="26:27" x14ac:dyDescent="0.2">
      <c r="Z981" s="10">
        <f t="shared" si="30"/>
        <v>0</v>
      </c>
      <c r="AA981" s="24" t="str">
        <f t="shared" si="31"/>
        <v/>
      </c>
    </row>
    <row r="982" spans="26:27" x14ac:dyDescent="0.2">
      <c r="Z982" s="10">
        <f t="shared" si="30"/>
        <v>0</v>
      </c>
      <c r="AA982" s="24" t="str">
        <f t="shared" si="31"/>
        <v/>
      </c>
    </row>
    <row r="983" spans="26:27" x14ac:dyDescent="0.2">
      <c r="Z983" s="10">
        <f t="shared" si="30"/>
        <v>0</v>
      </c>
      <c r="AA983" s="24" t="str">
        <f t="shared" si="31"/>
        <v/>
      </c>
    </row>
    <row r="984" spans="26:27" x14ac:dyDescent="0.2">
      <c r="Z984" s="10">
        <f t="shared" si="30"/>
        <v>0</v>
      </c>
      <c r="AA984" s="24" t="str">
        <f t="shared" si="31"/>
        <v/>
      </c>
    </row>
    <row r="985" spans="26:27" x14ac:dyDescent="0.2">
      <c r="Z985" s="10">
        <f t="shared" si="30"/>
        <v>0</v>
      </c>
      <c r="AA985" s="24" t="str">
        <f t="shared" si="31"/>
        <v/>
      </c>
    </row>
    <row r="986" spans="26:27" x14ac:dyDescent="0.2">
      <c r="Z986" s="10">
        <f t="shared" si="30"/>
        <v>0</v>
      </c>
      <c r="AA986" s="24" t="str">
        <f t="shared" si="31"/>
        <v/>
      </c>
    </row>
    <row r="987" spans="26:27" x14ac:dyDescent="0.2">
      <c r="Z987" s="10">
        <f t="shared" si="30"/>
        <v>0</v>
      </c>
      <c r="AA987" s="24" t="str">
        <f t="shared" si="31"/>
        <v/>
      </c>
    </row>
    <row r="988" spans="26:27" x14ac:dyDescent="0.2">
      <c r="Z988" s="10">
        <f t="shared" si="30"/>
        <v>0</v>
      </c>
      <c r="AA988" s="24" t="str">
        <f t="shared" si="31"/>
        <v/>
      </c>
    </row>
    <row r="989" spans="26:27" x14ac:dyDescent="0.2">
      <c r="Z989" s="10">
        <f t="shared" si="30"/>
        <v>0</v>
      </c>
      <c r="AA989" s="24" t="str">
        <f t="shared" si="31"/>
        <v/>
      </c>
    </row>
    <row r="990" spans="26:27" x14ac:dyDescent="0.2">
      <c r="Z990" s="10">
        <f t="shared" si="30"/>
        <v>0</v>
      </c>
      <c r="AA990" s="24" t="str">
        <f t="shared" si="31"/>
        <v/>
      </c>
    </row>
    <row r="991" spans="26:27" x14ac:dyDescent="0.2">
      <c r="Z991" s="10">
        <f t="shared" si="30"/>
        <v>0</v>
      </c>
      <c r="AA991" s="24" t="str">
        <f t="shared" si="31"/>
        <v/>
      </c>
    </row>
    <row r="992" spans="26:27" x14ac:dyDescent="0.2">
      <c r="Z992" s="10">
        <f t="shared" si="30"/>
        <v>0</v>
      </c>
      <c r="AA992" s="24" t="str">
        <f t="shared" si="31"/>
        <v/>
      </c>
    </row>
    <row r="993" spans="26:27" x14ac:dyDescent="0.2">
      <c r="Z993" s="10">
        <f t="shared" si="30"/>
        <v>0</v>
      </c>
      <c r="AA993" s="24" t="str">
        <f t="shared" si="31"/>
        <v/>
      </c>
    </row>
    <row r="994" spans="26:27" x14ac:dyDescent="0.2">
      <c r="Z994" s="10">
        <f t="shared" si="30"/>
        <v>0</v>
      </c>
      <c r="AA994" s="24" t="str">
        <f t="shared" si="31"/>
        <v/>
      </c>
    </row>
    <row r="995" spans="26:27" x14ac:dyDescent="0.2">
      <c r="Z995" s="10">
        <f t="shared" si="30"/>
        <v>0</v>
      </c>
      <c r="AA995" s="24" t="str">
        <f t="shared" si="31"/>
        <v/>
      </c>
    </row>
    <row r="996" spans="26:27" x14ac:dyDescent="0.2">
      <c r="Z996" s="10">
        <f t="shared" si="30"/>
        <v>0</v>
      </c>
      <c r="AA996" s="24" t="str">
        <f t="shared" si="31"/>
        <v/>
      </c>
    </row>
    <row r="997" spans="26:27" x14ac:dyDescent="0.2">
      <c r="Z997" s="10">
        <f t="shared" si="30"/>
        <v>0</v>
      </c>
      <c r="AA997" s="24" t="str">
        <f t="shared" si="31"/>
        <v/>
      </c>
    </row>
    <row r="998" spans="26:27" x14ac:dyDescent="0.2">
      <c r="Z998" s="10">
        <f t="shared" si="30"/>
        <v>0</v>
      </c>
      <c r="AA998" s="24" t="str">
        <f t="shared" si="31"/>
        <v/>
      </c>
    </row>
    <row r="999" spans="26:27" x14ac:dyDescent="0.2">
      <c r="Z999" s="10">
        <f t="shared" si="30"/>
        <v>0</v>
      </c>
      <c r="AA999" s="24" t="str">
        <f t="shared" si="31"/>
        <v/>
      </c>
    </row>
    <row r="1000" spans="26:27" x14ac:dyDescent="0.2">
      <c r="Z1000" s="10">
        <f t="shared" si="30"/>
        <v>0</v>
      </c>
      <c r="AA1000" s="24" t="str">
        <f t="shared" si="31"/>
        <v/>
      </c>
    </row>
    <row r="1001" spans="26:27" x14ac:dyDescent="0.2">
      <c r="Z1001" s="10">
        <f t="shared" si="30"/>
        <v>0</v>
      </c>
      <c r="AA1001" s="24" t="str">
        <f t="shared" si="31"/>
        <v/>
      </c>
    </row>
    <row r="1002" spans="26:27" x14ac:dyDescent="0.2">
      <c r="Z1002" s="10">
        <f t="shared" si="30"/>
        <v>0</v>
      </c>
      <c r="AA1002" s="24" t="str">
        <f t="shared" si="31"/>
        <v/>
      </c>
    </row>
    <row r="1003" spans="26:27" x14ac:dyDescent="0.2">
      <c r="Z1003" s="10">
        <f t="shared" si="30"/>
        <v>0</v>
      </c>
      <c r="AA1003" s="24" t="str">
        <f t="shared" si="31"/>
        <v/>
      </c>
    </row>
    <row r="1004" spans="26:27" x14ac:dyDescent="0.2">
      <c r="Z1004" s="10">
        <f t="shared" si="30"/>
        <v>0</v>
      </c>
      <c r="AA1004" s="24" t="str">
        <f t="shared" si="31"/>
        <v/>
      </c>
    </row>
    <row r="1005" spans="26:27" x14ac:dyDescent="0.2">
      <c r="Z1005" s="10">
        <f t="shared" si="30"/>
        <v>0</v>
      </c>
      <c r="AA1005" s="24" t="str">
        <f t="shared" si="31"/>
        <v/>
      </c>
    </row>
    <row r="1006" spans="26:27" x14ac:dyDescent="0.2">
      <c r="Z1006" s="10">
        <f t="shared" si="30"/>
        <v>0</v>
      </c>
      <c r="AA1006" s="24" t="str">
        <f t="shared" si="31"/>
        <v/>
      </c>
    </row>
    <row r="1007" spans="26:27" x14ac:dyDescent="0.2">
      <c r="Z1007" s="10">
        <f t="shared" si="30"/>
        <v>0</v>
      </c>
      <c r="AA1007" s="24" t="str">
        <f t="shared" si="31"/>
        <v/>
      </c>
    </row>
    <row r="1008" spans="26:27" x14ac:dyDescent="0.2">
      <c r="Z1008" s="10">
        <f t="shared" si="30"/>
        <v>0</v>
      </c>
      <c r="AA1008" s="24" t="str">
        <f t="shared" si="31"/>
        <v/>
      </c>
    </row>
    <row r="1009" spans="26:27" x14ac:dyDescent="0.2">
      <c r="Z1009" s="10">
        <f t="shared" si="30"/>
        <v>0</v>
      </c>
      <c r="AA1009" s="24" t="str">
        <f t="shared" si="31"/>
        <v/>
      </c>
    </row>
    <row r="1010" spans="26:27" x14ac:dyDescent="0.2">
      <c r="Z1010" s="10">
        <f t="shared" si="30"/>
        <v>0</v>
      </c>
      <c r="AA1010" s="24" t="str">
        <f t="shared" si="31"/>
        <v/>
      </c>
    </row>
    <row r="1011" spans="26:27" x14ac:dyDescent="0.2">
      <c r="Z1011" s="10">
        <f t="shared" si="30"/>
        <v>0</v>
      </c>
      <c r="AA1011" s="24" t="str">
        <f t="shared" si="31"/>
        <v/>
      </c>
    </row>
    <row r="1012" spans="26:27" x14ac:dyDescent="0.2">
      <c r="Z1012" s="10">
        <f t="shared" si="30"/>
        <v>0</v>
      </c>
      <c r="AA1012" s="24" t="str">
        <f t="shared" si="31"/>
        <v/>
      </c>
    </row>
    <row r="1013" spans="26:27" x14ac:dyDescent="0.2">
      <c r="Z1013" s="10">
        <f t="shared" si="30"/>
        <v>0</v>
      </c>
      <c r="AA1013" s="24" t="str">
        <f t="shared" si="31"/>
        <v/>
      </c>
    </row>
    <row r="1014" spans="26:27" x14ac:dyDescent="0.2">
      <c r="Z1014" s="10">
        <f t="shared" si="30"/>
        <v>0</v>
      </c>
      <c r="AA1014" s="24" t="str">
        <f t="shared" si="31"/>
        <v/>
      </c>
    </row>
    <row r="1015" spans="26:27" x14ac:dyDescent="0.2">
      <c r="Z1015" s="10">
        <f t="shared" si="30"/>
        <v>0</v>
      </c>
      <c r="AA1015" s="24" t="str">
        <f t="shared" si="31"/>
        <v/>
      </c>
    </row>
    <row r="1016" spans="26:27" x14ac:dyDescent="0.2">
      <c r="Z1016" s="10">
        <f t="shared" si="30"/>
        <v>0</v>
      </c>
      <c r="AA1016" s="24" t="str">
        <f t="shared" si="31"/>
        <v/>
      </c>
    </row>
    <row r="1017" spans="26:27" x14ac:dyDescent="0.2">
      <c r="Z1017" s="10">
        <f t="shared" si="30"/>
        <v>0</v>
      </c>
      <c r="AA1017" s="24" t="str">
        <f t="shared" si="31"/>
        <v/>
      </c>
    </row>
    <row r="1018" spans="26:27" x14ac:dyDescent="0.2">
      <c r="Z1018" s="10">
        <f t="shared" si="30"/>
        <v>0</v>
      </c>
      <c r="AA1018" s="24" t="str">
        <f t="shared" si="31"/>
        <v/>
      </c>
    </row>
    <row r="1019" spans="26:27" x14ac:dyDescent="0.2">
      <c r="Z1019" s="10">
        <f t="shared" si="30"/>
        <v>0</v>
      </c>
      <c r="AA1019" s="24" t="str">
        <f t="shared" si="31"/>
        <v/>
      </c>
    </row>
    <row r="1020" spans="26:27" x14ac:dyDescent="0.2">
      <c r="Z1020" s="10">
        <f t="shared" si="30"/>
        <v>0</v>
      </c>
      <c r="AA1020" s="24" t="str">
        <f t="shared" si="31"/>
        <v/>
      </c>
    </row>
    <row r="1021" spans="26:27" x14ac:dyDescent="0.2">
      <c r="Z1021" s="10">
        <f t="shared" si="30"/>
        <v>0</v>
      </c>
      <c r="AA1021" s="24" t="str">
        <f t="shared" si="31"/>
        <v/>
      </c>
    </row>
    <row r="1022" spans="26:27" x14ac:dyDescent="0.2">
      <c r="Z1022" s="10">
        <f t="shared" si="30"/>
        <v>0</v>
      </c>
      <c r="AA1022" s="24" t="str">
        <f t="shared" si="31"/>
        <v/>
      </c>
    </row>
    <row r="1023" spans="26:27" x14ac:dyDescent="0.2">
      <c r="Z1023" s="10">
        <f t="shared" si="30"/>
        <v>0</v>
      </c>
      <c r="AA1023" s="24" t="str">
        <f t="shared" si="31"/>
        <v/>
      </c>
    </row>
    <row r="1024" spans="26:27" x14ac:dyDescent="0.2">
      <c r="Z1024" s="10">
        <f t="shared" si="30"/>
        <v>0</v>
      </c>
      <c r="AA1024" s="24" t="str">
        <f t="shared" si="31"/>
        <v/>
      </c>
    </row>
    <row r="1025" spans="26:27" x14ac:dyDescent="0.2">
      <c r="Z1025" s="10">
        <f t="shared" si="30"/>
        <v>0</v>
      </c>
      <c r="AA1025" s="24" t="str">
        <f t="shared" si="31"/>
        <v/>
      </c>
    </row>
    <row r="1026" spans="26:27" x14ac:dyDescent="0.2">
      <c r="Z1026" s="10">
        <f t="shared" si="30"/>
        <v>0</v>
      </c>
      <c r="AA1026" s="24" t="str">
        <f t="shared" si="31"/>
        <v/>
      </c>
    </row>
    <row r="1027" spans="26:27" x14ac:dyDescent="0.2">
      <c r="Z1027" s="10">
        <f t="shared" si="30"/>
        <v>0</v>
      </c>
      <c r="AA1027" s="24" t="str">
        <f t="shared" si="31"/>
        <v/>
      </c>
    </row>
    <row r="1028" spans="26:27" x14ac:dyDescent="0.2">
      <c r="Z1028" s="10">
        <f t="shared" si="30"/>
        <v>0</v>
      </c>
      <c r="AA1028" s="24" t="str">
        <f t="shared" si="31"/>
        <v/>
      </c>
    </row>
    <row r="1029" spans="26:27" x14ac:dyDescent="0.2">
      <c r="Z1029" s="10">
        <f t="shared" ref="Z1029:Z1092" si="32">IF(G1029="PLUM", "Plumbing", IF(G1029="PIPE", "Piping", IF(G1029="HVAC", "Sheet Metal", G1029)))</f>
        <v>0</v>
      </c>
      <c r="AA1029" s="24" t="str">
        <f t="shared" ref="AA1029:AA1092" si="33">IF(ISBLANK(B1029), "", $A$2)</f>
        <v/>
      </c>
    </row>
    <row r="1030" spans="26:27" x14ac:dyDescent="0.2">
      <c r="Z1030" s="10">
        <f t="shared" si="32"/>
        <v>0</v>
      </c>
      <c r="AA1030" s="24" t="str">
        <f t="shared" si="33"/>
        <v/>
      </c>
    </row>
    <row r="1031" spans="26:27" x14ac:dyDescent="0.2">
      <c r="Z1031" s="10">
        <f t="shared" si="32"/>
        <v>0</v>
      </c>
      <c r="AA1031" s="24" t="str">
        <f t="shared" si="33"/>
        <v/>
      </c>
    </row>
    <row r="1032" spans="26:27" x14ac:dyDescent="0.2">
      <c r="Z1032" s="10">
        <f t="shared" si="32"/>
        <v>0</v>
      </c>
      <c r="AA1032" s="24" t="str">
        <f t="shared" si="33"/>
        <v/>
      </c>
    </row>
    <row r="1033" spans="26:27" x14ac:dyDescent="0.2">
      <c r="Z1033" s="10">
        <f t="shared" si="32"/>
        <v>0</v>
      </c>
      <c r="AA1033" s="24" t="str">
        <f t="shared" si="33"/>
        <v/>
      </c>
    </row>
    <row r="1034" spans="26:27" x14ac:dyDescent="0.2">
      <c r="Z1034" s="10">
        <f t="shared" si="32"/>
        <v>0</v>
      </c>
      <c r="AA1034" s="24" t="str">
        <f t="shared" si="33"/>
        <v/>
      </c>
    </row>
    <row r="1035" spans="26:27" x14ac:dyDescent="0.2">
      <c r="Z1035" s="10">
        <f t="shared" si="32"/>
        <v>0</v>
      </c>
      <c r="AA1035" s="24" t="str">
        <f t="shared" si="33"/>
        <v/>
      </c>
    </row>
    <row r="1036" spans="26:27" x14ac:dyDescent="0.2">
      <c r="Z1036" s="10">
        <f t="shared" si="32"/>
        <v>0</v>
      </c>
      <c r="AA1036" s="24" t="str">
        <f t="shared" si="33"/>
        <v/>
      </c>
    </row>
    <row r="1037" spans="26:27" x14ac:dyDescent="0.2">
      <c r="Z1037" s="10">
        <f t="shared" si="32"/>
        <v>0</v>
      </c>
      <c r="AA1037" s="24" t="str">
        <f t="shared" si="33"/>
        <v/>
      </c>
    </row>
    <row r="1038" spans="26:27" x14ac:dyDescent="0.2">
      <c r="Z1038" s="10">
        <f t="shared" si="32"/>
        <v>0</v>
      </c>
      <c r="AA1038" s="24" t="str">
        <f t="shared" si="33"/>
        <v/>
      </c>
    </row>
    <row r="1039" spans="26:27" x14ac:dyDescent="0.2">
      <c r="Z1039" s="10">
        <f t="shared" si="32"/>
        <v>0</v>
      </c>
      <c r="AA1039" s="24" t="str">
        <f t="shared" si="33"/>
        <v/>
      </c>
    </row>
    <row r="1040" spans="26:27" x14ac:dyDescent="0.2">
      <c r="Z1040" s="10">
        <f t="shared" si="32"/>
        <v>0</v>
      </c>
      <c r="AA1040" s="24" t="str">
        <f t="shared" si="33"/>
        <v/>
      </c>
    </row>
    <row r="1041" spans="26:27" x14ac:dyDescent="0.2">
      <c r="Z1041" s="10">
        <f t="shared" si="32"/>
        <v>0</v>
      </c>
      <c r="AA1041" s="24" t="str">
        <f t="shared" si="33"/>
        <v/>
      </c>
    </row>
    <row r="1042" spans="26:27" x14ac:dyDescent="0.2">
      <c r="Z1042" s="10">
        <f t="shared" si="32"/>
        <v>0</v>
      </c>
      <c r="AA1042" s="24" t="str">
        <f t="shared" si="33"/>
        <v/>
      </c>
    </row>
    <row r="1043" spans="26:27" x14ac:dyDescent="0.2">
      <c r="Z1043" s="10">
        <f t="shared" si="32"/>
        <v>0</v>
      </c>
      <c r="AA1043" s="24" t="str">
        <f t="shared" si="33"/>
        <v/>
      </c>
    </row>
    <row r="1044" spans="26:27" x14ac:dyDescent="0.2">
      <c r="Z1044" s="10">
        <f t="shared" si="32"/>
        <v>0</v>
      </c>
      <c r="AA1044" s="24" t="str">
        <f t="shared" si="33"/>
        <v/>
      </c>
    </row>
    <row r="1045" spans="26:27" x14ac:dyDescent="0.2">
      <c r="Z1045" s="10">
        <f t="shared" si="32"/>
        <v>0</v>
      </c>
      <c r="AA1045" s="24" t="str">
        <f t="shared" si="33"/>
        <v/>
      </c>
    </row>
    <row r="1046" spans="26:27" x14ac:dyDescent="0.2">
      <c r="Z1046" s="10">
        <f t="shared" si="32"/>
        <v>0</v>
      </c>
      <c r="AA1046" s="24" t="str">
        <f t="shared" si="33"/>
        <v/>
      </c>
    </row>
    <row r="1047" spans="26:27" x14ac:dyDescent="0.2">
      <c r="Z1047" s="10">
        <f t="shared" si="32"/>
        <v>0</v>
      </c>
      <c r="AA1047" s="24" t="str">
        <f t="shared" si="33"/>
        <v/>
      </c>
    </row>
    <row r="1048" spans="26:27" x14ac:dyDescent="0.2">
      <c r="Z1048" s="10">
        <f t="shared" si="32"/>
        <v>0</v>
      </c>
      <c r="AA1048" s="24" t="str">
        <f t="shared" si="33"/>
        <v/>
      </c>
    </row>
    <row r="1049" spans="26:27" x14ac:dyDescent="0.2">
      <c r="Z1049" s="10">
        <f t="shared" si="32"/>
        <v>0</v>
      </c>
      <c r="AA1049" s="24" t="str">
        <f t="shared" si="33"/>
        <v/>
      </c>
    </row>
    <row r="1050" spans="26:27" x14ac:dyDescent="0.2">
      <c r="Z1050" s="10">
        <f t="shared" si="32"/>
        <v>0</v>
      </c>
      <c r="AA1050" s="24" t="str">
        <f t="shared" si="33"/>
        <v/>
      </c>
    </row>
    <row r="1051" spans="26:27" x14ac:dyDescent="0.2">
      <c r="Z1051" s="10">
        <f t="shared" si="32"/>
        <v>0</v>
      </c>
      <c r="AA1051" s="24" t="str">
        <f t="shared" si="33"/>
        <v/>
      </c>
    </row>
    <row r="1052" spans="26:27" x14ac:dyDescent="0.2">
      <c r="Z1052" s="10">
        <f t="shared" si="32"/>
        <v>0</v>
      </c>
      <c r="AA1052" s="24" t="str">
        <f t="shared" si="33"/>
        <v/>
      </c>
    </row>
    <row r="1053" spans="26:27" x14ac:dyDescent="0.2">
      <c r="Z1053" s="10">
        <f t="shared" si="32"/>
        <v>0</v>
      </c>
      <c r="AA1053" s="24" t="str">
        <f t="shared" si="33"/>
        <v/>
      </c>
    </row>
    <row r="1054" spans="26:27" x14ac:dyDescent="0.2">
      <c r="Z1054" s="10">
        <f t="shared" si="32"/>
        <v>0</v>
      </c>
      <c r="AA1054" s="24" t="str">
        <f t="shared" si="33"/>
        <v/>
      </c>
    </row>
    <row r="1055" spans="26:27" x14ac:dyDescent="0.2">
      <c r="Z1055" s="10">
        <f t="shared" si="32"/>
        <v>0</v>
      </c>
      <c r="AA1055" s="24" t="str">
        <f t="shared" si="33"/>
        <v/>
      </c>
    </row>
    <row r="1056" spans="26:27" x14ac:dyDescent="0.2">
      <c r="Z1056" s="10">
        <f t="shared" si="32"/>
        <v>0</v>
      </c>
      <c r="AA1056" s="24" t="str">
        <f t="shared" si="33"/>
        <v/>
      </c>
    </row>
    <row r="1057" spans="26:27" x14ac:dyDescent="0.2">
      <c r="Z1057" s="10">
        <f t="shared" si="32"/>
        <v>0</v>
      </c>
      <c r="AA1057" s="24" t="str">
        <f t="shared" si="33"/>
        <v/>
      </c>
    </row>
    <row r="1058" spans="26:27" x14ac:dyDescent="0.2">
      <c r="Z1058" s="10">
        <f t="shared" si="32"/>
        <v>0</v>
      </c>
      <c r="AA1058" s="24" t="str">
        <f t="shared" si="33"/>
        <v/>
      </c>
    </row>
    <row r="1059" spans="26:27" x14ac:dyDescent="0.2">
      <c r="Z1059" s="10">
        <f t="shared" si="32"/>
        <v>0</v>
      </c>
      <c r="AA1059" s="24" t="str">
        <f t="shared" si="33"/>
        <v/>
      </c>
    </row>
    <row r="1060" spans="26:27" x14ac:dyDescent="0.2">
      <c r="Z1060" s="10">
        <f t="shared" si="32"/>
        <v>0</v>
      </c>
      <c r="AA1060" s="24" t="str">
        <f t="shared" si="33"/>
        <v/>
      </c>
    </row>
    <row r="1061" spans="26:27" x14ac:dyDescent="0.2">
      <c r="Z1061" s="10">
        <f t="shared" si="32"/>
        <v>0</v>
      </c>
      <c r="AA1061" s="24" t="str">
        <f t="shared" si="33"/>
        <v/>
      </c>
    </row>
    <row r="1062" spans="26:27" x14ac:dyDescent="0.2">
      <c r="Z1062" s="10">
        <f t="shared" si="32"/>
        <v>0</v>
      </c>
      <c r="AA1062" s="24" t="str">
        <f t="shared" si="33"/>
        <v/>
      </c>
    </row>
    <row r="1063" spans="26:27" x14ac:dyDescent="0.2">
      <c r="Z1063" s="10">
        <f t="shared" si="32"/>
        <v>0</v>
      </c>
      <c r="AA1063" s="24" t="str">
        <f t="shared" si="33"/>
        <v/>
      </c>
    </row>
    <row r="1064" spans="26:27" x14ac:dyDescent="0.2">
      <c r="Z1064" s="10">
        <f t="shared" si="32"/>
        <v>0</v>
      </c>
      <c r="AA1064" s="24" t="str">
        <f t="shared" si="33"/>
        <v/>
      </c>
    </row>
    <row r="1065" spans="26:27" x14ac:dyDescent="0.2">
      <c r="Z1065" s="10">
        <f t="shared" si="32"/>
        <v>0</v>
      </c>
      <c r="AA1065" s="24" t="str">
        <f t="shared" si="33"/>
        <v/>
      </c>
    </row>
    <row r="1066" spans="26:27" x14ac:dyDescent="0.2">
      <c r="Z1066" s="10">
        <f t="shared" si="32"/>
        <v>0</v>
      </c>
      <c r="AA1066" s="24" t="str">
        <f t="shared" si="33"/>
        <v/>
      </c>
    </row>
    <row r="1067" spans="26:27" x14ac:dyDescent="0.2">
      <c r="Z1067" s="10">
        <f t="shared" si="32"/>
        <v>0</v>
      </c>
      <c r="AA1067" s="24" t="str">
        <f t="shared" si="33"/>
        <v/>
      </c>
    </row>
    <row r="1068" spans="26:27" x14ac:dyDescent="0.2">
      <c r="Z1068" s="10">
        <f t="shared" si="32"/>
        <v>0</v>
      </c>
      <c r="AA1068" s="24" t="str">
        <f t="shared" si="33"/>
        <v/>
      </c>
    </row>
    <row r="1069" spans="26:27" x14ac:dyDescent="0.2">
      <c r="Z1069" s="10">
        <f t="shared" si="32"/>
        <v>0</v>
      </c>
      <c r="AA1069" s="24" t="str">
        <f t="shared" si="33"/>
        <v/>
      </c>
    </row>
    <row r="1070" spans="26:27" x14ac:dyDescent="0.2">
      <c r="Z1070" s="10">
        <f t="shared" si="32"/>
        <v>0</v>
      </c>
      <c r="AA1070" s="24" t="str">
        <f t="shared" si="33"/>
        <v/>
      </c>
    </row>
    <row r="1071" spans="26:27" x14ac:dyDescent="0.2">
      <c r="Z1071" s="10">
        <f t="shared" si="32"/>
        <v>0</v>
      </c>
      <c r="AA1071" s="24" t="str">
        <f t="shared" si="33"/>
        <v/>
      </c>
    </row>
    <row r="1072" spans="26:27" x14ac:dyDescent="0.2">
      <c r="Z1072" s="10">
        <f t="shared" si="32"/>
        <v>0</v>
      </c>
      <c r="AA1072" s="24" t="str">
        <f t="shared" si="33"/>
        <v/>
      </c>
    </row>
    <row r="1073" spans="26:27" x14ac:dyDescent="0.2">
      <c r="Z1073" s="10">
        <f t="shared" si="32"/>
        <v>0</v>
      </c>
      <c r="AA1073" s="24" t="str">
        <f t="shared" si="33"/>
        <v/>
      </c>
    </row>
    <row r="1074" spans="26:27" x14ac:dyDescent="0.2">
      <c r="Z1074" s="10">
        <f t="shared" si="32"/>
        <v>0</v>
      </c>
      <c r="AA1074" s="24" t="str">
        <f t="shared" si="33"/>
        <v/>
      </c>
    </row>
    <row r="1075" spans="26:27" x14ac:dyDescent="0.2">
      <c r="Z1075" s="10">
        <f t="shared" si="32"/>
        <v>0</v>
      </c>
      <c r="AA1075" s="24" t="str">
        <f t="shared" si="33"/>
        <v/>
      </c>
    </row>
    <row r="1076" spans="26:27" x14ac:dyDescent="0.2">
      <c r="Z1076" s="10">
        <f t="shared" si="32"/>
        <v>0</v>
      </c>
      <c r="AA1076" s="24" t="str">
        <f t="shared" si="33"/>
        <v/>
      </c>
    </row>
    <row r="1077" spans="26:27" x14ac:dyDescent="0.2">
      <c r="Z1077" s="10">
        <f t="shared" si="32"/>
        <v>0</v>
      </c>
      <c r="AA1077" s="24" t="str">
        <f t="shared" si="33"/>
        <v/>
      </c>
    </row>
    <row r="1078" spans="26:27" x14ac:dyDescent="0.2">
      <c r="Z1078" s="10">
        <f t="shared" si="32"/>
        <v>0</v>
      </c>
      <c r="AA1078" s="24" t="str">
        <f t="shared" si="33"/>
        <v/>
      </c>
    </row>
    <row r="1079" spans="26:27" x14ac:dyDescent="0.2">
      <c r="Z1079" s="10">
        <f t="shared" si="32"/>
        <v>0</v>
      </c>
      <c r="AA1079" s="24" t="str">
        <f t="shared" si="33"/>
        <v/>
      </c>
    </row>
    <row r="1080" spans="26:27" x14ac:dyDescent="0.2">
      <c r="Z1080" s="10">
        <f t="shared" si="32"/>
        <v>0</v>
      </c>
      <c r="AA1080" s="24" t="str">
        <f t="shared" si="33"/>
        <v/>
      </c>
    </row>
    <row r="1081" spans="26:27" x14ac:dyDescent="0.2">
      <c r="Z1081" s="10">
        <f t="shared" si="32"/>
        <v>0</v>
      </c>
      <c r="AA1081" s="24" t="str">
        <f t="shared" si="33"/>
        <v/>
      </c>
    </row>
    <row r="1082" spans="26:27" x14ac:dyDescent="0.2">
      <c r="Z1082" s="10">
        <f t="shared" si="32"/>
        <v>0</v>
      </c>
      <c r="AA1082" s="24" t="str">
        <f t="shared" si="33"/>
        <v/>
      </c>
    </row>
    <row r="1083" spans="26:27" x14ac:dyDescent="0.2">
      <c r="Z1083" s="10">
        <f t="shared" si="32"/>
        <v>0</v>
      </c>
      <c r="AA1083" s="24" t="str">
        <f t="shared" si="33"/>
        <v/>
      </c>
    </row>
    <row r="1084" spans="26:27" x14ac:dyDescent="0.2">
      <c r="Z1084" s="10">
        <f t="shared" si="32"/>
        <v>0</v>
      </c>
      <c r="AA1084" s="24" t="str">
        <f t="shared" si="33"/>
        <v/>
      </c>
    </row>
    <row r="1085" spans="26:27" x14ac:dyDescent="0.2">
      <c r="Z1085" s="10">
        <f t="shared" si="32"/>
        <v>0</v>
      </c>
      <c r="AA1085" s="24" t="str">
        <f t="shared" si="33"/>
        <v/>
      </c>
    </row>
    <row r="1086" spans="26:27" x14ac:dyDescent="0.2">
      <c r="Z1086" s="10">
        <f t="shared" si="32"/>
        <v>0</v>
      </c>
      <c r="AA1086" s="24" t="str">
        <f t="shared" si="33"/>
        <v/>
      </c>
    </row>
    <row r="1087" spans="26:27" x14ac:dyDescent="0.2">
      <c r="Z1087" s="10">
        <f t="shared" si="32"/>
        <v>0</v>
      </c>
      <c r="AA1087" s="24" t="str">
        <f t="shared" si="33"/>
        <v/>
      </c>
    </row>
    <row r="1088" spans="26:27" x14ac:dyDescent="0.2">
      <c r="Z1088" s="10">
        <f t="shared" si="32"/>
        <v>0</v>
      </c>
      <c r="AA1088" s="24" t="str">
        <f t="shared" si="33"/>
        <v/>
      </c>
    </row>
    <row r="1089" spans="26:27" x14ac:dyDescent="0.2">
      <c r="Z1089" s="10">
        <f t="shared" si="32"/>
        <v>0</v>
      </c>
      <c r="AA1089" s="24" t="str">
        <f t="shared" si="33"/>
        <v/>
      </c>
    </row>
    <row r="1090" spans="26:27" x14ac:dyDescent="0.2">
      <c r="Z1090" s="10">
        <f t="shared" si="32"/>
        <v>0</v>
      </c>
      <c r="AA1090" s="24" t="str">
        <f t="shared" si="33"/>
        <v/>
      </c>
    </row>
    <row r="1091" spans="26:27" x14ac:dyDescent="0.2">
      <c r="Z1091" s="10">
        <f t="shared" si="32"/>
        <v>0</v>
      </c>
      <c r="AA1091" s="24" t="str">
        <f t="shared" si="33"/>
        <v/>
      </c>
    </row>
    <row r="1092" spans="26:27" x14ac:dyDescent="0.2">
      <c r="Z1092" s="10">
        <f t="shared" si="32"/>
        <v>0</v>
      </c>
      <c r="AA1092" s="24" t="str">
        <f t="shared" si="33"/>
        <v/>
      </c>
    </row>
    <row r="1093" spans="26:27" x14ac:dyDescent="0.2">
      <c r="Z1093" s="10">
        <f t="shared" ref="Z1093:Z1156" si="34">IF(G1093="PLUM", "Plumbing", IF(G1093="PIPE", "Piping", IF(G1093="HVAC", "Sheet Metal", G1093)))</f>
        <v>0</v>
      </c>
      <c r="AA1093" s="24" t="str">
        <f t="shared" ref="AA1093:AA1156" si="35">IF(ISBLANK(B1093), "", $A$2)</f>
        <v/>
      </c>
    </row>
    <row r="1094" spans="26:27" x14ac:dyDescent="0.2">
      <c r="Z1094" s="10">
        <f t="shared" si="34"/>
        <v>0</v>
      </c>
      <c r="AA1094" s="24" t="str">
        <f t="shared" si="35"/>
        <v/>
      </c>
    </row>
    <row r="1095" spans="26:27" x14ac:dyDescent="0.2">
      <c r="Z1095" s="10">
        <f t="shared" si="34"/>
        <v>0</v>
      </c>
      <c r="AA1095" s="24" t="str">
        <f t="shared" si="35"/>
        <v/>
      </c>
    </row>
    <row r="1096" spans="26:27" x14ac:dyDescent="0.2">
      <c r="Z1096" s="10">
        <f t="shared" si="34"/>
        <v>0</v>
      </c>
      <c r="AA1096" s="24" t="str">
        <f t="shared" si="35"/>
        <v/>
      </c>
    </row>
    <row r="1097" spans="26:27" x14ac:dyDescent="0.2">
      <c r="Z1097" s="10">
        <f t="shared" si="34"/>
        <v>0</v>
      </c>
      <c r="AA1097" s="24" t="str">
        <f t="shared" si="35"/>
        <v/>
      </c>
    </row>
    <row r="1098" spans="26:27" x14ac:dyDescent="0.2">
      <c r="Z1098" s="10">
        <f t="shared" si="34"/>
        <v>0</v>
      </c>
      <c r="AA1098" s="24" t="str">
        <f t="shared" si="35"/>
        <v/>
      </c>
    </row>
    <row r="1099" spans="26:27" x14ac:dyDescent="0.2">
      <c r="Z1099" s="10">
        <f t="shared" si="34"/>
        <v>0</v>
      </c>
      <c r="AA1099" s="24" t="str">
        <f t="shared" si="35"/>
        <v/>
      </c>
    </row>
    <row r="1100" spans="26:27" x14ac:dyDescent="0.2">
      <c r="Z1100" s="10">
        <f t="shared" si="34"/>
        <v>0</v>
      </c>
      <c r="AA1100" s="24" t="str">
        <f t="shared" si="35"/>
        <v/>
      </c>
    </row>
    <row r="1101" spans="26:27" x14ac:dyDescent="0.2">
      <c r="Z1101" s="10">
        <f t="shared" si="34"/>
        <v>0</v>
      </c>
      <c r="AA1101" s="24" t="str">
        <f t="shared" si="35"/>
        <v/>
      </c>
    </row>
    <row r="1102" spans="26:27" x14ac:dyDescent="0.2">
      <c r="Z1102" s="10">
        <f t="shared" si="34"/>
        <v>0</v>
      </c>
      <c r="AA1102" s="24" t="str">
        <f t="shared" si="35"/>
        <v/>
      </c>
    </row>
    <row r="1103" spans="26:27" x14ac:dyDescent="0.2">
      <c r="Z1103" s="10">
        <f t="shared" si="34"/>
        <v>0</v>
      </c>
      <c r="AA1103" s="24" t="str">
        <f t="shared" si="35"/>
        <v/>
      </c>
    </row>
    <row r="1104" spans="26:27" x14ac:dyDescent="0.2">
      <c r="Z1104" s="10">
        <f t="shared" si="34"/>
        <v>0</v>
      </c>
      <c r="AA1104" s="24" t="str">
        <f t="shared" si="35"/>
        <v/>
      </c>
    </row>
    <row r="1105" spans="26:27" x14ac:dyDescent="0.2">
      <c r="Z1105" s="10">
        <f t="shared" si="34"/>
        <v>0</v>
      </c>
      <c r="AA1105" s="24" t="str">
        <f t="shared" si="35"/>
        <v/>
      </c>
    </row>
    <row r="1106" spans="26:27" x14ac:dyDescent="0.2">
      <c r="Z1106" s="10">
        <f t="shared" si="34"/>
        <v>0</v>
      </c>
      <c r="AA1106" s="24" t="str">
        <f t="shared" si="35"/>
        <v/>
      </c>
    </row>
    <row r="1107" spans="26:27" x14ac:dyDescent="0.2">
      <c r="Z1107" s="10">
        <f t="shared" si="34"/>
        <v>0</v>
      </c>
      <c r="AA1107" s="24" t="str">
        <f t="shared" si="35"/>
        <v/>
      </c>
    </row>
    <row r="1108" spans="26:27" x14ac:dyDescent="0.2">
      <c r="Z1108" s="10">
        <f t="shared" si="34"/>
        <v>0</v>
      </c>
      <c r="AA1108" s="24" t="str">
        <f t="shared" si="35"/>
        <v/>
      </c>
    </row>
    <row r="1109" spans="26:27" x14ac:dyDescent="0.2">
      <c r="Z1109" s="10">
        <f t="shared" si="34"/>
        <v>0</v>
      </c>
      <c r="AA1109" s="24" t="str">
        <f t="shared" si="35"/>
        <v/>
      </c>
    </row>
    <row r="1110" spans="26:27" x14ac:dyDescent="0.2">
      <c r="Z1110" s="10">
        <f t="shared" si="34"/>
        <v>0</v>
      </c>
      <c r="AA1110" s="24" t="str">
        <f t="shared" si="35"/>
        <v/>
      </c>
    </row>
    <row r="1111" spans="26:27" x14ac:dyDescent="0.2">
      <c r="Z1111" s="10">
        <f t="shared" si="34"/>
        <v>0</v>
      </c>
      <c r="AA1111" s="24" t="str">
        <f t="shared" si="35"/>
        <v/>
      </c>
    </row>
    <row r="1112" spans="26:27" x14ac:dyDescent="0.2">
      <c r="Z1112" s="10">
        <f t="shared" si="34"/>
        <v>0</v>
      </c>
      <c r="AA1112" s="24" t="str">
        <f t="shared" si="35"/>
        <v/>
      </c>
    </row>
    <row r="1113" spans="26:27" x14ac:dyDescent="0.2">
      <c r="Z1113" s="10">
        <f t="shared" si="34"/>
        <v>0</v>
      </c>
      <c r="AA1113" s="24" t="str">
        <f t="shared" si="35"/>
        <v/>
      </c>
    </row>
    <row r="1114" spans="26:27" x14ac:dyDescent="0.2">
      <c r="Z1114" s="10">
        <f t="shared" si="34"/>
        <v>0</v>
      </c>
      <c r="AA1114" s="24" t="str">
        <f t="shared" si="35"/>
        <v/>
      </c>
    </row>
    <row r="1115" spans="26:27" x14ac:dyDescent="0.2">
      <c r="Z1115" s="10">
        <f t="shared" si="34"/>
        <v>0</v>
      </c>
      <c r="AA1115" s="24" t="str">
        <f t="shared" si="35"/>
        <v/>
      </c>
    </row>
    <row r="1116" spans="26:27" x14ac:dyDescent="0.2">
      <c r="Z1116" s="10">
        <f t="shared" si="34"/>
        <v>0</v>
      </c>
      <c r="AA1116" s="24" t="str">
        <f t="shared" si="35"/>
        <v/>
      </c>
    </row>
    <row r="1117" spans="26:27" x14ac:dyDescent="0.2">
      <c r="Z1117" s="10">
        <f t="shared" si="34"/>
        <v>0</v>
      </c>
      <c r="AA1117" s="24" t="str">
        <f t="shared" si="35"/>
        <v/>
      </c>
    </row>
    <row r="1118" spans="26:27" x14ac:dyDescent="0.2">
      <c r="Z1118" s="10">
        <f t="shared" si="34"/>
        <v>0</v>
      </c>
      <c r="AA1118" s="24" t="str">
        <f t="shared" si="35"/>
        <v/>
      </c>
    </row>
    <row r="1119" spans="26:27" x14ac:dyDescent="0.2">
      <c r="Z1119" s="10">
        <f t="shared" si="34"/>
        <v>0</v>
      </c>
      <c r="AA1119" s="24" t="str">
        <f t="shared" si="35"/>
        <v/>
      </c>
    </row>
    <row r="1120" spans="26:27" x14ac:dyDescent="0.2">
      <c r="Z1120" s="10">
        <f t="shared" si="34"/>
        <v>0</v>
      </c>
      <c r="AA1120" s="24" t="str">
        <f t="shared" si="35"/>
        <v/>
      </c>
    </row>
    <row r="1121" spans="26:27" x14ac:dyDescent="0.2">
      <c r="Z1121" s="10">
        <f t="shared" si="34"/>
        <v>0</v>
      </c>
      <c r="AA1121" s="24" t="str">
        <f t="shared" si="35"/>
        <v/>
      </c>
    </row>
    <row r="1122" spans="26:27" x14ac:dyDescent="0.2">
      <c r="Z1122" s="10">
        <f t="shared" si="34"/>
        <v>0</v>
      </c>
      <c r="AA1122" s="24" t="str">
        <f t="shared" si="35"/>
        <v/>
      </c>
    </row>
    <row r="1123" spans="26:27" x14ac:dyDescent="0.2">
      <c r="Z1123" s="10">
        <f t="shared" si="34"/>
        <v>0</v>
      </c>
      <c r="AA1123" s="24" t="str">
        <f t="shared" si="35"/>
        <v/>
      </c>
    </row>
    <row r="1124" spans="26:27" x14ac:dyDescent="0.2">
      <c r="Z1124" s="10">
        <f t="shared" si="34"/>
        <v>0</v>
      </c>
      <c r="AA1124" s="24" t="str">
        <f t="shared" si="35"/>
        <v/>
      </c>
    </row>
    <row r="1125" spans="26:27" x14ac:dyDescent="0.2">
      <c r="Z1125" s="10">
        <f t="shared" si="34"/>
        <v>0</v>
      </c>
      <c r="AA1125" s="24" t="str">
        <f t="shared" si="35"/>
        <v/>
      </c>
    </row>
    <row r="1126" spans="26:27" x14ac:dyDescent="0.2">
      <c r="Z1126" s="10">
        <f t="shared" si="34"/>
        <v>0</v>
      </c>
      <c r="AA1126" s="24" t="str">
        <f t="shared" si="35"/>
        <v/>
      </c>
    </row>
    <row r="1127" spans="26:27" x14ac:dyDescent="0.2">
      <c r="Z1127" s="10">
        <f t="shared" si="34"/>
        <v>0</v>
      </c>
      <c r="AA1127" s="24" t="str">
        <f t="shared" si="35"/>
        <v/>
      </c>
    </row>
    <row r="1128" spans="26:27" x14ac:dyDescent="0.2">
      <c r="Z1128" s="10">
        <f t="shared" si="34"/>
        <v>0</v>
      </c>
      <c r="AA1128" s="24" t="str">
        <f t="shared" si="35"/>
        <v/>
      </c>
    </row>
    <row r="1129" spans="26:27" x14ac:dyDescent="0.2">
      <c r="Z1129" s="10">
        <f t="shared" si="34"/>
        <v>0</v>
      </c>
      <c r="AA1129" s="24" t="str">
        <f t="shared" si="35"/>
        <v/>
      </c>
    </row>
    <row r="1130" spans="26:27" x14ac:dyDescent="0.2">
      <c r="Z1130" s="10">
        <f t="shared" si="34"/>
        <v>0</v>
      </c>
      <c r="AA1130" s="24" t="str">
        <f t="shared" si="35"/>
        <v/>
      </c>
    </row>
    <row r="1131" spans="26:27" x14ac:dyDescent="0.2">
      <c r="Z1131" s="10">
        <f t="shared" si="34"/>
        <v>0</v>
      </c>
      <c r="AA1131" s="24" t="str">
        <f t="shared" si="35"/>
        <v/>
      </c>
    </row>
    <row r="1132" spans="26:27" x14ac:dyDescent="0.2">
      <c r="Z1132" s="10">
        <f t="shared" si="34"/>
        <v>0</v>
      </c>
      <c r="AA1132" s="24" t="str">
        <f t="shared" si="35"/>
        <v/>
      </c>
    </row>
    <row r="1133" spans="26:27" x14ac:dyDescent="0.2">
      <c r="Z1133" s="10">
        <f t="shared" si="34"/>
        <v>0</v>
      </c>
      <c r="AA1133" s="24" t="str">
        <f t="shared" si="35"/>
        <v/>
      </c>
    </row>
    <row r="1134" spans="26:27" x14ac:dyDescent="0.2">
      <c r="Z1134" s="10">
        <f t="shared" si="34"/>
        <v>0</v>
      </c>
      <c r="AA1134" s="24" t="str">
        <f t="shared" si="35"/>
        <v/>
      </c>
    </row>
    <row r="1135" spans="26:27" x14ac:dyDescent="0.2">
      <c r="Z1135" s="10">
        <f t="shared" si="34"/>
        <v>0</v>
      </c>
      <c r="AA1135" s="24" t="str">
        <f t="shared" si="35"/>
        <v/>
      </c>
    </row>
    <row r="1136" spans="26:27" x14ac:dyDescent="0.2">
      <c r="Z1136" s="10">
        <f t="shared" si="34"/>
        <v>0</v>
      </c>
      <c r="AA1136" s="24" t="str">
        <f t="shared" si="35"/>
        <v/>
      </c>
    </row>
    <row r="1137" spans="26:27" x14ac:dyDescent="0.2">
      <c r="Z1137" s="10">
        <f t="shared" si="34"/>
        <v>0</v>
      </c>
      <c r="AA1137" s="24" t="str">
        <f t="shared" si="35"/>
        <v/>
      </c>
    </row>
    <row r="1138" spans="26:27" x14ac:dyDescent="0.2">
      <c r="Z1138" s="10">
        <f t="shared" si="34"/>
        <v>0</v>
      </c>
      <c r="AA1138" s="24" t="str">
        <f t="shared" si="35"/>
        <v/>
      </c>
    </row>
    <row r="1139" spans="26:27" x14ac:dyDescent="0.2">
      <c r="Z1139" s="10">
        <f t="shared" si="34"/>
        <v>0</v>
      </c>
      <c r="AA1139" s="24" t="str">
        <f t="shared" si="35"/>
        <v/>
      </c>
    </row>
    <row r="1140" spans="26:27" x14ac:dyDescent="0.2">
      <c r="Z1140" s="10">
        <f t="shared" si="34"/>
        <v>0</v>
      </c>
      <c r="AA1140" s="24" t="str">
        <f t="shared" si="35"/>
        <v/>
      </c>
    </row>
    <row r="1141" spans="26:27" x14ac:dyDescent="0.2">
      <c r="Z1141" s="10">
        <f t="shared" si="34"/>
        <v>0</v>
      </c>
      <c r="AA1141" s="24" t="str">
        <f t="shared" si="35"/>
        <v/>
      </c>
    </row>
    <row r="1142" spans="26:27" x14ac:dyDescent="0.2">
      <c r="Z1142" s="10">
        <f t="shared" si="34"/>
        <v>0</v>
      </c>
      <c r="AA1142" s="24" t="str">
        <f t="shared" si="35"/>
        <v/>
      </c>
    </row>
    <row r="1143" spans="26:27" x14ac:dyDescent="0.2">
      <c r="Z1143" s="10">
        <f t="shared" si="34"/>
        <v>0</v>
      </c>
      <c r="AA1143" s="24" t="str">
        <f t="shared" si="35"/>
        <v/>
      </c>
    </row>
    <row r="1144" spans="26:27" x14ac:dyDescent="0.2">
      <c r="Z1144" s="10">
        <f t="shared" si="34"/>
        <v>0</v>
      </c>
      <c r="AA1144" s="24" t="str">
        <f t="shared" si="35"/>
        <v/>
      </c>
    </row>
    <row r="1145" spans="26:27" x14ac:dyDescent="0.2">
      <c r="Z1145" s="10">
        <f t="shared" si="34"/>
        <v>0</v>
      </c>
      <c r="AA1145" s="24" t="str">
        <f t="shared" si="35"/>
        <v/>
      </c>
    </row>
    <row r="1146" spans="26:27" x14ac:dyDescent="0.2">
      <c r="Z1146" s="10">
        <f t="shared" si="34"/>
        <v>0</v>
      </c>
      <c r="AA1146" s="24" t="str">
        <f t="shared" si="35"/>
        <v/>
      </c>
    </row>
    <row r="1147" spans="26:27" x14ac:dyDescent="0.2">
      <c r="Z1147" s="10">
        <f t="shared" si="34"/>
        <v>0</v>
      </c>
      <c r="AA1147" s="24" t="str">
        <f t="shared" si="35"/>
        <v/>
      </c>
    </row>
    <row r="1148" spans="26:27" x14ac:dyDescent="0.2">
      <c r="Z1148" s="10">
        <f t="shared" si="34"/>
        <v>0</v>
      </c>
      <c r="AA1148" s="24" t="str">
        <f t="shared" si="35"/>
        <v/>
      </c>
    </row>
    <row r="1149" spans="26:27" x14ac:dyDescent="0.2">
      <c r="Z1149" s="10">
        <f t="shared" si="34"/>
        <v>0</v>
      </c>
      <c r="AA1149" s="24" t="str">
        <f t="shared" si="35"/>
        <v/>
      </c>
    </row>
    <row r="1150" spans="26:27" x14ac:dyDescent="0.2">
      <c r="Z1150" s="10">
        <f t="shared" si="34"/>
        <v>0</v>
      </c>
      <c r="AA1150" s="24" t="str">
        <f t="shared" si="35"/>
        <v/>
      </c>
    </row>
    <row r="1151" spans="26:27" x14ac:dyDescent="0.2">
      <c r="Z1151" s="10">
        <f t="shared" si="34"/>
        <v>0</v>
      </c>
      <c r="AA1151" s="24" t="str">
        <f t="shared" si="35"/>
        <v/>
      </c>
    </row>
    <row r="1152" spans="26:27" x14ac:dyDescent="0.2">
      <c r="Z1152" s="10">
        <f t="shared" si="34"/>
        <v>0</v>
      </c>
      <c r="AA1152" s="24" t="str">
        <f t="shared" si="35"/>
        <v/>
      </c>
    </row>
    <row r="1153" spans="26:27" x14ac:dyDescent="0.2">
      <c r="Z1153" s="10">
        <f t="shared" si="34"/>
        <v>0</v>
      </c>
      <c r="AA1153" s="24" t="str">
        <f t="shared" si="35"/>
        <v/>
      </c>
    </row>
    <row r="1154" spans="26:27" x14ac:dyDescent="0.2">
      <c r="Z1154" s="10">
        <f t="shared" si="34"/>
        <v>0</v>
      </c>
      <c r="AA1154" s="24" t="str">
        <f t="shared" si="35"/>
        <v/>
      </c>
    </row>
    <row r="1155" spans="26:27" x14ac:dyDescent="0.2">
      <c r="Z1155" s="10">
        <f t="shared" si="34"/>
        <v>0</v>
      </c>
      <c r="AA1155" s="24" t="str">
        <f t="shared" si="35"/>
        <v/>
      </c>
    </row>
    <row r="1156" spans="26:27" x14ac:dyDescent="0.2">
      <c r="Z1156" s="10">
        <f t="shared" si="34"/>
        <v>0</v>
      </c>
      <c r="AA1156" s="24" t="str">
        <f t="shared" si="35"/>
        <v/>
      </c>
    </row>
    <row r="1157" spans="26:27" x14ac:dyDescent="0.2">
      <c r="Z1157" s="10">
        <f t="shared" ref="Z1157:Z1220" si="36">IF(G1157="PLUM", "Plumbing", IF(G1157="PIPE", "Piping", IF(G1157="HVAC", "Sheet Metal", G1157)))</f>
        <v>0</v>
      </c>
      <c r="AA1157" s="24" t="str">
        <f t="shared" ref="AA1157:AA1220" si="37">IF(ISBLANK(B1157), "", $A$2)</f>
        <v/>
      </c>
    </row>
    <row r="1158" spans="26:27" x14ac:dyDescent="0.2">
      <c r="Z1158" s="10">
        <f t="shared" si="36"/>
        <v>0</v>
      </c>
      <c r="AA1158" s="24" t="str">
        <f t="shared" si="37"/>
        <v/>
      </c>
    </row>
    <row r="1159" spans="26:27" x14ac:dyDescent="0.2">
      <c r="Z1159" s="10">
        <f t="shared" si="36"/>
        <v>0</v>
      </c>
      <c r="AA1159" s="24" t="str">
        <f t="shared" si="37"/>
        <v/>
      </c>
    </row>
    <row r="1160" spans="26:27" x14ac:dyDescent="0.2">
      <c r="Z1160" s="10">
        <f t="shared" si="36"/>
        <v>0</v>
      </c>
      <c r="AA1160" s="24" t="str">
        <f t="shared" si="37"/>
        <v/>
      </c>
    </row>
    <row r="1161" spans="26:27" x14ac:dyDescent="0.2">
      <c r="Z1161" s="10">
        <f t="shared" si="36"/>
        <v>0</v>
      </c>
      <c r="AA1161" s="24" t="str">
        <f t="shared" si="37"/>
        <v/>
      </c>
    </row>
    <row r="1162" spans="26:27" x14ac:dyDescent="0.2">
      <c r="Z1162" s="10">
        <f t="shared" si="36"/>
        <v>0</v>
      </c>
      <c r="AA1162" s="24" t="str">
        <f t="shared" si="37"/>
        <v/>
      </c>
    </row>
    <row r="1163" spans="26:27" x14ac:dyDescent="0.2">
      <c r="Z1163" s="10">
        <f t="shared" si="36"/>
        <v>0</v>
      </c>
      <c r="AA1163" s="24" t="str">
        <f t="shared" si="37"/>
        <v/>
      </c>
    </row>
    <row r="1164" spans="26:27" x14ac:dyDescent="0.2">
      <c r="Z1164" s="10">
        <f t="shared" si="36"/>
        <v>0</v>
      </c>
      <c r="AA1164" s="24" t="str">
        <f t="shared" si="37"/>
        <v/>
      </c>
    </row>
    <row r="1165" spans="26:27" x14ac:dyDescent="0.2">
      <c r="Z1165" s="10">
        <f t="shared" si="36"/>
        <v>0</v>
      </c>
      <c r="AA1165" s="24" t="str">
        <f t="shared" si="37"/>
        <v/>
      </c>
    </row>
    <row r="1166" spans="26:27" x14ac:dyDescent="0.2">
      <c r="Z1166" s="10">
        <f t="shared" si="36"/>
        <v>0</v>
      </c>
      <c r="AA1166" s="24" t="str">
        <f t="shared" si="37"/>
        <v/>
      </c>
    </row>
    <row r="1167" spans="26:27" x14ac:dyDescent="0.2">
      <c r="Z1167" s="10">
        <f t="shared" si="36"/>
        <v>0</v>
      </c>
      <c r="AA1167" s="24" t="str">
        <f t="shared" si="37"/>
        <v/>
      </c>
    </row>
    <row r="1168" spans="26:27" x14ac:dyDescent="0.2">
      <c r="Z1168" s="10">
        <f t="shared" si="36"/>
        <v>0</v>
      </c>
      <c r="AA1168" s="24" t="str">
        <f t="shared" si="37"/>
        <v/>
      </c>
    </row>
    <row r="1169" spans="26:27" x14ac:dyDescent="0.2">
      <c r="Z1169" s="10">
        <f t="shared" si="36"/>
        <v>0</v>
      </c>
      <c r="AA1169" s="24" t="str">
        <f t="shared" si="37"/>
        <v/>
      </c>
    </row>
    <row r="1170" spans="26:27" x14ac:dyDescent="0.2">
      <c r="Z1170" s="10">
        <f t="shared" si="36"/>
        <v>0</v>
      </c>
      <c r="AA1170" s="24" t="str">
        <f t="shared" si="37"/>
        <v/>
      </c>
    </row>
    <row r="1171" spans="26:27" x14ac:dyDescent="0.2">
      <c r="Z1171" s="10">
        <f t="shared" si="36"/>
        <v>0</v>
      </c>
      <c r="AA1171" s="24" t="str">
        <f t="shared" si="37"/>
        <v/>
      </c>
    </row>
    <row r="1172" spans="26:27" x14ac:dyDescent="0.2">
      <c r="Z1172" s="10">
        <f t="shared" si="36"/>
        <v>0</v>
      </c>
      <c r="AA1172" s="24" t="str">
        <f t="shared" si="37"/>
        <v/>
      </c>
    </row>
    <row r="1173" spans="26:27" x14ac:dyDescent="0.2">
      <c r="Z1173" s="10">
        <f t="shared" si="36"/>
        <v>0</v>
      </c>
      <c r="AA1173" s="24" t="str">
        <f t="shared" si="37"/>
        <v/>
      </c>
    </row>
    <row r="1174" spans="26:27" x14ac:dyDescent="0.2">
      <c r="Z1174" s="10">
        <f t="shared" si="36"/>
        <v>0</v>
      </c>
      <c r="AA1174" s="24" t="str">
        <f t="shared" si="37"/>
        <v/>
      </c>
    </row>
    <row r="1175" spans="26:27" x14ac:dyDescent="0.2">
      <c r="Z1175" s="10">
        <f t="shared" si="36"/>
        <v>0</v>
      </c>
      <c r="AA1175" s="24" t="str">
        <f t="shared" si="37"/>
        <v/>
      </c>
    </row>
    <row r="1176" spans="26:27" x14ac:dyDescent="0.2">
      <c r="Z1176" s="10">
        <f t="shared" si="36"/>
        <v>0</v>
      </c>
      <c r="AA1176" s="24" t="str">
        <f t="shared" si="37"/>
        <v/>
      </c>
    </row>
    <row r="1177" spans="26:27" x14ac:dyDescent="0.2">
      <c r="Z1177" s="10">
        <f t="shared" si="36"/>
        <v>0</v>
      </c>
      <c r="AA1177" s="24" t="str">
        <f t="shared" si="37"/>
        <v/>
      </c>
    </row>
    <row r="1178" spans="26:27" x14ac:dyDescent="0.2">
      <c r="Z1178" s="10">
        <f t="shared" si="36"/>
        <v>0</v>
      </c>
      <c r="AA1178" s="24" t="str">
        <f t="shared" si="37"/>
        <v/>
      </c>
    </row>
    <row r="1179" spans="26:27" x14ac:dyDescent="0.2">
      <c r="Z1179" s="10">
        <f t="shared" si="36"/>
        <v>0</v>
      </c>
      <c r="AA1179" s="24" t="str">
        <f t="shared" si="37"/>
        <v/>
      </c>
    </row>
    <row r="1180" spans="26:27" x14ac:dyDescent="0.2">
      <c r="Z1180" s="10">
        <f t="shared" si="36"/>
        <v>0</v>
      </c>
      <c r="AA1180" s="24" t="str">
        <f t="shared" si="37"/>
        <v/>
      </c>
    </row>
    <row r="1181" spans="26:27" x14ac:dyDescent="0.2">
      <c r="Z1181" s="10">
        <f t="shared" si="36"/>
        <v>0</v>
      </c>
      <c r="AA1181" s="24" t="str">
        <f t="shared" si="37"/>
        <v/>
      </c>
    </row>
    <row r="1182" spans="26:27" x14ac:dyDescent="0.2">
      <c r="Z1182" s="10">
        <f t="shared" si="36"/>
        <v>0</v>
      </c>
      <c r="AA1182" s="24" t="str">
        <f t="shared" si="37"/>
        <v/>
      </c>
    </row>
    <row r="1183" spans="26:27" x14ac:dyDescent="0.2">
      <c r="Z1183" s="10">
        <f t="shared" si="36"/>
        <v>0</v>
      </c>
      <c r="AA1183" s="24" t="str">
        <f t="shared" si="37"/>
        <v/>
      </c>
    </row>
    <row r="1184" spans="26:27" x14ac:dyDescent="0.2">
      <c r="Z1184" s="10">
        <f t="shared" si="36"/>
        <v>0</v>
      </c>
      <c r="AA1184" s="24" t="str">
        <f t="shared" si="37"/>
        <v/>
      </c>
    </row>
    <row r="1185" spans="26:27" x14ac:dyDescent="0.2">
      <c r="Z1185" s="10">
        <f t="shared" si="36"/>
        <v>0</v>
      </c>
      <c r="AA1185" s="24" t="str">
        <f t="shared" si="37"/>
        <v/>
      </c>
    </row>
    <row r="1186" spans="26:27" x14ac:dyDescent="0.2">
      <c r="Z1186" s="10">
        <f t="shared" si="36"/>
        <v>0</v>
      </c>
      <c r="AA1186" s="24" t="str">
        <f t="shared" si="37"/>
        <v/>
      </c>
    </row>
    <row r="1187" spans="26:27" x14ac:dyDescent="0.2">
      <c r="Z1187" s="10">
        <f t="shared" si="36"/>
        <v>0</v>
      </c>
      <c r="AA1187" s="24" t="str">
        <f t="shared" si="37"/>
        <v/>
      </c>
    </row>
    <row r="1188" spans="26:27" x14ac:dyDescent="0.2">
      <c r="Z1188" s="10">
        <f t="shared" si="36"/>
        <v>0</v>
      </c>
      <c r="AA1188" s="24" t="str">
        <f t="shared" si="37"/>
        <v/>
      </c>
    </row>
    <row r="1189" spans="26:27" x14ac:dyDescent="0.2">
      <c r="Z1189" s="10">
        <f t="shared" si="36"/>
        <v>0</v>
      </c>
      <c r="AA1189" s="24" t="str">
        <f t="shared" si="37"/>
        <v/>
      </c>
    </row>
    <row r="1190" spans="26:27" x14ac:dyDescent="0.2">
      <c r="Z1190" s="10">
        <f t="shared" si="36"/>
        <v>0</v>
      </c>
      <c r="AA1190" s="24" t="str">
        <f t="shared" si="37"/>
        <v/>
      </c>
    </row>
    <row r="1191" spans="26:27" x14ac:dyDescent="0.2">
      <c r="Z1191" s="10">
        <f t="shared" si="36"/>
        <v>0</v>
      </c>
      <c r="AA1191" s="24" t="str">
        <f t="shared" si="37"/>
        <v/>
      </c>
    </row>
    <row r="1192" spans="26:27" x14ac:dyDescent="0.2">
      <c r="Z1192" s="10">
        <f t="shared" si="36"/>
        <v>0</v>
      </c>
      <c r="AA1192" s="24" t="str">
        <f t="shared" si="37"/>
        <v/>
      </c>
    </row>
    <row r="1193" spans="26:27" x14ac:dyDescent="0.2">
      <c r="Z1193" s="10">
        <f t="shared" si="36"/>
        <v>0</v>
      </c>
      <c r="AA1193" s="24" t="str">
        <f t="shared" si="37"/>
        <v/>
      </c>
    </row>
    <row r="1194" spans="26:27" x14ac:dyDescent="0.2">
      <c r="Z1194" s="10">
        <f t="shared" si="36"/>
        <v>0</v>
      </c>
      <c r="AA1194" s="24" t="str">
        <f t="shared" si="37"/>
        <v/>
      </c>
    </row>
    <row r="1195" spans="26:27" x14ac:dyDescent="0.2">
      <c r="Z1195" s="10">
        <f t="shared" si="36"/>
        <v>0</v>
      </c>
      <c r="AA1195" s="24" t="str">
        <f t="shared" si="37"/>
        <v/>
      </c>
    </row>
    <row r="1196" spans="26:27" x14ac:dyDescent="0.2">
      <c r="Z1196" s="10">
        <f t="shared" si="36"/>
        <v>0</v>
      </c>
      <c r="AA1196" s="24" t="str">
        <f t="shared" si="37"/>
        <v/>
      </c>
    </row>
    <row r="1197" spans="26:27" x14ac:dyDescent="0.2">
      <c r="Z1197" s="10">
        <f t="shared" si="36"/>
        <v>0</v>
      </c>
      <c r="AA1197" s="24" t="str">
        <f t="shared" si="37"/>
        <v/>
      </c>
    </row>
    <row r="1198" spans="26:27" x14ac:dyDescent="0.2">
      <c r="Z1198" s="10">
        <f t="shared" si="36"/>
        <v>0</v>
      </c>
      <c r="AA1198" s="24" t="str">
        <f t="shared" si="37"/>
        <v/>
      </c>
    </row>
    <row r="1199" spans="26:27" x14ac:dyDescent="0.2">
      <c r="Z1199" s="10">
        <f t="shared" si="36"/>
        <v>0</v>
      </c>
      <c r="AA1199" s="24" t="str">
        <f t="shared" si="37"/>
        <v/>
      </c>
    </row>
    <row r="1200" spans="26:27" x14ac:dyDescent="0.2">
      <c r="Z1200" s="10">
        <f t="shared" si="36"/>
        <v>0</v>
      </c>
      <c r="AA1200" s="24" t="str">
        <f t="shared" si="37"/>
        <v/>
      </c>
    </row>
    <row r="1201" spans="26:27" x14ac:dyDescent="0.2">
      <c r="Z1201" s="10">
        <f t="shared" si="36"/>
        <v>0</v>
      </c>
      <c r="AA1201" s="24" t="str">
        <f t="shared" si="37"/>
        <v/>
      </c>
    </row>
    <row r="1202" spans="26:27" x14ac:dyDescent="0.2">
      <c r="Z1202" s="10">
        <f t="shared" si="36"/>
        <v>0</v>
      </c>
      <c r="AA1202" s="24" t="str">
        <f t="shared" si="37"/>
        <v/>
      </c>
    </row>
    <row r="1203" spans="26:27" x14ac:dyDescent="0.2">
      <c r="Z1203" s="10">
        <f t="shared" si="36"/>
        <v>0</v>
      </c>
      <c r="AA1203" s="24" t="str">
        <f t="shared" si="37"/>
        <v/>
      </c>
    </row>
    <row r="1204" spans="26:27" x14ac:dyDescent="0.2">
      <c r="Z1204" s="10">
        <f t="shared" si="36"/>
        <v>0</v>
      </c>
      <c r="AA1204" s="24" t="str">
        <f t="shared" si="37"/>
        <v/>
      </c>
    </row>
    <row r="1205" spans="26:27" x14ac:dyDescent="0.2">
      <c r="Z1205" s="10">
        <f t="shared" si="36"/>
        <v>0</v>
      </c>
      <c r="AA1205" s="24" t="str">
        <f t="shared" si="37"/>
        <v/>
      </c>
    </row>
    <row r="1206" spans="26:27" x14ac:dyDescent="0.2">
      <c r="Z1206" s="10">
        <f t="shared" si="36"/>
        <v>0</v>
      </c>
      <c r="AA1206" s="24" t="str">
        <f t="shared" si="37"/>
        <v/>
      </c>
    </row>
    <row r="1207" spans="26:27" x14ac:dyDescent="0.2">
      <c r="Z1207" s="10">
        <f t="shared" si="36"/>
        <v>0</v>
      </c>
      <c r="AA1207" s="24" t="str">
        <f t="shared" si="37"/>
        <v/>
      </c>
    </row>
    <row r="1208" spans="26:27" x14ac:dyDescent="0.2">
      <c r="Z1208" s="10">
        <f t="shared" si="36"/>
        <v>0</v>
      </c>
      <c r="AA1208" s="24" t="str">
        <f t="shared" si="37"/>
        <v/>
      </c>
    </row>
    <row r="1209" spans="26:27" x14ac:dyDescent="0.2">
      <c r="Z1209" s="10">
        <f t="shared" si="36"/>
        <v>0</v>
      </c>
      <c r="AA1209" s="24" t="str">
        <f t="shared" si="37"/>
        <v/>
      </c>
    </row>
    <row r="1210" spans="26:27" x14ac:dyDescent="0.2">
      <c r="Z1210" s="10">
        <f t="shared" si="36"/>
        <v>0</v>
      </c>
      <c r="AA1210" s="24" t="str">
        <f t="shared" si="37"/>
        <v/>
      </c>
    </row>
    <row r="1211" spans="26:27" x14ac:dyDescent="0.2">
      <c r="Z1211" s="10">
        <f t="shared" si="36"/>
        <v>0</v>
      </c>
      <c r="AA1211" s="24" t="str">
        <f t="shared" si="37"/>
        <v/>
      </c>
    </row>
    <row r="1212" spans="26:27" x14ac:dyDescent="0.2">
      <c r="Z1212" s="10">
        <f t="shared" si="36"/>
        <v>0</v>
      </c>
      <c r="AA1212" s="24" t="str">
        <f t="shared" si="37"/>
        <v/>
      </c>
    </row>
    <row r="1213" spans="26:27" x14ac:dyDescent="0.2">
      <c r="Z1213" s="10">
        <f t="shared" si="36"/>
        <v>0</v>
      </c>
      <c r="AA1213" s="24" t="str">
        <f t="shared" si="37"/>
        <v/>
      </c>
    </row>
    <row r="1214" spans="26:27" x14ac:dyDescent="0.2">
      <c r="Z1214" s="10">
        <f t="shared" si="36"/>
        <v>0</v>
      </c>
      <c r="AA1214" s="24" t="str">
        <f t="shared" si="37"/>
        <v/>
      </c>
    </row>
    <row r="1215" spans="26:27" x14ac:dyDescent="0.2">
      <c r="Z1215" s="10">
        <f t="shared" si="36"/>
        <v>0</v>
      </c>
      <c r="AA1215" s="24" t="str">
        <f t="shared" si="37"/>
        <v/>
      </c>
    </row>
    <row r="1216" spans="26:27" x14ac:dyDescent="0.2">
      <c r="Z1216" s="10">
        <f t="shared" si="36"/>
        <v>0</v>
      </c>
      <c r="AA1216" s="24" t="str">
        <f t="shared" si="37"/>
        <v/>
      </c>
    </row>
    <row r="1217" spans="26:27" x14ac:dyDescent="0.2">
      <c r="Z1217" s="10">
        <f t="shared" si="36"/>
        <v>0</v>
      </c>
      <c r="AA1217" s="24" t="str">
        <f t="shared" si="37"/>
        <v/>
      </c>
    </row>
    <row r="1218" spans="26:27" x14ac:dyDescent="0.2">
      <c r="Z1218" s="10">
        <f t="shared" si="36"/>
        <v>0</v>
      </c>
      <c r="AA1218" s="24" t="str">
        <f t="shared" si="37"/>
        <v/>
      </c>
    </row>
    <row r="1219" spans="26:27" x14ac:dyDescent="0.2">
      <c r="Z1219" s="10">
        <f t="shared" si="36"/>
        <v>0</v>
      </c>
      <c r="AA1219" s="24" t="str">
        <f t="shared" si="37"/>
        <v/>
      </c>
    </row>
    <row r="1220" spans="26:27" x14ac:dyDescent="0.2">
      <c r="Z1220" s="10">
        <f t="shared" si="36"/>
        <v>0</v>
      </c>
      <c r="AA1220" s="24" t="str">
        <f t="shared" si="37"/>
        <v/>
      </c>
    </row>
    <row r="1221" spans="26:27" x14ac:dyDescent="0.2">
      <c r="Z1221" s="10">
        <f t="shared" ref="Z1221:Z1284" si="38">IF(G1221="PLUM", "Plumbing", IF(G1221="PIPE", "Piping", IF(G1221="HVAC", "Sheet Metal", G1221)))</f>
        <v>0</v>
      </c>
      <c r="AA1221" s="24" t="str">
        <f t="shared" ref="AA1221:AA1284" si="39">IF(ISBLANK(B1221), "", $A$2)</f>
        <v/>
      </c>
    </row>
    <row r="1222" spans="26:27" x14ac:dyDescent="0.2">
      <c r="Z1222" s="10">
        <f t="shared" si="38"/>
        <v>0</v>
      </c>
      <c r="AA1222" s="24" t="str">
        <f t="shared" si="39"/>
        <v/>
      </c>
    </row>
    <row r="1223" spans="26:27" x14ac:dyDescent="0.2">
      <c r="Z1223" s="10">
        <f t="shared" si="38"/>
        <v>0</v>
      </c>
      <c r="AA1223" s="24" t="str">
        <f t="shared" si="39"/>
        <v/>
      </c>
    </row>
    <row r="1224" spans="26:27" x14ac:dyDescent="0.2">
      <c r="Z1224" s="10">
        <f t="shared" si="38"/>
        <v>0</v>
      </c>
      <c r="AA1224" s="24" t="str">
        <f t="shared" si="39"/>
        <v/>
      </c>
    </row>
    <row r="1225" spans="26:27" x14ac:dyDescent="0.2">
      <c r="Z1225" s="10">
        <f t="shared" si="38"/>
        <v>0</v>
      </c>
      <c r="AA1225" s="24" t="str">
        <f t="shared" si="39"/>
        <v/>
      </c>
    </row>
    <row r="1226" spans="26:27" x14ac:dyDescent="0.2">
      <c r="Z1226" s="10">
        <f t="shared" si="38"/>
        <v>0</v>
      </c>
      <c r="AA1226" s="24" t="str">
        <f t="shared" si="39"/>
        <v/>
      </c>
    </row>
    <row r="1227" spans="26:27" x14ac:dyDescent="0.2">
      <c r="Z1227" s="10">
        <f t="shared" si="38"/>
        <v>0</v>
      </c>
      <c r="AA1227" s="24" t="str">
        <f t="shared" si="39"/>
        <v/>
      </c>
    </row>
    <row r="1228" spans="26:27" x14ac:dyDescent="0.2">
      <c r="Z1228" s="10">
        <f t="shared" si="38"/>
        <v>0</v>
      </c>
      <c r="AA1228" s="24" t="str">
        <f t="shared" si="39"/>
        <v/>
      </c>
    </row>
    <row r="1229" spans="26:27" x14ac:dyDescent="0.2">
      <c r="Z1229" s="10">
        <f t="shared" si="38"/>
        <v>0</v>
      </c>
      <c r="AA1229" s="24" t="str">
        <f t="shared" si="39"/>
        <v/>
      </c>
    </row>
    <row r="1230" spans="26:27" x14ac:dyDescent="0.2">
      <c r="Z1230" s="10">
        <f t="shared" si="38"/>
        <v>0</v>
      </c>
      <c r="AA1230" s="24" t="str">
        <f t="shared" si="39"/>
        <v/>
      </c>
    </row>
    <row r="1231" spans="26:27" x14ac:dyDescent="0.2">
      <c r="Z1231" s="10">
        <f t="shared" si="38"/>
        <v>0</v>
      </c>
      <c r="AA1231" s="24" t="str">
        <f t="shared" si="39"/>
        <v/>
      </c>
    </row>
    <row r="1232" spans="26:27" x14ac:dyDescent="0.2">
      <c r="Z1232" s="10">
        <f t="shared" si="38"/>
        <v>0</v>
      </c>
      <c r="AA1232" s="24" t="str">
        <f t="shared" si="39"/>
        <v/>
      </c>
    </row>
    <row r="1233" spans="26:27" x14ac:dyDescent="0.2">
      <c r="Z1233" s="10">
        <f t="shared" si="38"/>
        <v>0</v>
      </c>
      <c r="AA1233" s="24" t="str">
        <f t="shared" si="39"/>
        <v/>
      </c>
    </row>
    <row r="1234" spans="26:27" x14ac:dyDescent="0.2">
      <c r="Z1234" s="10">
        <f t="shared" si="38"/>
        <v>0</v>
      </c>
      <c r="AA1234" s="24" t="str">
        <f t="shared" si="39"/>
        <v/>
      </c>
    </row>
    <row r="1235" spans="26:27" x14ac:dyDescent="0.2">
      <c r="Z1235" s="10">
        <f t="shared" si="38"/>
        <v>0</v>
      </c>
      <c r="AA1235" s="24" t="str">
        <f t="shared" si="39"/>
        <v/>
      </c>
    </row>
    <row r="1236" spans="26:27" x14ac:dyDescent="0.2">
      <c r="Z1236" s="10">
        <f t="shared" si="38"/>
        <v>0</v>
      </c>
      <c r="AA1236" s="24" t="str">
        <f t="shared" si="39"/>
        <v/>
      </c>
    </row>
    <row r="1237" spans="26:27" x14ac:dyDescent="0.2">
      <c r="Z1237" s="10">
        <f t="shared" si="38"/>
        <v>0</v>
      </c>
      <c r="AA1237" s="24" t="str">
        <f t="shared" si="39"/>
        <v/>
      </c>
    </row>
    <row r="1238" spans="26:27" x14ac:dyDescent="0.2">
      <c r="Z1238" s="10">
        <f t="shared" si="38"/>
        <v>0</v>
      </c>
      <c r="AA1238" s="24" t="str">
        <f t="shared" si="39"/>
        <v/>
      </c>
    </row>
    <row r="1239" spans="26:27" x14ac:dyDescent="0.2">
      <c r="Z1239" s="10">
        <f t="shared" si="38"/>
        <v>0</v>
      </c>
      <c r="AA1239" s="24" t="str">
        <f t="shared" si="39"/>
        <v/>
      </c>
    </row>
    <row r="1240" spans="26:27" x14ac:dyDescent="0.2">
      <c r="Z1240" s="10">
        <f t="shared" si="38"/>
        <v>0</v>
      </c>
      <c r="AA1240" s="24" t="str">
        <f t="shared" si="39"/>
        <v/>
      </c>
    </row>
    <row r="1241" spans="26:27" x14ac:dyDescent="0.2">
      <c r="Z1241" s="10">
        <f t="shared" si="38"/>
        <v>0</v>
      </c>
      <c r="AA1241" s="24" t="str">
        <f t="shared" si="39"/>
        <v/>
      </c>
    </row>
    <row r="1242" spans="26:27" x14ac:dyDescent="0.2">
      <c r="Z1242" s="10">
        <f t="shared" si="38"/>
        <v>0</v>
      </c>
      <c r="AA1242" s="24" t="str">
        <f t="shared" si="39"/>
        <v/>
      </c>
    </row>
    <row r="1243" spans="26:27" x14ac:dyDescent="0.2">
      <c r="Z1243" s="10">
        <f t="shared" si="38"/>
        <v>0</v>
      </c>
      <c r="AA1243" s="24" t="str">
        <f t="shared" si="39"/>
        <v/>
      </c>
    </row>
    <row r="1244" spans="26:27" x14ac:dyDescent="0.2">
      <c r="Z1244" s="10">
        <f t="shared" si="38"/>
        <v>0</v>
      </c>
      <c r="AA1244" s="24" t="str">
        <f t="shared" si="39"/>
        <v/>
      </c>
    </row>
    <row r="1245" spans="26:27" x14ac:dyDescent="0.2">
      <c r="Z1245" s="10">
        <f t="shared" si="38"/>
        <v>0</v>
      </c>
      <c r="AA1245" s="24" t="str">
        <f t="shared" si="39"/>
        <v/>
      </c>
    </row>
    <row r="1246" spans="26:27" x14ac:dyDescent="0.2">
      <c r="Z1246" s="10">
        <f t="shared" si="38"/>
        <v>0</v>
      </c>
      <c r="AA1246" s="24" t="str">
        <f t="shared" si="39"/>
        <v/>
      </c>
    </row>
    <row r="1247" spans="26:27" x14ac:dyDescent="0.2">
      <c r="Z1247" s="10">
        <f t="shared" si="38"/>
        <v>0</v>
      </c>
      <c r="AA1247" s="24" t="str">
        <f t="shared" si="39"/>
        <v/>
      </c>
    </row>
    <row r="1248" spans="26:27" x14ac:dyDescent="0.2">
      <c r="Z1248" s="10">
        <f t="shared" si="38"/>
        <v>0</v>
      </c>
      <c r="AA1248" s="24" t="str">
        <f t="shared" si="39"/>
        <v/>
      </c>
    </row>
    <row r="1249" spans="26:27" x14ac:dyDescent="0.2">
      <c r="Z1249" s="10">
        <f t="shared" si="38"/>
        <v>0</v>
      </c>
      <c r="AA1249" s="24" t="str">
        <f t="shared" si="39"/>
        <v/>
      </c>
    </row>
    <row r="1250" spans="26:27" x14ac:dyDescent="0.2">
      <c r="Z1250" s="10">
        <f t="shared" si="38"/>
        <v>0</v>
      </c>
      <c r="AA1250" s="24" t="str">
        <f t="shared" si="39"/>
        <v/>
      </c>
    </row>
    <row r="1251" spans="26:27" x14ac:dyDescent="0.2">
      <c r="Z1251" s="10">
        <f t="shared" si="38"/>
        <v>0</v>
      </c>
      <c r="AA1251" s="24" t="str">
        <f t="shared" si="39"/>
        <v/>
      </c>
    </row>
    <row r="1252" spans="26:27" x14ac:dyDescent="0.2">
      <c r="Z1252" s="10">
        <f t="shared" si="38"/>
        <v>0</v>
      </c>
      <c r="AA1252" s="24" t="str">
        <f t="shared" si="39"/>
        <v/>
      </c>
    </row>
    <row r="1253" spans="26:27" x14ac:dyDescent="0.2">
      <c r="Z1253" s="10">
        <f t="shared" si="38"/>
        <v>0</v>
      </c>
      <c r="AA1253" s="24" t="str">
        <f t="shared" si="39"/>
        <v/>
      </c>
    </row>
    <row r="1254" spans="26:27" x14ac:dyDescent="0.2">
      <c r="Z1254" s="10">
        <f t="shared" si="38"/>
        <v>0</v>
      </c>
      <c r="AA1254" s="24" t="str">
        <f t="shared" si="39"/>
        <v/>
      </c>
    </row>
    <row r="1255" spans="26:27" x14ac:dyDescent="0.2">
      <c r="Z1255" s="10">
        <f t="shared" si="38"/>
        <v>0</v>
      </c>
      <c r="AA1255" s="24" t="str">
        <f t="shared" si="39"/>
        <v/>
      </c>
    </row>
    <row r="1256" spans="26:27" x14ac:dyDescent="0.2">
      <c r="Z1256" s="10">
        <f t="shared" si="38"/>
        <v>0</v>
      </c>
      <c r="AA1256" s="24" t="str">
        <f t="shared" si="39"/>
        <v/>
      </c>
    </row>
    <row r="1257" spans="26:27" x14ac:dyDescent="0.2">
      <c r="Z1257" s="10">
        <f t="shared" si="38"/>
        <v>0</v>
      </c>
      <c r="AA1257" s="24" t="str">
        <f t="shared" si="39"/>
        <v/>
      </c>
    </row>
    <row r="1258" spans="26:27" x14ac:dyDescent="0.2">
      <c r="Z1258" s="10">
        <f t="shared" si="38"/>
        <v>0</v>
      </c>
      <c r="AA1258" s="24" t="str">
        <f t="shared" si="39"/>
        <v/>
      </c>
    </row>
    <row r="1259" spans="26:27" x14ac:dyDescent="0.2">
      <c r="Z1259" s="10">
        <f t="shared" si="38"/>
        <v>0</v>
      </c>
      <c r="AA1259" s="24" t="str">
        <f t="shared" si="39"/>
        <v/>
      </c>
    </row>
    <row r="1260" spans="26:27" x14ac:dyDescent="0.2">
      <c r="Z1260" s="10">
        <f t="shared" si="38"/>
        <v>0</v>
      </c>
      <c r="AA1260" s="24" t="str">
        <f t="shared" si="39"/>
        <v/>
      </c>
    </row>
    <row r="1261" spans="26:27" x14ac:dyDescent="0.2">
      <c r="Z1261" s="10">
        <f t="shared" si="38"/>
        <v>0</v>
      </c>
      <c r="AA1261" s="24" t="str">
        <f t="shared" si="39"/>
        <v/>
      </c>
    </row>
    <row r="1262" spans="26:27" x14ac:dyDescent="0.2">
      <c r="Z1262" s="10">
        <f t="shared" si="38"/>
        <v>0</v>
      </c>
      <c r="AA1262" s="24" t="str">
        <f t="shared" si="39"/>
        <v/>
      </c>
    </row>
    <row r="1263" spans="26:27" x14ac:dyDescent="0.2">
      <c r="Z1263" s="10">
        <f t="shared" si="38"/>
        <v>0</v>
      </c>
      <c r="AA1263" s="24" t="str">
        <f t="shared" si="39"/>
        <v/>
      </c>
    </row>
    <row r="1264" spans="26:27" x14ac:dyDescent="0.2">
      <c r="Z1264" s="10">
        <f t="shared" si="38"/>
        <v>0</v>
      </c>
      <c r="AA1264" s="24" t="str">
        <f t="shared" si="39"/>
        <v/>
      </c>
    </row>
    <row r="1265" spans="26:27" x14ac:dyDescent="0.2">
      <c r="Z1265" s="10">
        <f t="shared" si="38"/>
        <v>0</v>
      </c>
      <c r="AA1265" s="24" t="str">
        <f t="shared" si="39"/>
        <v/>
      </c>
    </row>
    <row r="1266" spans="26:27" x14ac:dyDescent="0.2">
      <c r="Z1266" s="10">
        <f t="shared" si="38"/>
        <v>0</v>
      </c>
      <c r="AA1266" s="24" t="str">
        <f t="shared" si="39"/>
        <v/>
      </c>
    </row>
    <row r="1267" spans="26:27" x14ac:dyDescent="0.2">
      <c r="Z1267" s="10">
        <f t="shared" si="38"/>
        <v>0</v>
      </c>
      <c r="AA1267" s="24" t="str">
        <f t="shared" si="39"/>
        <v/>
      </c>
    </row>
    <row r="1268" spans="26:27" x14ac:dyDescent="0.2">
      <c r="Z1268" s="10">
        <f t="shared" si="38"/>
        <v>0</v>
      </c>
      <c r="AA1268" s="24" t="str">
        <f t="shared" si="39"/>
        <v/>
      </c>
    </row>
    <row r="1269" spans="26:27" x14ac:dyDescent="0.2">
      <c r="Z1269" s="10">
        <f t="shared" si="38"/>
        <v>0</v>
      </c>
      <c r="AA1269" s="24" t="str">
        <f t="shared" si="39"/>
        <v/>
      </c>
    </row>
    <row r="1270" spans="26:27" x14ac:dyDescent="0.2">
      <c r="Z1270" s="10">
        <f t="shared" si="38"/>
        <v>0</v>
      </c>
      <c r="AA1270" s="24" t="str">
        <f t="shared" si="39"/>
        <v/>
      </c>
    </row>
    <row r="1271" spans="26:27" x14ac:dyDescent="0.2">
      <c r="Z1271" s="10">
        <f t="shared" si="38"/>
        <v>0</v>
      </c>
      <c r="AA1271" s="24" t="str">
        <f t="shared" si="39"/>
        <v/>
      </c>
    </row>
    <row r="1272" spans="26:27" x14ac:dyDescent="0.2">
      <c r="Z1272" s="10">
        <f t="shared" si="38"/>
        <v>0</v>
      </c>
      <c r="AA1272" s="24" t="str">
        <f t="shared" si="39"/>
        <v/>
      </c>
    </row>
    <row r="1273" spans="26:27" x14ac:dyDescent="0.2">
      <c r="Z1273" s="10">
        <f t="shared" si="38"/>
        <v>0</v>
      </c>
      <c r="AA1273" s="24" t="str">
        <f t="shared" si="39"/>
        <v/>
      </c>
    </row>
    <row r="1274" spans="26:27" x14ac:dyDescent="0.2">
      <c r="Z1274" s="10">
        <f t="shared" si="38"/>
        <v>0</v>
      </c>
      <c r="AA1274" s="24" t="str">
        <f t="shared" si="39"/>
        <v/>
      </c>
    </row>
    <row r="1275" spans="26:27" x14ac:dyDescent="0.2">
      <c r="Z1275" s="10">
        <f t="shared" si="38"/>
        <v>0</v>
      </c>
      <c r="AA1275" s="24" t="str">
        <f t="shared" si="39"/>
        <v/>
      </c>
    </row>
    <row r="1276" spans="26:27" x14ac:dyDescent="0.2">
      <c r="Z1276" s="10">
        <f t="shared" si="38"/>
        <v>0</v>
      </c>
      <c r="AA1276" s="24" t="str">
        <f t="shared" si="39"/>
        <v/>
      </c>
    </row>
    <row r="1277" spans="26:27" x14ac:dyDescent="0.2">
      <c r="Z1277" s="10">
        <f t="shared" si="38"/>
        <v>0</v>
      </c>
      <c r="AA1277" s="24" t="str">
        <f t="shared" si="39"/>
        <v/>
      </c>
    </row>
    <row r="1278" spans="26:27" x14ac:dyDescent="0.2">
      <c r="Z1278" s="10">
        <f t="shared" si="38"/>
        <v>0</v>
      </c>
      <c r="AA1278" s="24" t="str">
        <f t="shared" si="39"/>
        <v/>
      </c>
    </row>
    <row r="1279" spans="26:27" x14ac:dyDescent="0.2">
      <c r="Z1279" s="10">
        <f t="shared" si="38"/>
        <v>0</v>
      </c>
      <c r="AA1279" s="24" t="str">
        <f t="shared" si="39"/>
        <v/>
      </c>
    </row>
    <row r="1280" spans="26:27" x14ac:dyDescent="0.2">
      <c r="Z1280" s="10">
        <f t="shared" si="38"/>
        <v>0</v>
      </c>
      <c r="AA1280" s="24" t="str">
        <f t="shared" si="39"/>
        <v/>
      </c>
    </row>
    <row r="1281" spans="26:27" x14ac:dyDescent="0.2">
      <c r="Z1281" s="10">
        <f t="shared" si="38"/>
        <v>0</v>
      </c>
      <c r="AA1281" s="24" t="str">
        <f t="shared" si="39"/>
        <v/>
      </c>
    </row>
    <row r="1282" spans="26:27" x14ac:dyDescent="0.2">
      <c r="Z1282" s="10">
        <f t="shared" si="38"/>
        <v>0</v>
      </c>
      <c r="AA1282" s="24" t="str">
        <f t="shared" si="39"/>
        <v/>
      </c>
    </row>
    <row r="1283" spans="26:27" x14ac:dyDescent="0.2">
      <c r="Z1283" s="10">
        <f t="shared" si="38"/>
        <v>0</v>
      </c>
      <c r="AA1283" s="24" t="str">
        <f t="shared" si="39"/>
        <v/>
      </c>
    </row>
    <row r="1284" spans="26:27" x14ac:dyDescent="0.2">
      <c r="Z1284" s="10">
        <f t="shared" si="38"/>
        <v>0</v>
      </c>
      <c r="AA1284" s="24" t="str">
        <f t="shared" si="39"/>
        <v/>
      </c>
    </row>
    <row r="1285" spans="26:27" x14ac:dyDescent="0.2">
      <c r="Z1285" s="10">
        <f t="shared" ref="Z1285:Z1348" si="40">IF(G1285="PLUM", "Plumbing", IF(G1285="PIPE", "Piping", IF(G1285="HVAC", "Sheet Metal", G1285)))</f>
        <v>0</v>
      </c>
      <c r="AA1285" s="24" t="str">
        <f t="shared" ref="AA1285:AA1348" si="41">IF(ISBLANK(B1285), "", $A$2)</f>
        <v/>
      </c>
    </row>
    <row r="1286" spans="26:27" x14ac:dyDescent="0.2">
      <c r="Z1286" s="10">
        <f t="shared" si="40"/>
        <v>0</v>
      </c>
      <c r="AA1286" s="24" t="str">
        <f t="shared" si="41"/>
        <v/>
      </c>
    </row>
    <row r="1287" spans="26:27" x14ac:dyDescent="0.2">
      <c r="Z1287" s="10">
        <f t="shared" si="40"/>
        <v>0</v>
      </c>
      <c r="AA1287" s="24" t="str">
        <f t="shared" si="41"/>
        <v/>
      </c>
    </row>
    <row r="1288" spans="26:27" x14ac:dyDescent="0.2">
      <c r="Z1288" s="10">
        <f t="shared" si="40"/>
        <v>0</v>
      </c>
      <c r="AA1288" s="24" t="str">
        <f t="shared" si="41"/>
        <v/>
      </c>
    </row>
    <row r="1289" spans="26:27" x14ac:dyDescent="0.2">
      <c r="Z1289" s="10">
        <f t="shared" si="40"/>
        <v>0</v>
      </c>
      <c r="AA1289" s="24" t="str">
        <f t="shared" si="41"/>
        <v/>
      </c>
    </row>
    <row r="1290" spans="26:27" x14ac:dyDescent="0.2">
      <c r="Z1290" s="10">
        <f t="shared" si="40"/>
        <v>0</v>
      </c>
      <c r="AA1290" s="24" t="str">
        <f t="shared" si="41"/>
        <v/>
      </c>
    </row>
    <row r="1291" spans="26:27" x14ac:dyDescent="0.2">
      <c r="Z1291" s="10">
        <f t="shared" si="40"/>
        <v>0</v>
      </c>
      <c r="AA1291" s="24" t="str">
        <f t="shared" si="41"/>
        <v/>
      </c>
    </row>
    <row r="1292" spans="26:27" x14ac:dyDescent="0.2">
      <c r="Z1292" s="10">
        <f t="shared" si="40"/>
        <v>0</v>
      </c>
      <c r="AA1292" s="24" t="str">
        <f t="shared" si="41"/>
        <v/>
      </c>
    </row>
    <row r="1293" spans="26:27" x14ac:dyDescent="0.2">
      <c r="Z1293" s="10">
        <f t="shared" si="40"/>
        <v>0</v>
      </c>
      <c r="AA1293" s="24" t="str">
        <f t="shared" si="41"/>
        <v/>
      </c>
    </row>
    <row r="1294" spans="26:27" x14ac:dyDescent="0.2">
      <c r="Z1294" s="10">
        <f t="shared" si="40"/>
        <v>0</v>
      </c>
      <c r="AA1294" s="24" t="str">
        <f t="shared" si="41"/>
        <v/>
      </c>
    </row>
    <row r="1295" spans="26:27" x14ac:dyDescent="0.2">
      <c r="Z1295" s="10">
        <f t="shared" si="40"/>
        <v>0</v>
      </c>
      <c r="AA1295" s="24" t="str">
        <f t="shared" si="41"/>
        <v/>
      </c>
    </row>
    <row r="1296" spans="26:27" x14ac:dyDescent="0.2">
      <c r="Z1296" s="10">
        <f t="shared" si="40"/>
        <v>0</v>
      </c>
      <c r="AA1296" s="24" t="str">
        <f t="shared" si="41"/>
        <v/>
      </c>
    </row>
    <row r="1297" spans="26:27" x14ac:dyDescent="0.2">
      <c r="Z1297" s="10">
        <f t="shared" si="40"/>
        <v>0</v>
      </c>
      <c r="AA1297" s="24" t="str">
        <f t="shared" si="41"/>
        <v/>
      </c>
    </row>
    <row r="1298" spans="26:27" x14ac:dyDescent="0.2">
      <c r="Z1298" s="10">
        <f t="shared" si="40"/>
        <v>0</v>
      </c>
      <c r="AA1298" s="24" t="str">
        <f t="shared" si="41"/>
        <v/>
      </c>
    </row>
    <row r="1299" spans="26:27" x14ac:dyDescent="0.2">
      <c r="Z1299" s="10">
        <f t="shared" si="40"/>
        <v>0</v>
      </c>
      <c r="AA1299" s="24" t="str">
        <f t="shared" si="41"/>
        <v/>
      </c>
    </row>
    <row r="1300" spans="26:27" x14ac:dyDescent="0.2">
      <c r="Z1300" s="10">
        <f t="shared" si="40"/>
        <v>0</v>
      </c>
      <c r="AA1300" s="24" t="str">
        <f t="shared" si="41"/>
        <v/>
      </c>
    </row>
    <row r="1301" spans="26:27" x14ac:dyDescent="0.2">
      <c r="Z1301" s="10">
        <f t="shared" si="40"/>
        <v>0</v>
      </c>
      <c r="AA1301" s="24" t="str">
        <f t="shared" si="41"/>
        <v/>
      </c>
    </row>
    <row r="1302" spans="26:27" x14ac:dyDescent="0.2">
      <c r="Z1302" s="10">
        <f t="shared" si="40"/>
        <v>0</v>
      </c>
      <c r="AA1302" s="24" t="str">
        <f t="shared" si="41"/>
        <v/>
      </c>
    </row>
    <row r="1303" spans="26:27" x14ac:dyDescent="0.2">
      <c r="Z1303" s="10">
        <f t="shared" si="40"/>
        <v>0</v>
      </c>
      <c r="AA1303" s="24" t="str">
        <f t="shared" si="41"/>
        <v/>
      </c>
    </row>
    <row r="1304" spans="26:27" x14ac:dyDescent="0.2">
      <c r="Z1304" s="10">
        <f t="shared" si="40"/>
        <v>0</v>
      </c>
      <c r="AA1304" s="24" t="str">
        <f t="shared" si="41"/>
        <v/>
      </c>
    </row>
    <row r="1305" spans="26:27" x14ac:dyDescent="0.2">
      <c r="Z1305" s="10">
        <f t="shared" si="40"/>
        <v>0</v>
      </c>
      <c r="AA1305" s="24" t="str">
        <f t="shared" si="41"/>
        <v/>
      </c>
    </row>
    <row r="1306" spans="26:27" x14ac:dyDescent="0.2">
      <c r="Z1306" s="10">
        <f t="shared" si="40"/>
        <v>0</v>
      </c>
      <c r="AA1306" s="24" t="str">
        <f t="shared" si="41"/>
        <v/>
      </c>
    </row>
    <row r="1307" spans="26:27" x14ac:dyDescent="0.2">
      <c r="Z1307" s="10">
        <f t="shared" si="40"/>
        <v>0</v>
      </c>
      <c r="AA1307" s="24" t="str">
        <f t="shared" si="41"/>
        <v/>
      </c>
    </row>
    <row r="1308" spans="26:27" x14ac:dyDescent="0.2">
      <c r="Z1308" s="10">
        <f t="shared" si="40"/>
        <v>0</v>
      </c>
      <c r="AA1308" s="24" t="str">
        <f t="shared" si="41"/>
        <v/>
      </c>
    </row>
    <row r="1309" spans="26:27" x14ac:dyDescent="0.2">
      <c r="Z1309" s="10">
        <f t="shared" si="40"/>
        <v>0</v>
      </c>
      <c r="AA1309" s="24" t="str">
        <f t="shared" si="41"/>
        <v/>
      </c>
    </row>
    <row r="1310" spans="26:27" x14ac:dyDescent="0.2">
      <c r="Z1310" s="10">
        <f t="shared" si="40"/>
        <v>0</v>
      </c>
      <c r="AA1310" s="24" t="str">
        <f t="shared" si="41"/>
        <v/>
      </c>
    </row>
    <row r="1311" spans="26:27" x14ac:dyDescent="0.2">
      <c r="Z1311" s="10">
        <f t="shared" si="40"/>
        <v>0</v>
      </c>
      <c r="AA1311" s="24" t="str">
        <f t="shared" si="41"/>
        <v/>
      </c>
    </row>
    <row r="1312" spans="26:27" x14ac:dyDescent="0.2">
      <c r="Z1312" s="10">
        <f t="shared" si="40"/>
        <v>0</v>
      </c>
      <c r="AA1312" s="24" t="str">
        <f t="shared" si="41"/>
        <v/>
      </c>
    </row>
    <row r="1313" spans="26:27" x14ac:dyDescent="0.2">
      <c r="Z1313" s="10">
        <f t="shared" si="40"/>
        <v>0</v>
      </c>
      <c r="AA1313" s="24" t="str">
        <f t="shared" si="41"/>
        <v/>
      </c>
    </row>
    <row r="1314" spans="26:27" x14ac:dyDescent="0.2">
      <c r="Z1314" s="10">
        <f t="shared" si="40"/>
        <v>0</v>
      </c>
      <c r="AA1314" s="24" t="str">
        <f t="shared" si="41"/>
        <v/>
      </c>
    </row>
    <row r="1315" spans="26:27" x14ac:dyDescent="0.2">
      <c r="Z1315" s="10">
        <f t="shared" si="40"/>
        <v>0</v>
      </c>
      <c r="AA1315" s="24" t="str">
        <f t="shared" si="41"/>
        <v/>
      </c>
    </row>
    <row r="1316" spans="26:27" x14ac:dyDescent="0.2">
      <c r="Z1316" s="10">
        <f t="shared" si="40"/>
        <v>0</v>
      </c>
      <c r="AA1316" s="24" t="str">
        <f t="shared" si="41"/>
        <v/>
      </c>
    </row>
    <row r="1317" spans="26:27" x14ac:dyDescent="0.2">
      <c r="Z1317" s="10">
        <f t="shared" si="40"/>
        <v>0</v>
      </c>
      <c r="AA1317" s="24" t="str">
        <f t="shared" si="41"/>
        <v/>
      </c>
    </row>
    <row r="1318" spans="26:27" x14ac:dyDescent="0.2">
      <c r="Z1318" s="10">
        <f t="shared" si="40"/>
        <v>0</v>
      </c>
      <c r="AA1318" s="24" t="str">
        <f t="shared" si="41"/>
        <v/>
      </c>
    </row>
    <row r="1319" spans="26:27" x14ac:dyDescent="0.2">
      <c r="Z1319" s="10">
        <f t="shared" si="40"/>
        <v>0</v>
      </c>
      <c r="AA1319" s="24" t="str">
        <f t="shared" si="41"/>
        <v/>
      </c>
    </row>
    <row r="1320" spans="26:27" x14ac:dyDescent="0.2">
      <c r="Z1320" s="10">
        <f t="shared" si="40"/>
        <v>0</v>
      </c>
      <c r="AA1320" s="24" t="str">
        <f t="shared" si="41"/>
        <v/>
      </c>
    </row>
    <row r="1321" spans="26:27" x14ac:dyDescent="0.2">
      <c r="Z1321" s="10">
        <f t="shared" si="40"/>
        <v>0</v>
      </c>
      <c r="AA1321" s="24" t="str">
        <f t="shared" si="41"/>
        <v/>
      </c>
    </row>
    <row r="1322" spans="26:27" x14ac:dyDescent="0.2">
      <c r="Z1322" s="10">
        <f t="shared" si="40"/>
        <v>0</v>
      </c>
      <c r="AA1322" s="24" t="str">
        <f t="shared" si="41"/>
        <v/>
      </c>
    </row>
    <row r="1323" spans="26:27" x14ac:dyDescent="0.2">
      <c r="Z1323" s="10">
        <f t="shared" si="40"/>
        <v>0</v>
      </c>
      <c r="AA1323" s="24" t="str">
        <f t="shared" si="41"/>
        <v/>
      </c>
    </row>
    <row r="1324" spans="26:27" x14ac:dyDescent="0.2">
      <c r="Z1324" s="10">
        <f t="shared" si="40"/>
        <v>0</v>
      </c>
      <c r="AA1324" s="24" t="str">
        <f t="shared" si="41"/>
        <v/>
      </c>
    </row>
    <row r="1325" spans="26:27" x14ac:dyDescent="0.2">
      <c r="Z1325" s="10">
        <f t="shared" si="40"/>
        <v>0</v>
      </c>
      <c r="AA1325" s="24" t="str">
        <f t="shared" si="41"/>
        <v/>
      </c>
    </row>
    <row r="1326" spans="26:27" x14ac:dyDescent="0.2">
      <c r="Z1326" s="10">
        <f t="shared" si="40"/>
        <v>0</v>
      </c>
      <c r="AA1326" s="24" t="str">
        <f t="shared" si="41"/>
        <v/>
      </c>
    </row>
    <row r="1327" spans="26:27" x14ac:dyDescent="0.2">
      <c r="Z1327" s="10">
        <f t="shared" si="40"/>
        <v>0</v>
      </c>
      <c r="AA1327" s="24" t="str">
        <f t="shared" si="41"/>
        <v/>
      </c>
    </row>
    <row r="1328" spans="26:27" x14ac:dyDescent="0.2">
      <c r="Z1328" s="10">
        <f t="shared" si="40"/>
        <v>0</v>
      </c>
      <c r="AA1328" s="24" t="str">
        <f t="shared" si="41"/>
        <v/>
      </c>
    </row>
    <row r="1329" spans="26:27" x14ac:dyDescent="0.2">
      <c r="Z1329" s="10">
        <f t="shared" si="40"/>
        <v>0</v>
      </c>
      <c r="AA1329" s="24" t="str">
        <f t="shared" si="41"/>
        <v/>
      </c>
    </row>
    <row r="1330" spans="26:27" x14ac:dyDescent="0.2">
      <c r="Z1330" s="10">
        <f t="shared" si="40"/>
        <v>0</v>
      </c>
      <c r="AA1330" s="24" t="str">
        <f t="shared" si="41"/>
        <v/>
      </c>
    </row>
    <row r="1331" spans="26:27" x14ac:dyDescent="0.2">
      <c r="Z1331" s="10">
        <f t="shared" si="40"/>
        <v>0</v>
      </c>
      <c r="AA1331" s="24" t="str">
        <f t="shared" si="41"/>
        <v/>
      </c>
    </row>
    <row r="1332" spans="26:27" x14ac:dyDescent="0.2">
      <c r="Z1332" s="10">
        <f t="shared" si="40"/>
        <v>0</v>
      </c>
      <c r="AA1332" s="24" t="str">
        <f t="shared" si="41"/>
        <v/>
      </c>
    </row>
    <row r="1333" spans="26:27" x14ac:dyDescent="0.2">
      <c r="Z1333" s="10">
        <f t="shared" si="40"/>
        <v>0</v>
      </c>
      <c r="AA1333" s="24" t="str">
        <f t="shared" si="41"/>
        <v/>
      </c>
    </row>
    <row r="1334" spans="26:27" x14ac:dyDescent="0.2">
      <c r="Z1334" s="10">
        <f t="shared" si="40"/>
        <v>0</v>
      </c>
      <c r="AA1334" s="24" t="str">
        <f t="shared" si="41"/>
        <v/>
      </c>
    </row>
    <row r="1335" spans="26:27" x14ac:dyDescent="0.2">
      <c r="Z1335" s="10">
        <f t="shared" si="40"/>
        <v>0</v>
      </c>
      <c r="AA1335" s="24" t="str">
        <f t="shared" si="41"/>
        <v/>
      </c>
    </row>
    <row r="1336" spans="26:27" x14ac:dyDescent="0.2">
      <c r="Z1336" s="10">
        <f t="shared" si="40"/>
        <v>0</v>
      </c>
      <c r="AA1336" s="24" t="str">
        <f t="shared" si="41"/>
        <v/>
      </c>
    </row>
    <row r="1337" spans="26:27" x14ac:dyDescent="0.2">
      <c r="Z1337" s="10">
        <f t="shared" si="40"/>
        <v>0</v>
      </c>
      <c r="AA1337" s="24" t="str">
        <f t="shared" si="41"/>
        <v/>
      </c>
    </row>
    <row r="1338" spans="26:27" x14ac:dyDescent="0.2">
      <c r="Z1338" s="10">
        <f t="shared" si="40"/>
        <v>0</v>
      </c>
      <c r="AA1338" s="24" t="str">
        <f t="shared" si="41"/>
        <v/>
      </c>
    </row>
    <row r="1339" spans="26:27" x14ac:dyDescent="0.2">
      <c r="Z1339" s="10">
        <f t="shared" si="40"/>
        <v>0</v>
      </c>
      <c r="AA1339" s="24" t="str">
        <f t="shared" si="41"/>
        <v/>
      </c>
    </row>
    <row r="1340" spans="26:27" x14ac:dyDescent="0.2">
      <c r="Z1340" s="10">
        <f t="shared" si="40"/>
        <v>0</v>
      </c>
      <c r="AA1340" s="24" t="str">
        <f t="shared" si="41"/>
        <v/>
      </c>
    </row>
    <row r="1341" spans="26:27" x14ac:dyDescent="0.2">
      <c r="Z1341" s="10">
        <f t="shared" si="40"/>
        <v>0</v>
      </c>
      <c r="AA1341" s="24" t="str">
        <f t="shared" si="41"/>
        <v/>
      </c>
    </row>
    <row r="1342" spans="26:27" x14ac:dyDescent="0.2">
      <c r="Z1342" s="10">
        <f t="shared" si="40"/>
        <v>0</v>
      </c>
      <c r="AA1342" s="24" t="str">
        <f t="shared" si="41"/>
        <v/>
      </c>
    </row>
    <row r="1343" spans="26:27" x14ac:dyDescent="0.2">
      <c r="Z1343" s="10">
        <f t="shared" si="40"/>
        <v>0</v>
      </c>
      <c r="AA1343" s="24" t="str">
        <f t="shared" si="41"/>
        <v/>
      </c>
    </row>
    <row r="1344" spans="26:27" x14ac:dyDescent="0.2">
      <c r="Z1344" s="10">
        <f t="shared" si="40"/>
        <v>0</v>
      </c>
      <c r="AA1344" s="24" t="str">
        <f t="shared" si="41"/>
        <v/>
      </c>
    </row>
    <row r="1345" spans="26:27" x14ac:dyDescent="0.2">
      <c r="Z1345" s="10">
        <f t="shared" si="40"/>
        <v>0</v>
      </c>
      <c r="AA1345" s="24" t="str">
        <f t="shared" si="41"/>
        <v/>
      </c>
    </row>
    <row r="1346" spans="26:27" x14ac:dyDescent="0.2">
      <c r="Z1346" s="10">
        <f t="shared" si="40"/>
        <v>0</v>
      </c>
      <c r="AA1346" s="24" t="str">
        <f t="shared" si="41"/>
        <v/>
      </c>
    </row>
    <row r="1347" spans="26:27" x14ac:dyDescent="0.2">
      <c r="Z1347" s="10">
        <f t="shared" si="40"/>
        <v>0</v>
      </c>
      <c r="AA1347" s="24" t="str">
        <f t="shared" si="41"/>
        <v/>
      </c>
    </row>
    <row r="1348" spans="26:27" x14ac:dyDescent="0.2">
      <c r="Z1348" s="10">
        <f t="shared" si="40"/>
        <v>0</v>
      </c>
      <c r="AA1348" s="24" t="str">
        <f t="shared" si="41"/>
        <v/>
      </c>
    </row>
    <row r="1349" spans="26:27" x14ac:dyDescent="0.2">
      <c r="Z1349" s="10">
        <f t="shared" ref="Z1349:Z1412" si="42">IF(G1349="PLUM", "Plumbing", IF(G1349="PIPE", "Piping", IF(G1349="HVAC", "Sheet Metal", G1349)))</f>
        <v>0</v>
      </c>
      <c r="AA1349" s="24" t="str">
        <f t="shared" ref="AA1349:AA1412" si="43">IF(ISBLANK(B1349), "", $A$2)</f>
        <v/>
      </c>
    </row>
    <row r="1350" spans="26:27" x14ac:dyDescent="0.2">
      <c r="Z1350" s="10">
        <f t="shared" si="42"/>
        <v>0</v>
      </c>
      <c r="AA1350" s="24" t="str">
        <f t="shared" si="43"/>
        <v/>
      </c>
    </row>
    <row r="1351" spans="26:27" x14ac:dyDescent="0.2">
      <c r="Z1351" s="10">
        <f t="shared" si="42"/>
        <v>0</v>
      </c>
      <c r="AA1351" s="24" t="str">
        <f t="shared" si="43"/>
        <v/>
      </c>
    </row>
    <row r="1352" spans="26:27" x14ac:dyDescent="0.2">
      <c r="Z1352" s="10">
        <f t="shared" si="42"/>
        <v>0</v>
      </c>
      <c r="AA1352" s="24" t="str">
        <f t="shared" si="43"/>
        <v/>
      </c>
    </row>
    <row r="1353" spans="26:27" x14ac:dyDescent="0.2">
      <c r="Z1353" s="10">
        <f t="shared" si="42"/>
        <v>0</v>
      </c>
      <c r="AA1353" s="24" t="str">
        <f t="shared" si="43"/>
        <v/>
      </c>
    </row>
    <row r="1354" spans="26:27" x14ac:dyDescent="0.2">
      <c r="Z1354" s="10">
        <f t="shared" si="42"/>
        <v>0</v>
      </c>
      <c r="AA1354" s="24" t="str">
        <f t="shared" si="43"/>
        <v/>
      </c>
    </row>
    <row r="1355" spans="26:27" x14ac:dyDescent="0.2">
      <c r="Z1355" s="10">
        <f t="shared" si="42"/>
        <v>0</v>
      </c>
      <c r="AA1355" s="24" t="str">
        <f t="shared" si="43"/>
        <v/>
      </c>
    </row>
    <row r="1356" spans="26:27" x14ac:dyDescent="0.2">
      <c r="Z1356" s="10">
        <f t="shared" si="42"/>
        <v>0</v>
      </c>
      <c r="AA1356" s="24" t="str">
        <f t="shared" si="43"/>
        <v/>
      </c>
    </row>
    <row r="1357" spans="26:27" x14ac:dyDescent="0.2">
      <c r="Z1357" s="10">
        <f t="shared" si="42"/>
        <v>0</v>
      </c>
      <c r="AA1357" s="24" t="str">
        <f t="shared" si="43"/>
        <v/>
      </c>
    </row>
    <row r="1358" spans="26:27" x14ac:dyDescent="0.2">
      <c r="Z1358" s="10">
        <f t="shared" si="42"/>
        <v>0</v>
      </c>
      <c r="AA1358" s="24" t="str">
        <f t="shared" si="43"/>
        <v/>
      </c>
    </row>
    <row r="1359" spans="26:27" x14ac:dyDescent="0.2">
      <c r="Z1359" s="10">
        <f t="shared" si="42"/>
        <v>0</v>
      </c>
      <c r="AA1359" s="24" t="str">
        <f t="shared" si="43"/>
        <v/>
      </c>
    </row>
    <row r="1360" spans="26:27" x14ac:dyDescent="0.2">
      <c r="Z1360" s="10">
        <f t="shared" si="42"/>
        <v>0</v>
      </c>
      <c r="AA1360" s="24" t="str">
        <f t="shared" si="43"/>
        <v/>
      </c>
    </row>
    <row r="1361" spans="26:27" x14ac:dyDescent="0.2">
      <c r="Z1361" s="10">
        <f t="shared" si="42"/>
        <v>0</v>
      </c>
      <c r="AA1361" s="24" t="str">
        <f t="shared" si="43"/>
        <v/>
      </c>
    </row>
    <row r="1362" spans="26:27" x14ac:dyDescent="0.2">
      <c r="Z1362" s="10">
        <f t="shared" si="42"/>
        <v>0</v>
      </c>
      <c r="AA1362" s="24" t="str">
        <f t="shared" si="43"/>
        <v/>
      </c>
    </row>
    <row r="1363" spans="26:27" x14ac:dyDescent="0.2">
      <c r="Z1363" s="10">
        <f t="shared" si="42"/>
        <v>0</v>
      </c>
      <c r="AA1363" s="24" t="str">
        <f t="shared" si="43"/>
        <v/>
      </c>
    </row>
    <row r="1364" spans="26:27" x14ac:dyDescent="0.2">
      <c r="Z1364" s="10">
        <f t="shared" si="42"/>
        <v>0</v>
      </c>
      <c r="AA1364" s="24" t="str">
        <f t="shared" si="43"/>
        <v/>
      </c>
    </row>
    <row r="1365" spans="26:27" x14ac:dyDescent="0.2">
      <c r="Z1365" s="10">
        <f t="shared" si="42"/>
        <v>0</v>
      </c>
      <c r="AA1365" s="24" t="str">
        <f t="shared" si="43"/>
        <v/>
      </c>
    </row>
    <row r="1366" spans="26:27" x14ac:dyDescent="0.2">
      <c r="Z1366" s="10">
        <f t="shared" si="42"/>
        <v>0</v>
      </c>
      <c r="AA1366" s="24" t="str">
        <f t="shared" si="43"/>
        <v/>
      </c>
    </row>
    <row r="1367" spans="26:27" x14ac:dyDescent="0.2">
      <c r="Z1367" s="10">
        <f t="shared" si="42"/>
        <v>0</v>
      </c>
      <c r="AA1367" s="24" t="str">
        <f t="shared" si="43"/>
        <v/>
      </c>
    </row>
    <row r="1368" spans="26:27" x14ac:dyDescent="0.2">
      <c r="Z1368" s="10">
        <f t="shared" si="42"/>
        <v>0</v>
      </c>
      <c r="AA1368" s="24" t="str">
        <f t="shared" si="43"/>
        <v/>
      </c>
    </row>
    <row r="1369" spans="26:27" x14ac:dyDescent="0.2">
      <c r="Z1369" s="10">
        <f t="shared" si="42"/>
        <v>0</v>
      </c>
      <c r="AA1369" s="24" t="str">
        <f t="shared" si="43"/>
        <v/>
      </c>
    </row>
    <row r="1370" spans="26:27" x14ac:dyDescent="0.2">
      <c r="Z1370" s="10">
        <f t="shared" si="42"/>
        <v>0</v>
      </c>
      <c r="AA1370" s="24" t="str">
        <f t="shared" si="43"/>
        <v/>
      </c>
    </row>
    <row r="1371" spans="26:27" x14ac:dyDescent="0.2">
      <c r="Z1371" s="10">
        <f t="shared" si="42"/>
        <v>0</v>
      </c>
      <c r="AA1371" s="24" t="str">
        <f t="shared" si="43"/>
        <v/>
      </c>
    </row>
    <row r="1372" spans="26:27" x14ac:dyDescent="0.2">
      <c r="Z1372" s="10">
        <f t="shared" si="42"/>
        <v>0</v>
      </c>
      <c r="AA1372" s="24" t="str">
        <f t="shared" si="43"/>
        <v/>
      </c>
    </row>
    <row r="1373" spans="26:27" x14ac:dyDescent="0.2">
      <c r="Z1373" s="10">
        <f t="shared" si="42"/>
        <v>0</v>
      </c>
      <c r="AA1373" s="24" t="str">
        <f t="shared" si="43"/>
        <v/>
      </c>
    </row>
    <row r="1374" spans="26:27" x14ac:dyDescent="0.2">
      <c r="Z1374" s="10">
        <f t="shared" si="42"/>
        <v>0</v>
      </c>
      <c r="AA1374" s="24" t="str">
        <f t="shared" si="43"/>
        <v/>
      </c>
    </row>
    <row r="1375" spans="26:27" x14ac:dyDescent="0.2">
      <c r="Z1375" s="10">
        <f t="shared" si="42"/>
        <v>0</v>
      </c>
      <c r="AA1375" s="24" t="str">
        <f t="shared" si="43"/>
        <v/>
      </c>
    </row>
    <row r="1376" spans="26:27" x14ac:dyDescent="0.2">
      <c r="Z1376" s="10">
        <f t="shared" si="42"/>
        <v>0</v>
      </c>
      <c r="AA1376" s="24" t="str">
        <f t="shared" si="43"/>
        <v/>
      </c>
    </row>
    <row r="1377" spans="26:27" x14ac:dyDescent="0.2">
      <c r="Z1377" s="10">
        <f t="shared" si="42"/>
        <v>0</v>
      </c>
      <c r="AA1377" s="24" t="str">
        <f t="shared" si="43"/>
        <v/>
      </c>
    </row>
    <row r="1378" spans="26:27" x14ac:dyDescent="0.2">
      <c r="Z1378" s="10">
        <f t="shared" si="42"/>
        <v>0</v>
      </c>
      <c r="AA1378" s="24" t="str">
        <f t="shared" si="43"/>
        <v/>
      </c>
    </row>
    <row r="1379" spans="26:27" x14ac:dyDescent="0.2">
      <c r="Z1379" s="10">
        <f t="shared" si="42"/>
        <v>0</v>
      </c>
      <c r="AA1379" s="24" t="str">
        <f t="shared" si="43"/>
        <v/>
      </c>
    </row>
    <row r="1380" spans="26:27" x14ac:dyDescent="0.2">
      <c r="Z1380" s="10">
        <f t="shared" si="42"/>
        <v>0</v>
      </c>
      <c r="AA1380" s="24" t="str">
        <f t="shared" si="43"/>
        <v/>
      </c>
    </row>
    <row r="1381" spans="26:27" x14ac:dyDescent="0.2">
      <c r="Z1381" s="10">
        <f t="shared" si="42"/>
        <v>0</v>
      </c>
      <c r="AA1381" s="24" t="str">
        <f t="shared" si="43"/>
        <v/>
      </c>
    </row>
    <row r="1382" spans="26:27" x14ac:dyDescent="0.2">
      <c r="Z1382" s="10">
        <f t="shared" si="42"/>
        <v>0</v>
      </c>
      <c r="AA1382" s="24" t="str">
        <f t="shared" si="43"/>
        <v/>
      </c>
    </row>
    <row r="1383" spans="26:27" x14ac:dyDescent="0.2">
      <c r="Z1383" s="10">
        <f t="shared" si="42"/>
        <v>0</v>
      </c>
      <c r="AA1383" s="24" t="str">
        <f t="shared" si="43"/>
        <v/>
      </c>
    </row>
    <row r="1384" spans="26:27" x14ac:dyDescent="0.2">
      <c r="Z1384" s="10">
        <f t="shared" si="42"/>
        <v>0</v>
      </c>
      <c r="AA1384" s="24" t="str">
        <f t="shared" si="43"/>
        <v/>
      </c>
    </row>
    <row r="1385" spans="26:27" x14ac:dyDescent="0.2">
      <c r="Z1385" s="10">
        <f t="shared" si="42"/>
        <v>0</v>
      </c>
      <c r="AA1385" s="24" t="str">
        <f t="shared" si="43"/>
        <v/>
      </c>
    </row>
    <row r="1386" spans="26:27" x14ac:dyDescent="0.2">
      <c r="Z1386" s="10">
        <f t="shared" si="42"/>
        <v>0</v>
      </c>
      <c r="AA1386" s="24" t="str">
        <f t="shared" si="43"/>
        <v/>
      </c>
    </row>
    <row r="1387" spans="26:27" x14ac:dyDescent="0.2">
      <c r="Z1387" s="10">
        <f t="shared" si="42"/>
        <v>0</v>
      </c>
      <c r="AA1387" s="24" t="str">
        <f t="shared" si="43"/>
        <v/>
      </c>
    </row>
    <row r="1388" spans="26:27" x14ac:dyDescent="0.2">
      <c r="Z1388" s="10">
        <f t="shared" si="42"/>
        <v>0</v>
      </c>
      <c r="AA1388" s="24" t="str">
        <f t="shared" si="43"/>
        <v/>
      </c>
    </row>
    <row r="1389" spans="26:27" x14ac:dyDescent="0.2">
      <c r="Z1389" s="10">
        <f t="shared" si="42"/>
        <v>0</v>
      </c>
      <c r="AA1389" s="24" t="str">
        <f t="shared" si="43"/>
        <v/>
      </c>
    </row>
    <row r="1390" spans="26:27" x14ac:dyDescent="0.2">
      <c r="Z1390" s="10">
        <f t="shared" si="42"/>
        <v>0</v>
      </c>
      <c r="AA1390" s="24" t="str">
        <f t="shared" si="43"/>
        <v/>
      </c>
    </row>
    <row r="1391" spans="26:27" x14ac:dyDescent="0.2">
      <c r="Z1391" s="10">
        <f t="shared" si="42"/>
        <v>0</v>
      </c>
      <c r="AA1391" s="24" t="str">
        <f t="shared" si="43"/>
        <v/>
      </c>
    </row>
    <row r="1392" spans="26:27" x14ac:dyDescent="0.2">
      <c r="Z1392" s="10">
        <f t="shared" si="42"/>
        <v>0</v>
      </c>
      <c r="AA1392" s="24" t="str">
        <f t="shared" si="43"/>
        <v/>
      </c>
    </row>
    <row r="1393" spans="26:27" x14ac:dyDescent="0.2">
      <c r="Z1393" s="10">
        <f t="shared" si="42"/>
        <v>0</v>
      </c>
      <c r="AA1393" s="24" t="str">
        <f t="shared" si="43"/>
        <v/>
      </c>
    </row>
    <row r="1394" spans="26:27" x14ac:dyDescent="0.2">
      <c r="Z1394" s="10">
        <f t="shared" si="42"/>
        <v>0</v>
      </c>
      <c r="AA1394" s="24" t="str">
        <f t="shared" si="43"/>
        <v/>
      </c>
    </row>
    <row r="1395" spans="26:27" x14ac:dyDescent="0.2">
      <c r="Z1395" s="10">
        <f t="shared" si="42"/>
        <v>0</v>
      </c>
      <c r="AA1395" s="24" t="str">
        <f t="shared" si="43"/>
        <v/>
      </c>
    </row>
    <row r="1396" spans="26:27" x14ac:dyDescent="0.2">
      <c r="Z1396" s="10">
        <f t="shared" si="42"/>
        <v>0</v>
      </c>
      <c r="AA1396" s="24" t="str">
        <f t="shared" si="43"/>
        <v/>
      </c>
    </row>
    <row r="1397" spans="26:27" x14ac:dyDescent="0.2">
      <c r="Z1397" s="10">
        <f t="shared" si="42"/>
        <v>0</v>
      </c>
      <c r="AA1397" s="24" t="str">
        <f t="shared" si="43"/>
        <v/>
      </c>
    </row>
    <row r="1398" spans="26:27" x14ac:dyDescent="0.2">
      <c r="Z1398" s="10">
        <f t="shared" si="42"/>
        <v>0</v>
      </c>
      <c r="AA1398" s="24" t="str">
        <f t="shared" si="43"/>
        <v/>
      </c>
    </row>
    <row r="1399" spans="26:27" x14ac:dyDescent="0.2">
      <c r="Z1399" s="10">
        <f t="shared" si="42"/>
        <v>0</v>
      </c>
      <c r="AA1399" s="24" t="str">
        <f t="shared" si="43"/>
        <v/>
      </c>
    </row>
    <row r="1400" spans="26:27" x14ac:dyDescent="0.2">
      <c r="Z1400" s="10">
        <f t="shared" si="42"/>
        <v>0</v>
      </c>
      <c r="AA1400" s="24" t="str">
        <f t="shared" si="43"/>
        <v/>
      </c>
    </row>
    <row r="1401" spans="26:27" x14ac:dyDescent="0.2">
      <c r="Z1401" s="10">
        <f t="shared" si="42"/>
        <v>0</v>
      </c>
      <c r="AA1401" s="24" t="str">
        <f t="shared" si="43"/>
        <v/>
      </c>
    </row>
    <row r="1402" spans="26:27" x14ac:dyDescent="0.2">
      <c r="Z1402" s="10">
        <f t="shared" si="42"/>
        <v>0</v>
      </c>
      <c r="AA1402" s="24" t="str">
        <f t="shared" si="43"/>
        <v/>
      </c>
    </row>
    <row r="1403" spans="26:27" x14ac:dyDescent="0.2">
      <c r="Z1403" s="10">
        <f t="shared" si="42"/>
        <v>0</v>
      </c>
      <c r="AA1403" s="24" t="str">
        <f t="shared" si="43"/>
        <v/>
      </c>
    </row>
    <row r="1404" spans="26:27" x14ac:dyDescent="0.2">
      <c r="Z1404" s="10">
        <f t="shared" si="42"/>
        <v>0</v>
      </c>
      <c r="AA1404" s="24" t="str">
        <f t="shared" si="43"/>
        <v/>
      </c>
    </row>
    <row r="1405" spans="26:27" x14ac:dyDescent="0.2">
      <c r="Z1405" s="10">
        <f t="shared" si="42"/>
        <v>0</v>
      </c>
      <c r="AA1405" s="24" t="str">
        <f t="shared" si="43"/>
        <v/>
      </c>
    </row>
    <row r="1406" spans="26:27" x14ac:dyDescent="0.2">
      <c r="Z1406" s="10">
        <f t="shared" si="42"/>
        <v>0</v>
      </c>
      <c r="AA1406" s="24" t="str">
        <f t="shared" si="43"/>
        <v/>
      </c>
    </row>
    <row r="1407" spans="26:27" x14ac:dyDescent="0.2">
      <c r="Z1407" s="10">
        <f t="shared" si="42"/>
        <v>0</v>
      </c>
      <c r="AA1407" s="24" t="str">
        <f t="shared" si="43"/>
        <v/>
      </c>
    </row>
    <row r="1408" spans="26:27" x14ac:dyDescent="0.2">
      <c r="Z1408" s="10">
        <f t="shared" si="42"/>
        <v>0</v>
      </c>
      <c r="AA1408" s="24" t="str">
        <f t="shared" si="43"/>
        <v/>
      </c>
    </row>
    <row r="1409" spans="26:27" x14ac:dyDescent="0.2">
      <c r="Z1409" s="10">
        <f t="shared" si="42"/>
        <v>0</v>
      </c>
      <c r="AA1409" s="24" t="str">
        <f t="shared" si="43"/>
        <v/>
      </c>
    </row>
    <row r="1410" spans="26:27" x14ac:dyDescent="0.2">
      <c r="Z1410" s="10">
        <f t="shared" si="42"/>
        <v>0</v>
      </c>
      <c r="AA1410" s="24" t="str">
        <f t="shared" si="43"/>
        <v/>
      </c>
    </row>
    <row r="1411" spans="26:27" x14ac:dyDescent="0.2">
      <c r="Z1411" s="10">
        <f t="shared" si="42"/>
        <v>0</v>
      </c>
      <c r="AA1411" s="24" t="str">
        <f t="shared" si="43"/>
        <v/>
      </c>
    </row>
    <row r="1412" spans="26:27" x14ac:dyDescent="0.2">
      <c r="Z1412" s="10">
        <f t="shared" si="42"/>
        <v>0</v>
      </c>
      <c r="AA1412" s="24" t="str">
        <f t="shared" si="43"/>
        <v/>
      </c>
    </row>
    <row r="1413" spans="26:27" x14ac:dyDescent="0.2">
      <c r="Z1413" s="10">
        <f t="shared" ref="Z1413:Z1476" si="44">IF(G1413="PLUM", "Plumbing", IF(G1413="PIPE", "Piping", IF(G1413="HVAC", "Sheet Metal", G1413)))</f>
        <v>0</v>
      </c>
      <c r="AA1413" s="24" t="str">
        <f t="shared" ref="AA1413:AA1476" si="45">IF(ISBLANK(B1413), "", $A$2)</f>
        <v/>
      </c>
    </row>
    <row r="1414" spans="26:27" x14ac:dyDescent="0.2">
      <c r="Z1414" s="10">
        <f t="shared" si="44"/>
        <v>0</v>
      </c>
      <c r="AA1414" s="24" t="str">
        <f t="shared" si="45"/>
        <v/>
      </c>
    </row>
    <row r="1415" spans="26:27" x14ac:dyDescent="0.2">
      <c r="Z1415" s="10">
        <f t="shared" si="44"/>
        <v>0</v>
      </c>
      <c r="AA1415" s="24" t="str">
        <f t="shared" si="45"/>
        <v/>
      </c>
    </row>
    <row r="1416" spans="26:27" x14ac:dyDescent="0.2">
      <c r="Z1416" s="10">
        <f t="shared" si="44"/>
        <v>0</v>
      </c>
      <c r="AA1416" s="24" t="str">
        <f t="shared" si="45"/>
        <v/>
      </c>
    </row>
    <row r="1417" spans="26:27" x14ac:dyDescent="0.2">
      <c r="Z1417" s="10">
        <f t="shared" si="44"/>
        <v>0</v>
      </c>
      <c r="AA1417" s="24" t="str">
        <f t="shared" si="45"/>
        <v/>
      </c>
    </row>
    <row r="1418" spans="26:27" x14ac:dyDescent="0.2">
      <c r="Z1418" s="10">
        <f t="shared" si="44"/>
        <v>0</v>
      </c>
      <c r="AA1418" s="24" t="str">
        <f t="shared" si="45"/>
        <v/>
      </c>
    </row>
    <row r="1419" spans="26:27" x14ac:dyDescent="0.2">
      <c r="Z1419" s="10">
        <f t="shared" si="44"/>
        <v>0</v>
      </c>
      <c r="AA1419" s="24" t="str">
        <f t="shared" si="45"/>
        <v/>
      </c>
    </row>
    <row r="1420" spans="26:27" x14ac:dyDescent="0.2">
      <c r="Z1420" s="10">
        <f t="shared" si="44"/>
        <v>0</v>
      </c>
      <c r="AA1420" s="24" t="str">
        <f t="shared" si="45"/>
        <v/>
      </c>
    </row>
    <row r="1421" spans="26:27" x14ac:dyDescent="0.2">
      <c r="Z1421" s="10">
        <f t="shared" si="44"/>
        <v>0</v>
      </c>
      <c r="AA1421" s="24" t="str">
        <f t="shared" si="45"/>
        <v/>
      </c>
    </row>
    <row r="1422" spans="26:27" x14ac:dyDescent="0.2">
      <c r="Z1422" s="10">
        <f t="shared" si="44"/>
        <v>0</v>
      </c>
      <c r="AA1422" s="24" t="str">
        <f t="shared" si="45"/>
        <v/>
      </c>
    </row>
    <row r="1423" spans="26:27" x14ac:dyDescent="0.2">
      <c r="Z1423" s="10">
        <f t="shared" si="44"/>
        <v>0</v>
      </c>
      <c r="AA1423" s="24" t="str">
        <f t="shared" si="45"/>
        <v/>
      </c>
    </row>
    <row r="1424" spans="26:27" x14ac:dyDescent="0.2">
      <c r="Z1424" s="10">
        <f t="shared" si="44"/>
        <v>0</v>
      </c>
      <c r="AA1424" s="24" t="str">
        <f t="shared" si="45"/>
        <v/>
      </c>
    </row>
    <row r="1425" spans="26:27" x14ac:dyDescent="0.2">
      <c r="Z1425" s="10">
        <f t="shared" si="44"/>
        <v>0</v>
      </c>
      <c r="AA1425" s="24" t="str">
        <f t="shared" si="45"/>
        <v/>
      </c>
    </row>
    <row r="1426" spans="26:27" x14ac:dyDescent="0.2">
      <c r="Z1426" s="10">
        <f t="shared" si="44"/>
        <v>0</v>
      </c>
      <c r="AA1426" s="24" t="str">
        <f t="shared" si="45"/>
        <v/>
      </c>
    </row>
    <row r="1427" spans="26:27" x14ac:dyDescent="0.2">
      <c r="Z1427" s="10">
        <f t="shared" si="44"/>
        <v>0</v>
      </c>
      <c r="AA1427" s="24" t="str">
        <f t="shared" si="45"/>
        <v/>
      </c>
    </row>
    <row r="1428" spans="26:27" x14ac:dyDescent="0.2">
      <c r="Z1428" s="10">
        <f t="shared" si="44"/>
        <v>0</v>
      </c>
      <c r="AA1428" s="24" t="str">
        <f t="shared" si="45"/>
        <v/>
      </c>
    </row>
    <row r="1429" spans="26:27" x14ac:dyDescent="0.2">
      <c r="Z1429" s="10">
        <f t="shared" si="44"/>
        <v>0</v>
      </c>
      <c r="AA1429" s="24" t="str">
        <f t="shared" si="45"/>
        <v/>
      </c>
    </row>
    <row r="1430" spans="26:27" x14ac:dyDescent="0.2">
      <c r="Z1430" s="10">
        <f t="shared" si="44"/>
        <v>0</v>
      </c>
      <c r="AA1430" s="24" t="str">
        <f t="shared" si="45"/>
        <v/>
      </c>
    </row>
    <row r="1431" spans="26:27" x14ac:dyDescent="0.2">
      <c r="Z1431" s="10">
        <f t="shared" si="44"/>
        <v>0</v>
      </c>
      <c r="AA1431" s="24" t="str">
        <f t="shared" si="45"/>
        <v/>
      </c>
    </row>
    <row r="1432" spans="26:27" x14ac:dyDescent="0.2">
      <c r="Z1432" s="10">
        <f t="shared" si="44"/>
        <v>0</v>
      </c>
      <c r="AA1432" s="24" t="str">
        <f t="shared" si="45"/>
        <v/>
      </c>
    </row>
    <row r="1433" spans="26:27" x14ac:dyDescent="0.2">
      <c r="Z1433" s="10">
        <f t="shared" si="44"/>
        <v>0</v>
      </c>
      <c r="AA1433" s="24" t="str">
        <f t="shared" si="45"/>
        <v/>
      </c>
    </row>
    <row r="1434" spans="26:27" x14ac:dyDescent="0.2">
      <c r="Z1434" s="10">
        <f t="shared" si="44"/>
        <v>0</v>
      </c>
      <c r="AA1434" s="24" t="str">
        <f t="shared" si="45"/>
        <v/>
      </c>
    </row>
    <row r="1435" spans="26:27" x14ac:dyDescent="0.2">
      <c r="Z1435" s="10">
        <f t="shared" si="44"/>
        <v>0</v>
      </c>
      <c r="AA1435" s="24" t="str">
        <f t="shared" si="45"/>
        <v/>
      </c>
    </row>
    <row r="1436" spans="26:27" x14ac:dyDescent="0.2">
      <c r="Z1436" s="10">
        <f t="shared" si="44"/>
        <v>0</v>
      </c>
      <c r="AA1436" s="24" t="str">
        <f t="shared" si="45"/>
        <v/>
      </c>
    </row>
    <row r="1437" spans="26:27" x14ac:dyDescent="0.2">
      <c r="Z1437" s="10">
        <f t="shared" si="44"/>
        <v>0</v>
      </c>
      <c r="AA1437" s="24" t="str">
        <f t="shared" si="45"/>
        <v/>
      </c>
    </row>
    <row r="1438" spans="26:27" x14ac:dyDescent="0.2">
      <c r="Z1438" s="10">
        <f t="shared" si="44"/>
        <v>0</v>
      </c>
      <c r="AA1438" s="24" t="str">
        <f t="shared" si="45"/>
        <v/>
      </c>
    </row>
    <row r="1439" spans="26:27" x14ac:dyDescent="0.2">
      <c r="Z1439" s="10">
        <f t="shared" si="44"/>
        <v>0</v>
      </c>
      <c r="AA1439" s="24" t="str">
        <f t="shared" si="45"/>
        <v/>
      </c>
    </row>
    <row r="1440" spans="26:27" x14ac:dyDescent="0.2">
      <c r="Z1440" s="10">
        <f t="shared" si="44"/>
        <v>0</v>
      </c>
      <c r="AA1440" s="24" t="str">
        <f t="shared" si="45"/>
        <v/>
      </c>
    </row>
    <row r="1441" spans="26:27" x14ac:dyDescent="0.2">
      <c r="Z1441" s="10">
        <f t="shared" si="44"/>
        <v>0</v>
      </c>
      <c r="AA1441" s="24" t="str">
        <f t="shared" si="45"/>
        <v/>
      </c>
    </row>
    <row r="1442" spans="26:27" x14ac:dyDescent="0.2">
      <c r="Z1442" s="10">
        <f t="shared" si="44"/>
        <v>0</v>
      </c>
      <c r="AA1442" s="24" t="str">
        <f t="shared" si="45"/>
        <v/>
      </c>
    </row>
    <row r="1443" spans="26:27" x14ac:dyDescent="0.2">
      <c r="Z1443" s="10">
        <f t="shared" si="44"/>
        <v>0</v>
      </c>
      <c r="AA1443" s="24" t="str">
        <f t="shared" si="45"/>
        <v/>
      </c>
    </row>
    <row r="1444" spans="26:27" x14ac:dyDescent="0.2">
      <c r="Z1444" s="10">
        <f t="shared" si="44"/>
        <v>0</v>
      </c>
      <c r="AA1444" s="24" t="str">
        <f t="shared" si="45"/>
        <v/>
      </c>
    </row>
    <row r="1445" spans="26:27" x14ac:dyDescent="0.2">
      <c r="Z1445" s="10">
        <f t="shared" si="44"/>
        <v>0</v>
      </c>
      <c r="AA1445" s="24" t="str">
        <f t="shared" si="45"/>
        <v/>
      </c>
    </row>
    <row r="1446" spans="26:27" x14ac:dyDescent="0.2">
      <c r="Z1446" s="10">
        <f t="shared" si="44"/>
        <v>0</v>
      </c>
      <c r="AA1446" s="24" t="str">
        <f t="shared" si="45"/>
        <v/>
      </c>
    </row>
    <row r="1447" spans="26:27" x14ac:dyDescent="0.2">
      <c r="Z1447" s="10">
        <f t="shared" si="44"/>
        <v>0</v>
      </c>
      <c r="AA1447" s="24" t="str">
        <f t="shared" si="45"/>
        <v/>
      </c>
    </row>
    <row r="1448" spans="26:27" x14ac:dyDescent="0.2">
      <c r="Z1448" s="10">
        <f t="shared" si="44"/>
        <v>0</v>
      </c>
      <c r="AA1448" s="24" t="str">
        <f t="shared" si="45"/>
        <v/>
      </c>
    </row>
    <row r="1449" spans="26:27" x14ac:dyDescent="0.2">
      <c r="Z1449" s="10">
        <f t="shared" si="44"/>
        <v>0</v>
      </c>
      <c r="AA1449" s="24" t="str">
        <f t="shared" si="45"/>
        <v/>
      </c>
    </row>
    <row r="1450" spans="26:27" x14ac:dyDescent="0.2">
      <c r="Z1450" s="10">
        <f t="shared" si="44"/>
        <v>0</v>
      </c>
      <c r="AA1450" s="24" t="str">
        <f t="shared" si="45"/>
        <v/>
      </c>
    </row>
    <row r="1451" spans="26:27" x14ac:dyDescent="0.2">
      <c r="Z1451" s="10">
        <f t="shared" si="44"/>
        <v>0</v>
      </c>
      <c r="AA1451" s="24" t="str">
        <f t="shared" si="45"/>
        <v/>
      </c>
    </row>
    <row r="1452" spans="26:27" x14ac:dyDescent="0.2">
      <c r="Z1452" s="10">
        <f t="shared" si="44"/>
        <v>0</v>
      </c>
      <c r="AA1452" s="24" t="str">
        <f t="shared" si="45"/>
        <v/>
      </c>
    </row>
    <row r="1453" spans="26:27" x14ac:dyDescent="0.2">
      <c r="Z1453" s="10">
        <f t="shared" si="44"/>
        <v>0</v>
      </c>
      <c r="AA1453" s="24" t="str">
        <f t="shared" si="45"/>
        <v/>
      </c>
    </row>
    <row r="1454" spans="26:27" x14ac:dyDescent="0.2">
      <c r="Z1454" s="10">
        <f t="shared" si="44"/>
        <v>0</v>
      </c>
      <c r="AA1454" s="24" t="str">
        <f t="shared" si="45"/>
        <v/>
      </c>
    </row>
    <row r="1455" spans="26:27" x14ac:dyDescent="0.2">
      <c r="Z1455" s="10">
        <f t="shared" si="44"/>
        <v>0</v>
      </c>
      <c r="AA1455" s="24" t="str">
        <f t="shared" si="45"/>
        <v/>
      </c>
    </row>
    <row r="1456" spans="26:27" x14ac:dyDescent="0.2">
      <c r="Z1456" s="10">
        <f t="shared" si="44"/>
        <v>0</v>
      </c>
      <c r="AA1456" s="24" t="str">
        <f t="shared" si="45"/>
        <v/>
      </c>
    </row>
    <row r="1457" spans="26:27" x14ac:dyDescent="0.2">
      <c r="Z1457" s="10">
        <f t="shared" si="44"/>
        <v>0</v>
      </c>
      <c r="AA1457" s="24" t="str">
        <f t="shared" si="45"/>
        <v/>
      </c>
    </row>
    <row r="1458" spans="26:27" x14ac:dyDescent="0.2">
      <c r="Z1458" s="10">
        <f t="shared" si="44"/>
        <v>0</v>
      </c>
      <c r="AA1458" s="24" t="str">
        <f t="shared" si="45"/>
        <v/>
      </c>
    </row>
    <row r="1459" spans="26:27" x14ac:dyDescent="0.2">
      <c r="Z1459" s="10">
        <f t="shared" si="44"/>
        <v>0</v>
      </c>
      <c r="AA1459" s="24" t="str">
        <f t="shared" si="45"/>
        <v/>
      </c>
    </row>
    <row r="1460" spans="26:27" x14ac:dyDescent="0.2">
      <c r="Z1460" s="10">
        <f t="shared" si="44"/>
        <v>0</v>
      </c>
      <c r="AA1460" s="24" t="str">
        <f t="shared" si="45"/>
        <v/>
      </c>
    </row>
    <row r="1461" spans="26:27" x14ac:dyDescent="0.2">
      <c r="Z1461" s="10">
        <f t="shared" si="44"/>
        <v>0</v>
      </c>
      <c r="AA1461" s="24" t="str">
        <f t="shared" si="45"/>
        <v/>
      </c>
    </row>
    <row r="1462" spans="26:27" x14ac:dyDescent="0.2">
      <c r="Z1462" s="10">
        <f t="shared" si="44"/>
        <v>0</v>
      </c>
      <c r="AA1462" s="24" t="str">
        <f t="shared" si="45"/>
        <v/>
      </c>
    </row>
    <row r="1463" spans="26:27" x14ac:dyDescent="0.2">
      <c r="Z1463" s="10">
        <f t="shared" si="44"/>
        <v>0</v>
      </c>
      <c r="AA1463" s="24" t="str">
        <f t="shared" si="45"/>
        <v/>
      </c>
    </row>
    <row r="1464" spans="26:27" x14ac:dyDescent="0.2">
      <c r="Z1464" s="10">
        <f t="shared" si="44"/>
        <v>0</v>
      </c>
      <c r="AA1464" s="24" t="str">
        <f t="shared" si="45"/>
        <v/>
      </c>
    </row>
    <row r="1465" spans="26:27" x14ac:dyDescent="0.2">
      <c r="Z1465" s="10">
        <f t="shared" si="44"/>
        <v>0</v>
      </c>
      <c r="AA1465" s="24" t="str">
        <f t="shared" si="45"/>
        <v/>
      </c>
    </row>
    <row r="1466" spans="26:27" x14ac:dyDescent="0.2">
      <c r="Z1466" s="10">
        <f t="shared" si="44"/>
        <v>0</v>
      </c>
      <c r="AA1466" s="24" t="str">
        <f t="shared" si="45"/>
        <v/>
      </c>
    </row>
    <row r="1467" spans="26:27" x14ac:dyDescent="0.2">
      <c r="Z1467" s="10">
        <f t="shared" si="44"/>
        <v>0</v>
      </c>
      <c r="AA1467" s="24" t="str">
        <f t="shared" si="45"/>
        <v/>
      </c>
    </row>
    <row r="1468" spans="26:27" x14ac:dyDescent="0.2">
      <c r="Z1468" s="10">
        <f t="shared" si="44"/>
        <v>0</v>
      </c>
      <c r="AA1468" s="24" t="str">
        <f t="shared" si="45"/>
        <v/>
      </c>
    </row>
    <row r="1469" spans="26:27" x14ac:dyDescent="0.2">
      <c r="Z1469" s="10">
        <f t="shared" si="44"/>
        <v>0</v>
      </c>
      <c r="AA1469" s="24" t="str">
        <f t="shared" si="45"/>
        <v/>
      </c>
    </row>
    <row r="1470" spans="26:27" x14ac:dyDescent="0.2">
      <c r="Z1470" s="10">
        <f t="shared" si="44"/>
        <v>0</v>
      </c>
      <c r="AA1470" s="24" t="str">
        <f t="shared" si="45"/>
        <v/>
      </c>
    </row>
    <row r="1471" spans="26:27" x14ac:dyDescent="0.2">
      <c r="Z1471" s="10">
        <f t="shared" si="44"/>
        <v>0</v>
      </c>
      <c r="AA1471" s="24" t="str">
        <f t="shared" si="45"/>
        <v/>
      </c>
    </row>
    <row r="1472" spans="26:27" x14ac:dyDescent="0.2">
      <c r="Z1472" s="10">
        <f t="shared" si="44"/>
        <v>0</v>
      </c>
      <c r="AA1472" s="24" t="str">
        <f t="shared" si="45"/>
        <v/>
      </c>
    </row>
    <row r="1473" spans="26:27" x14ac:dyDescent="0.2">
      <c r="Z1473" s="10">
        <f t="shared" si="44"/>
        <v>0</v>
      </c>
      <c r="AA1473" s="24" t="str">
        <f t="shared" si="45"/>
        <v/>
      </c>
    </row>
    <row r="1474" spans="26:27" x14ac:dyDescent="0.2">
      <c r="Z1474" s="10">
        <f t="shared" si="44"/>
        <v>0</v>
      </c>
      <c r="AA1474" s="24" t="str">
        <f t="shared" si="45"/>
        <v/>
      </c>
    </row>
    <row r="1475" spans="26:27" x14ac:dyDescent="0.2">
      <c r="Z1475" s="10">
        <f t="shared" si="44"/>
        <v>0</v>
      </c>
      <c r="AA1475" s="24" t="str">
        <f t="shared" si="45"/>
        <v/>
      </c>
    </row>
    <row r="1476" spans="26:27" x14ac:dyDescent="0.2">
      <c r="Z1476" s="10">
        <f t="shared" si="44"/>
        <v>0</v>
      </c>
      <c r="AA1476" s="24" t="str">
        <f t="shared" si="45"/>
        <v/>
      </c>
    </row>
    <row r="1477" spans="26:27" x14ac:dyDescent="0.2">
      <c r="Z1477" s="10">
        <f t="shared" ref="Z1477:Z1540" si="46">IF(G1477="PLUM", "Plumbing", IF(G1477="PIPE", "Piping", IF(G1477="HVAC", "Sheet Metal", G1477)))</f>
        <v>0</v>
      </c>
      <c r="AA1477" s="24" t="str">
        <f t="shared" ref="AA1477:AA1540" si="47">IF(ISBLANK(B1477), "", $A$2)</f>
        <v/>
      </c>
    </row>
    <row r="1478" spans="26:27" x14ac:dyDescent="0.2">
      <c r="Z1478" s="10">
        <f t="shared" si="46"/>
        <v>0</v>
      </c>
      <c r="AA1478" s="24" t="str">
        <f t="shared" si="47"/>
        <v/>
      </c>
    </row>
    <row r="1479" spans="26:27" x14ac:dyDescent="0.2">
      <c r="Z1479" s="10">
        <f t="shared" si="46"/>
        <v>0</v>
      </c>
      <c r="AA1479" s="24" t="str">
        <f t="shared" si="47"/>
        <v/>
      </c>
    </row>
    <row r="1480" spans="26:27" x14ac:dyDescent="0.2">
      <c r="Z1480" s="10">
        <f t="shared" si="46"/>
        <v>0</v>
      </c>
      <c r="AA1480" s="24" t="str">
        <f t="shared" si="47"/>
        <v/>
      </c>
    </row>
    <row r="1481" spans="26:27" x14ac:dyDescent="0.2">
      <c r="Z1481" s="10">
        <f t="shared" si="46"/>
        <v>0</v>
      </c>
      <c r="AA1481" s="24" t="str">
        <f t="shared" si="47"/>
        <v/>
      </c>
    </row>
    <row r="1482" spans="26:27" x14ac:dyDescent="0.2">
      <c r="Z1482" s="10">
        <f t="shared" si="46"/>
        <v>0</v>
      </c>
      <c r="AA1482" s="24" t="str">
        <f t="shared" si="47"/>
        <v/>
      </c>
    </row>
    <row r="1483" spans="26:27" x14ac:dyDescent="0.2">
      <c r="Z1483" s="10">
        <f t="shared" si="46"/>
        <v>0</v>
      </c>
      <c r="AA1483" s="24" t="str">
        <f t="shared" si="47"/>
        <v/>
      </c>
    </row>
    <row r="1484" spans="26:27" x14ac:dyDescent="0.2">
      <c r="Z1484" s="10">
        <f t="shared" si="46"/>
        <v>0</v>
      </c>
      <c r="AA1484" s="24" t="str">
        <f t="shared" si="47"/>
        <v/>
      </c>
    </row>
    <row r="1485" spans="26:27" x14ac:dyDescent="0.2">
      <c r="Z1485" s="10">
        <f t="shared" si="46"/>
        <v>0</v>
      </c>
      <c r="AA1485" s="24" t="str">
        <f t="shared" si="47"/>
        <v/>
      </c>
    </row>
    <row r="1486" spans="26:27" x14ac:dyDescent="0.2">
      <c r="Z1486" s="10">
        <f t="shared" si="46"/>
        <v>0</v>
      </c>
      <c r="AA1486" s="24" t="str">
        <f t="shared" si="47"/>
        <v/>
      </c>
    </row>
    <row r="1487" spans="26:27" x14ac:dyDescent="0.2">
      <c r="Z1487" s="10">
        <f t="shared" si="46"/>
        <v>0</v>
      </c>
      <c r="AA1487" s="24" t="str">
        <f t="shared" si="47"/>
        <v/>
      </c>
    </row>
    <row r="1488" spans="26:27" x14ac:dyDescent="0.2">
      <c r="Z1488" s="10">
        <f t="shared" si="46"/>
        <v>0</v>
      </c>
      <c r="AA1488" s="24" t="str">
        <f t="shared" si="47"/>
        <v/>
      </c>
    </row>
    <row r="1489" spans="26:27" x14ac:dyDescent="0.2">
      <c r="Z1489" s="10">
        <f t="shared" si="46"/>
        <v>0</v>
      </c>
      <c r="AA1489" s="24" t="str">
        <f t="shared" si="47"/>
        <v/>
      </c>
    </row>
    <row r="1490" spans="26:27" x14ac:dyDescent="0.2">
      <c r="Z1490" s="10">
        <f t="shared" si="46"/>
        <v>0</v>
      </c>
      <c r="AA1490" s="24" t="str">
        <f t="shared" si="47"/>
        <v/>
      </c>
    </row>
    <row r="1491" spans="26:27" x14ac:dyDescent="0.2">
      <c r="Z1491" s="10">
        <f t="shared" si="46"/>
        <v>0</v>
      </c>
      <c r="AA1491" s="24" t="str">
        <f t="shared" si="47"/>
        <v/>
      </c>
    </row>
    <row r="1492" spans="26:27" x14ac:dyDescent="0.2">
      <c r="Z1492" s="10">
        <f t="shared" si="46"/>
        <v>0</v>
      </c>
      <c r="AA1492" s="24" t="str">
        <f t="shared" si="47"/>
        <v/>
      </c>
    </row>
    <row r="1493" spans="26:27" x14ac:dyDescent="0.2">
      <c r="Z1493" s="10">
        <f t="shared" si="46"/>
        <v>0</v>
      </c>
      <c r="AA1493" s="24" t="str">
        <f t="shared" si="47"/>
        <v/>
      </c>
    </row>
    <row r="1494" spans="26:27" x14ac:dyDescent="0.2">
      <c r="Z1494" s="10">
        <f t="shared" si="46"/>
        <v>0</v>
      </c>
      <c r="AA1494" s="24" t="str">
        <f t="shared" si="47"/>
        <v/>
      </c>
    </row>
    <row r="1495" spans="26:27" x14ac:dyDescent="0.2">
      <c r="Z1495" s="10">
        <f t="shared" si="46"/>
        <v>0</v>
      </c>
      <c r="AA1495" s="24" t="str">
        <f t="shared" si="47"/>
        <v/>
      </c>
    </row>
    <row r="1496" spans="26:27" x14ac:dyDescent="0.2">
      <c r="Z1496" s="10">
        <f t="shared" si="46"/>
        <v>0</v>
      </c>
      <c r="AA1496" s="24" t="str">
        <f t="shared" si="47"/>
        <v/>
      </c>
    </row>
    <row r="1497" spans="26:27" x14ac:dyDescent="0.2">
      <c r="Z1497" s="10">
        <f t="shared" si="46"/>
        <v>0</v>
      </c>
      <c r="AA1497" s="24" t="str">
        <f t="shared" si="47"/>
        <v/>
      </c>
    </row>
    <row r="1498" spans="26:27" x14ac:dyDescent="0.2">
      <c r="Z1498" s="10">
        <f t="shared" si="46"/>
        <v>0</v>
      </c>
      <c r="AA1498" s="24" t="str">
        <f t="shared" si="47"/>
        <v/>
      </c>
    </row>
    <row r="1499" spans="26:27" x14ac:dyDescent="0.2">
      <c r="Z1499" s="10">
        <f t="shared" si="46"/>
        <v>0</v>
      </c>
      <c r="AA1499" s="24" t="str">
        <f t="shared" si="47"/>
        <v/>
      </c>
    </row>
    <row r="1500" spans="26:27" x14ac:dyDescent="0.2">
      <c r="Z1500" s="10">
        <f t="shared" si="46"/>
        <v>0</v>
      </c>
      <c r="AA1500" s="24" t="str">
        <f t="shared" si="47"/>
        <v/>
      </c>
    </row>
    <row r="1501" spans="26:27" x14ac:dyDescent="0.2">
      <c r="Z1501" s="10">
        <f t="shared" si="46"/>
        <v>0</v>
      </c>
      <c r="AA1501" s="24" t="str">
        <f t="shared" si="47"/>
        <v/>
      </c>
    </row>
    <row r="1502" spans="26:27" x14ac:dyDescent="0.2">
      <c r="Z1502" s="10">
        <f t="shared" si="46"/>
        <v>0</v>
      </c>
      <c r="AA1502" s="24" t="str">
        <f t="shared" si="47"/>
        <v/>
      </c>
    </row>
    <row r="1503" spans="26:27" x14ac:dyDescent="0.2">
      <c r="Z1503" s="10">
        <f t="shared" si="46"/>
        <v>0</v>
      </c>
      <c r="AA1503" s="24" t="str">
        <f t="shared" si="47"/>
        <v/>
      </c>
    </row>
    <row r="1504" spans="26:27" x14ac:dyDescent="0.2">
      <c r="Z1504" s="10">
        <f t="shared" si="46"/>
        <v>0</v>
      </c>
      <c r="AA1504" s="24" t="str">
        <f t="shared" si="47"/>
        <v/>
      </c>
    </row>
    <row r="1505" spans="26:27" x14ac:dyDescent="0.2">
      <c r="Z1505" s="10">
        <f t="shared" si="46"/>
        <v>0</v>
      </c>
      <c r="AA1505" s="24" t="str">
        <f t="shared" si="47"/>
        <v/>
      </c>
    </row>
    <row r="1506" spans="26:27" x14ac:dyDescent="0.2">
      <c r="Z1506" s="10">
        <f t="shared" si="46"/>
        <v>0</v>
      </c>
      <c r="AA1506" s="24" t="str">
        <f t="shared" si="47"/>
        <v/>
      </c>
    </row>
    <row r="1507" spans="26:27" x14ac:dyDescent="0.2">
      <c r="Z1507" s="10">
        <f t="shared" si="46"/>
        <v>0</v>
      </c>
      <c r="AA1507" s="24" t="str">
        <f t="shared" si="47"/>
        <v/>
      </c>
    </row>
    <row r="1508" spans="26:27" x14ac:dyDescent="0.2">
      <c r="Z1508" s="10">
        <f t="shared" si="46"/>
        <v>0</v>
      </c>
      <c r="AA1508" s="24" t="str">
        <f t="shared" si="47"/>
        <v/>
      </c>
    </row>
    <row r="1509" spans="26:27" x14ac:dyDescent="0.2">
      <c r="Z1509" s="10">
        <f t="shared" si="46"/>
        <v>0</v>
      </c>
      <c r="AA1509" s="24" t="str">
        <f t="shared" si="47"/>
        <v/>
      </c>
    </row>
    <row r="1510" spans="26:27" x14ac:dyDescent="0.2">
      <c r="Z1510" s="10">
        <f t="shared" si="46"/>
        <v>0</v>
      </c>
      <c r="AA1510" s="24" t="str">
        <f t="shared" si="47"/>
        <v/>
      </c>
    </row>
    <row r="1511" spans="26:27" x14ac:dyDescent="0.2">
      <c r="Z1511" s="10">
        <f t="shared" si="46"/>
        <v>0</v>
      </c>
      <c r="AA1511" s="24" t="str">
        <f t="shared" si="47"/>
        <v/>
      </c>
    </row>
    <row r="1512" spans="26:27" x14ac:dyDescent="0.2">
      <c r="Z1512" s="10">
        <f t="shared" si="46"/>
        <v>0</v>
      </c>
      <c r="AA1512" s="24" t="str">
        <f t="shared" si="47"/>
        <v/>
      </c>
    </row>
    <row r="1513" spans="26:27" x14ac:dyDescent="0.2">
      <c r="Z1513" s="10">
        <f t="shared" si="46"/>
        <v>0</v>
      </c>
      <c r="AA1513" s="24" t="str">
        <f t="shared" si="47"/>
        <v/>
      </c>
    </row>
    <row r="1514" spans="26:27" x14ac:dyDescent="0.2">
      <c r="Z1514" s="10">
        <f t="shared" si="46"/>
        <v>0</v>
      </c>
      <c r="AA1514" s="24" t="str">
        <f t="shared" si="47"/>
        <v/>
      </c>
    </row>
    <row r="1515" spans="26:27" x14ac:dyDescent="0.2">
      <c r="Z1515" s="10">
        <f t="shared" si="46"/>
        <v>0</v>
      </c>
      <c r="AA1515" s="24" t="str">
        <f t="shared" si="47"/>
        <v/>
      </c>
    </row>
    <row r="1516" spans="26:27" x14ac:dyDescent="0.2">
      <c r="Z1516" s="10">
        <f t="shared" si="46"/>
        <v>0</v>
      </c>
      <c r="AA1516" s="24" t="str">
        <f t="shared" si="47"/>
        <v/>
      </c>
    </row>
    <row r="1517" spans="26:27" x14ac:dyDescent="0.2">
      <c r="Z1517" s="10">
        <f t="shared" si="46"/>
        <v>0</v>
      </c>
      <c r="AA1517" s="24" t="str">
        <f t="shared" si="47"/>
        <v/>
      </c>
    </row>
    <row r="1518" spans="26:27" x14ac:dyDescent="0.2">
      <c r="Z1518" s="10">
        <f t="shared" si="46"/>
        <v>0</v>
      </c>
      <c r="AA1518" s="24" t="str">
        <f t="shared" si="47"/>
        <v/>
      </c>
    </row>
    <row r="1519" spans="26:27" x14ac:dyDescent="0.2">
      <c r="Z1519" s="10">
        <f t="shared" si="46"/>
        <v>0</v>
      </c>
      <c r="AA1519" s="24" t="str">
        <f t="shared" si="47"/>
        <v/>
      </c>
    </row>
    <row r="1520" spans="26:27" x14ac:dyDescent="0.2">
      <c r="Z1520" s="10">
        <f t="shared" si="46"/>
        <v>0</v>
      </c>
      <c r="AA1520" s="24" t="str">
        <f t="shared" si="47"/>
        <v/>
      </c>
    </row>
    <row r="1521" spans="26:27" x14ac:dyDescent="0.2">
      <c r="Z1521" s="10">
        <f t="shared" si="46"/>
        <v>0</v>
      </c>
      <c r="AA1521" s="24" t="str">
        <f t="shared" si="47"/>
        <v/>
      </c>
    </row>
    <row r="1522" spans="26:27" x14ac:dyDescent="0.2">
      <c r="Z1522" s="10">
        <f t="shared" si="46"/>
        <v>0</v>
      </c>
      <c r="AA1522" s="24" t="str">
        <f t="shared" si="47"/>
        <v/>
      </c>
    </row>
    <row r="1523" spans="26:27" x14ac:dyDescent="0.2">
      <c r="Z1523" s="10">
        <f t="shared" si="46"/>
        <v>0</v>
      </c>
      <c r="AA1523" s="24" t="str">
        <f t="shared" si="47"/>
        <v/>
      </c>
    </row>
    <row r="1524" spans="26:27" x14ac:dyDescent="0.2">
      <c r="Z1524" s="10">
        <f t="shared" si="46"/>
        <v>0</v>
      </c>
      <c r="AA1524" s="24" t="str">
        <f t="shared" si="47"/>
        <v/>
      </c>
    </row>
    <row r="1525" spans="26:27" x14ac:dyDescent="0.2">
      <c r="Z1525" s="10">
        <f t="shared" si="46"/>
        <v>0</v>
      </c>
      <c r="AA1525" s="24" t="str">
        <f t="shared" si="47"/>
        <v/>
      </c>
    </row>
    <row r="1526" spans="26:27" x14ac:dyDescent="0.2">
      <c r="Z1526" s="10">
        <f t="shared" si="46"/>
        <v>0</v>
      </c>
      <c r="AA1526" s="24" t="str">
        <f t="shared" si="47"/>
        <v/>
      </c>
    </row>
    <row r="1527" spans="26:27" x14ac:dyDescent="0.2">
      <c r="Z1527" s="10">
        <f t="shared" si="46"/>
        <v>0</v>
      </c>
      <c r="AA1527" s="24" t="str">
        <f t="shared" si="47"/>
        <v/>
      </c>
    </row>
    <row r="1528" spans="26:27" x14ac:dyDescent="0.2">
      <c r="Z1528" s="10">
        <f t="shared" si="46"/>
        <v>0</v>
      </c>
      <c r="AA1528" s="24" t="str">
        <f t="shared" si="47"/>
        <v/>
      </c>
    </row>
    <row r="1529" spans="26:27" x14ac:dyDescent="0.2">
      <c r="Z1529" s="10">
        <f t="shared" si="46"/>
        <v>0</v>
      </c>
      <c r="AA1529" s="24" t="str">
        <f t="shared" si="47"/>
        <v/>
      </c>
    </row>
    <row r="1530" spans="26:27" x14ac:dyDescent="0.2">
      <c r="Z1530" s="10">
        <f t="shared" si="46"/>
        <v>0</v>
      </c>
      <c r="AA1530" s="24" t="str">
        <f t="shared" si="47"/>
        <v/>
      </c>
    </row>
    <row r="1531" spans="26:27" x14ac:dyDescent="0.2">
      <c r="Z1531" s="10">
        <f t="shared" si="46"/>
        <v>0</v>
      </c>
      <c r="AA1531" s="24" t="str">
        <f t="shared" si="47"/>
        <v/>
      </c>
    </row>
    <row r="1532" spans="26:27" x14ac:dyDescent="0.2">
      <c r="Z1532" s="10">
        <f t="shared" si="46"/>
        <v>0</v>
      </c>
      <c r="AA1532" s="24" t="str">
        <f t="shared" si="47"/>
        <v/>
      </c>
    </row>
    <row r="1533" spans="26:27" x14ac:dyDescent="0.2">
      <c r="Z1533" s="10">
        <f t="shared" si="46"/>
        <v>0</v>
      </c>
      <c r="AA1533" s="24" t="str">
        <f t="shared" si="47"/>
        <v/>
      </c>
    </row>
    <row r="1534" spans="26:27" x14ac:dyDescent="0.2">
      <c r="Z1534" s="10">
        <f t="shared" si="46"/>
        <v>0</v>
      </c>
      <c r="AA1534" s="24" t="str">
        <f t="shared" si="47"/>
        <v/>
      </c>
    </row>
    <row r="1535" spans="26:27" x14ac:dyDescent="0.2">
      <c r="Z1535" s="10">
        <f t="shared" si="46"/>
        <v>0</v>
      </c>
      <c r="AA1535" s="24" t="str">
        <f t="shared" si="47"/>
        <v/>
      </c>
    </row>
    <row r="1536" spans="26:27" x14ac:dyDescent="0.2">
      <c r="Z1536" s="10">
        <f t="shared" si="46"/>
        <v>0</v>
      </c>
      <c r="AA1536" s="24" t="str">
        <f t="shared" si="47"/>
        <v/>
      </c>
    </row>
    <row r="1537" spans="26:27" x14ac:dyDescent="0.2">
      <c r="Z1537" s="10">
        <f t="shared" si="46"/>
        <v>0</v>
      </c>
      <c r="AA1537" s="24" t="str">
        <f t="shared" si="47"/>
        <v/>
      </c>
    </row>
    <row r="1538" spans="26:27" x14ac:dyDescent="0.2">
      <c r="Z1538" s="10">
        <f t="shared" si="46"/>
        <v>0</v>
      </c>
      <c r="AA1538" s="24" t="str">
        <f t="shared" si="47"/>
        <v/>
      </c>
    </row>
    <row r="1539" spans="26:27" x14ac:dyDescent="0.2">
      <c r="Z1539" s="10">
        <f t="shared" si="46"/>
        <v>0</v>
      </c>
      <c r="AA1539" s="24" t="str">
        <f t="shared" si="47"/>
        <v/>
      </c>
    </row>
    <row r="1540" spans="26:27" x14ac:dyDescent="0.2">
      <c r="Z1540" s="10">
        <f t="shared" si="46"/>
        <v>0</v>
      </c>
      <c r="AA1540" s="24" t="str">
        <f t="shared" si="47"/>
        <v/>
      </c>
    </row>
    <row r="1541" spans="26:27" x14ac:dyDescent="0.2">
      <c r="Z1541" s="10">
        <f t="shared" ref="Z1541:Z1604" si="48">IF(G1541="PLUM", "Plumbing", IF(G1541="PIPE", "Piping", IF(G1541="HVAC", "Sheet Metal", G1541)))</f>
        <v>0</v>
      </c>
      <c r="AA1541" s="24" t="str">
        <f t="shared" ref="AA1541:AA1604" si="49">IF(ISBLANK(B1541), "", $A$2)</f>
        <v/>
      </c>
    </row>
    <row r="1542" spans="26:27" x14ac:dyDescent="0.2">
      <c r="Z1542" s="10">
        <f t="shared" si="48"/>
        <v>0</v>
      </c>
      <c r="AA1542" s="24" t="str">
        <f t="shared" si="49"/>
        <v/>
      </c>
    </row>
    <row r="1543" spans="26:27" x14ac:dyDescent="0.2">
      <c r="Z1543" s="10">
        <f t="shared" si="48"/>
        <v>0</v>
      </c>
      <c r="AA1543" s="24" t="str">
        <f t="shared" si="49"/>
        <v/>
      </c>
    </row>
    <row r="1544" spans="26:27" x14ac:dyDescent="0.2">
      <c r="Z1544" s="10">
        <f t="shared" si="48"/>
        <v>0</v>
      </c>
      <c r="AA1544" s="24" t="str">
        <f t="shared" si="49"/>
        <v/>
      </c>
    </row>
    <row r="1545" spans="26:27" x14ac:dyDescent="0.2">
      <c r="Z1545" s="10">
        <f t="shared" si="48"/>
        <v>0</v>
      </c>
      <c r="AA1545" s="24" t="str">
        <f t="shared" si="49"/>
        <v/>
      </c>
    </row>
    <row r="1546" spans="26:27" x14ac:dyDescent="0.2">
      <c r="Z1546" s="10">
        <f t="shared" si="48"/>
        <v>0</v>
      </c>
      <c r="AA1546" s="24" t="str">
        <f t="shared" si="49"/>
        <v/>
      </c>
    </row>
    <row r="1547" spans="26:27" x14ac:dyDescent="0.2">
      <c r="Z1547" s="10">
        <f t="shared" si="48"/>
        <v>0</v>
      </c>
      <c r="AA1547" s="24" t="str">
        <f t="shared" si="49"/>
        <v/>
      </c>
    </row>
    <row r="1548" spans="26:27" x14ac:dyDescent="0.2">
      <c r="Z1548" s="10">
        <f t="shared" si="48"/>
        <v>0</v>
      </c>
      <c r="AA1548" s="24" t="str">
        <f t="shared" si="49"/>
        <v/>
      </c>
    </row>
    <row r="1549" spans="26:27" x14ac:dyDescent="0.2">
      <c r="Z1549" s="10">
        <f t="shared" si="48"/>
        <v>0</v>
      </c>
      <c r="AA1549" s="24" t="str">
        <f t="shared" si="49"/>
        <v/>
      </c>
    </row>
    <row r="1550" spans="26:27" x14ac:dyDescent="0.2">
      <c r="Z1550" s="10">
        <f t="shared" si="48"/>
        <v>0</v>
      </c>
      <c r="AA1550" s="24" t="str">
        <f t="shared" si="49"/>
        <v/>
      </c>
    </row>
    <row r="1551" spans="26:27" x14ac:dyDescent="0.2">
      <c r="Z1551" s="10">
        <f t="shared" si="48"/>
        <v>0</v>
      </c>
      <c r="AA1551" s="24" t="str">
        <f t="shared" si="49"/>
        <v/>
      </c>
    </row>
    <row r="1552" spans="26:27" x14ac:dyDescent="0.2">
      <c r="Z1552" s="10">
        <f t="shared" si="48"/>
        <v>0</v>
      </c>
      <c r="AA1552" s="24" t="str">
        <f t="shared" si="49"/>
        <v/>
      </c>
    </row>
    <row r="1553" spans="26:27" x14ac:dyDescent="0.2">
      <c r="Z1553" s="10">
        <f t="shared" si="48"/>
        <v>0</v>
      </c>
      <c r="AA1553" s="24" t="str">
        <f t="shared" si="49"/>
        <v/>
      </c>
    </row>
    <row r="1554" spans="26:27" x14ac:dyDescent="0.2">
      <c r="Z1554" s="10">
        <f t="shared" si="48"/>
        <v>0</v>
      </c>
      <c r="AA1554" s="24" t="str">
        <f t="shared" si="49"/>
        <v/>
      </c>
    </row>
    <row r="1555" spans="26:27" x14ac:dyDescent="0.2">
      <c r="Z1555" s="10">
        <f t="shared" si="48"/>
        <v>0</v>
      </c>
      <c r="AA1555" s="24" t="str">
        <f t="shared" si="49"/>
        <v/>
      </c>
    </row>
    <row r="1556" spans="26:27" x14ac:dyDescent="0.2">
      <c r="Z1556" s="10">
        <f t="shared" si="48"/>
        <v>0</v>
      </c>
      <c r="AA1556" s="24" t="str">
        <f t="shared" si="49"/>
        <v/>
      </c>
    </row>
    <row r="1557" spans="26:27" x14ac:dyDescent="0.2">
      <c r="Z1557" s="10">
        <f t="shared" si="48"/>
        <v>0</v>
      </c>
      <c r="AA1557" s="24" t="str">
        <f t="shared" si="49"/>
        <v/>
      </c>
    </row>
    <row r="1558" spans="26:27" x14ac:dyDescent="0.2">
      <c r="Z1558" s="10">
        <f t="shared" si="48"/>
        <v>0</v>
      </c>
      <c r="AA1558" s="24" t="str">
        <f t="shared" si="49"/>
        <v/>
      </c>
    </row>
    <row r="1559" spans="26:27" x14ac:dyDescent="0.2">
      <c r="Z1559" s="10">
        <f t="shared" si="48"/>
        <v>0</v>
      </c>
      <c r="AA1559" s="24" t="str">
        <f t="shared" si="49"/>
        <v/>
      </c>
    </row>
    <row r="1560" spans="26:27" x14ac:dyDescent="0.2">
      <c r="Z1560" s="10">
        <f t="shared" si="48"/>
        <v>0</v>
      </c>
      <c r="AA1560" s="24" t="str">
        <f t="shared" si="49"/>
        <v/>
      </c>
    </row>
    <row r="1561" spans="26:27" x14ac:dyDescent="0.2">
      <c r="Z1561" s="10">
        <f t="shared" si="48"/>
        <v>0</v>
      </c>
      <c r="AA1561" s="24" t="str">
        <f t="shared" si="49"/>
        <v/>
      </c>
    </row>
    <row r="1562" spans="26:27" x14ac:dyDescent="0.2">
      <c r="Z1562" s="10">
        <f t="shared" si="48"/>
        <v>0</v>
      </c>
      <c r="AA1562" s="24" t="str">
        <f t="shared" si="49"/>
        <v/>
      </c>
    </row>
    <row r="1563" spans="26:27" x14ac:dyDescent="0.2">
      <c r="Z1563" s="10">
        <f t="shared" si="48"/>
        <v>0</v>
      </c>
      <c r="AA1563" s="24" t="str">
        <f t="shared" si="49"/>
        <v/>
      </c>
    </row>
    <row r="1564" spans="26:27" x14ac:dyDescent="0.2">
      <c r="Z1564" s="10">
        <f t="shared" si="48"/>
        <v>0</v>
      </c>
      <c r="AA1564" s="24" t="str">
        <f t="shared" si="49"/>
        <v/>
      </c>
    </row>
    <row r="1565" spans="26:27" x14ac:dyDescent="0.2">
      <c r="Z1565" s="10">
        <f t="shared" si="48"/>
        <v>0</v>
      </c>
      <c r="AA1565" s="24" t="str">
        <f t="shared" si="49"/>
        <v/>
      </c>
    </row>
    <row r="1566" spans="26:27" x14ac:dyDescent="0.2">
      <c r="Z1566" s="10">
        <f t="shared" si="48"/>
        <v>0</v>
      </c>
      <c r="AA1566" s="24" t="str">
        <f t="shared" si="49"/>
        <v/>
      </c>
    </row>
    <row r="1567" spans="26:27" x14ac:dyDescent="0.2">
      <c r="Z1567" s="10">
        <f t="shared" si="48"/>
        <v>0</v>
      </c>
      <c r="AA1567" s="24" t="str">
        <f t="shared" si="49"/>
        <v/>
      </c>
    </row>
    <row r="1568" spans="26:27" x14ac:dyDescent="0.2">
      <c r="Z1568" s="10">
        <f t="shared" si="48"/>
        <v>0</v>
      </c>
      <c r="AA1568" s="24" t="str">
        <f t="shared" si="49"/>
        <v/>
      </c>
    </row>
    <row r="1569" spans="26:27" x14ac:dyDescent="0.2">
      <c r="Z1569" s="10">
        <f t="shared" si="48"/>
        <v>0</v>
      </c>
      <c r="AA1569" s="24" t="str">
        <f t="shared" si="49"/>
        <v/>
      </c>
    </row>
    <row r="1570" spans="26:27" x14ac:dyDescent="0.2">
      <c r="Z1570" s="10">
        <f t="shared" si="48"/>
        <v>0</v>
      </c>
      <c r="AA1570" s="24" t="str">
        <f t="shared" si="49"/>
        <v/>
      </c>
    </row>
    <row r="1571" spans="26:27" x14ac:dyDescent="0.2">
      <c r="Z1571" s="10">
        <f t="shared" si="48"/>
        <v>0</v>
      </c>
      <c r="AA1571" s="24" t="str">
        <f t="shared" si="49"/>
        <v/>
      </c>
    </row>
    <row r="1572" spans="26:27" x14ac:dyDescent="0.2">
      <c r="Z1572" s="10">
        <f t="shared" si="48"/>
        <v>0</v>
      </c>
      <c r="AA1572" s="24" t="str">
        <f t="shared" si="49"/>
        <v/>
      </c>
    </row>
    <row r="1573" spans="26:27" x14ac:dyDescent="0.2">
      <c r="Z1573" s="10">
        <f t="shared" si="48"/>
        <v>0</v>
      </c>
      <c r="AA1573" s="24" t="str">
        <f t="shared" si="49"/>
        <v/>
      </c>
    </row>
    <row r="1574" spans="26:27" x14ac:dyDescent="0.2">
      <c r="Z1574" s="10">
        <f t="shared" si="48"/>
        <v>0</v>
      </c>
      <c r="AA1574" s="24" t="str">
        <f t="shared" si="49"/>
        <v/>
      </c>
    </row>
    <row r="1575" spans="26:27" x14ac:dyDescent="0.2">
      <c r="Z1575" s="10">
        <f t="shared" si="48"/>
        <v>0</v>
      </c>
      <c r="AA1575" s="24" t="str">
        <f t="shared" si="49"/>
        <v/>
      </c>
    </row>
    <row r="1576" spans="26:27" x14ac:dyDescent="0.2">
      <c r="Z1576" s="10">
        <f t="shared" si="48"/>
        <v>0</v>
      </c>
      <c r="AA1576" s="24" t="str">
        <f t="shared" si="49"/>
        <v/>
      </c>
    </row>
    <row r="1577" spans="26:27" x14ac:dyDescent="0.2">
      <c r="Z1577" s="10">
        <f t="shared" si="48"/>
        <v>0</v>
      </c>
      <c r="AA1577" s="24" t="str">
        <f t="shared" si="49"/>
        <v/>
      </c>
    </row>
    <row r="1578" spans="26:27" x14ac:dyDescent="0.2">
      <c r="Z1578" s="10">
        <f t="shared" si="48"/>
        <v>0</v>
      </c>
      <c r="AA1578" s="24" t="str">
        <f t="shared" si="49"/>
        <v/>
      </c>
    </row>
    <row r="1579" spans="26:27" x14ac:dyDescent="0.2">
      <c r="Z1579" s="10">
        <f t="shared" si="48"/>
        <v>0</v>
      </c>
      <c r="AA1579" s="24" t="str">
        <f t="shared" si="49"/>
        <v/>
      </c>
    </row>
    <row r="1580" spans="26:27" x14ac:dyDescent="0.2">
      <c r="Z1580" s="10">
        <f t="shared" si="48"/>
        <v>0</v>
      </c>
      <c r="AA1580" s="24" t="str">
        <f t="shared" si="49"/>
        <v/>
      </c>
    </row>
    <row r="1581" spans="26:27" x14ac:dyDescent="0.2">
      <c r="Z1581" s="10">
        <f t="shared" si="48"/>
        <v>0</v>
      </c>
      <c r="AA1581" s="24" t="str">
        <f t="shared" si="49"/>
        <v/>
      </c>
    </row>
    <row r="1582" spans="26:27" x14ac:dyDescent="0.2">
      <c r="Z1582" s="10">
        <f t="shared" si="48"/>
        <v>0</v>
      </c>
      <c r="AA1582" s="24" t="str">
        <f t="shared" si="49"/>
        <v/>
      </c>
    </row>
    <row r="1583" spans="26:27" x14ac:dyDescent="0.2">
      <c r="Z1583" s="10">
        <f t="shared" si="48"/>
        <v>0</v>
      </c>
      <c r="AA1583" s="24" t="str">
        <f t="shared" si="49"/>
        <v/>
      </c>
    </row>
    <row r="1584" spans="26:27" x14ac:dyDescent="0.2">
      <c r="Z1584" s="10">
        <f t="shared" si="48"/>
        <v>0</v>
      </c>
      <c r="AA1584" s="24" t="str">
        <f t="shared" si="49"/>
        <v/>
      </c>
    </row>
    <row r="1585" spans="26:27" x14ac:dyDescent="0.2">
      <c r="Z1585" s="10">
        <f t="shared" si="48"/>
        <v>0</v>
      </c>
      <c r="AA1585" s="24" t="str">
        <f t="shared" si="49"/>
        <v/>
      </c>
    </row>
    <row r="1586" spans="26:27" x14ac:dyDescent="0.2">
      <c r="Z1586" s="10">
        <f t="shared" si="48"/>
        <v>0</v>
      </c>
      <c r="AA1586" s="24" t="str">
        <f t="shared" si="49"/>
        <v/>
      </c>
    </row>
    <row r="1587" spans="26:27" x14ac:dyDescent="0.2">
      <c r="Z1587" s="10">
        <f t="shared" si="48"/>
        <v>0</v>
      </c>
      <c r="AA1587" s="24" t="str">
        <f t="shared" si="49"/>
        <v/>
      </c>
    </row>
    <row r="1588" spans="26:27" x14ac:dyDescent="0.2">
      <c r="Z1588" s="10">
        <f t="shared" si="48"/>
        <v>0</v>
      </c>
      <c r="AA1588" s="24" t="str">
        <f t="shared" si="49"/>
        <v/>
      </c>
    </row>
    <row r="1589" spans="26:27" x14ac:dyDescent="0.2">
      <c r="Z1589" s="10">
        <f t="shared" si="48"/>
        <v>0</v>
      </c>
      <c r="AA1589" s="24" t="str">
        <f t="shared" si="49"/>
        <v/>
      </c>
    </row>
    <row r="1590" spans="26:27" x14ac:dyDescent="0.2">
      <c r="Z1590" s="10">
        <f t="shared" si="48"/>
        <v>0</v>
      </c>
      <c r="AA1590" s="24" t="str">
        <f t="shared" si="49"/>
        <v/>
      </c>
    </row>
    <row r="1591" spans="26:27" x14ac:dyDescent="0.2">
      <c r="Z1591" s="10">
        <f t="shared" si="48"/>
        <v>0</v>
      </c>
      <c r="AA1591" s="24" t="str">
        <f t="shared" si="49"/>
        <v/>
      </c>
    </row>
    <row r="1592" spans="26:27" x14ac:dyDescent="0.2">
      <c r="Z1592" s="10">
        <f t="shared" si="48"/>
        <v>0</v>
      </c>
      <c r="AA1592" s="24" t="str">
        <f t="shared" si="49"/>
        <v/>
      </c>
    </row>
    <row r="1593" spans="26:27" x14ac:dyDescent="0.2">
      <c r="Z1593" s="10">
        <f t="shared" si="48"/>
        <v>0</v>
      </c>
      <c r="AA1593" s="24" t="str">
        <f t="shared" si="49"/>
        <v/>
      </c>
    </row>
    <row r="1594" spans="26:27" x14ac:dyDescent="0.2">
      <c r="Z1594" s="10">
        <f t="shared" si="48"/>
        <v>0</v>
      </c>
      <c r="AA1594" s="24" t="str">
        <f t="shared" si="49"/>
        <v/>
      </c>
    </row>
    <row r="1595" spans="26:27" x14ac:dyDescent="0.2">
      <c r="Z1595" s="10">
        <f t="shared" si="48"/>
        <v>0</v>
      </c>
      <c r="AA1595" s="24" t="str">
        <f t="shared" si="49"/>
        <v/>
      </c>
    </row>
    <row r="1596" spans="26:27" x14ac:dyDescent="0.2">
      <c r="Z1596" s="10">
        <f t="shared" si="48"/>
        <v>0</v>
      </c>
      <c r="AA1596" s="24" t="str">
        <f t="shared" si="49"/>
        <v/>
      </c>
    </row>
    <row r="1597" spans="26:27" x14ac:dyDescent="0.2">
      <c r="Z1597" s="10">
        <f t="shared" si="48"/>
        <v>0</v>
      </c>
      <c r="AA1597" s="24" t="str">
        <f t="shared" si="49"/>
        <v/>
      </c>
    </row>
    <row r="1598" spans="26:27" x14ac:dyDescent="0.2">
      <c r="Z1598" s="10">
        <f t="shared" si="48"/>
        <v>0</v>
      </c>
      <c r="AA1598" s="24" t="str">
        <f t="shared" si="49"/>
        <v/>
      </c>
    </row>
    <row r="1599" spans="26:27" x14ac:dyDescent="0.2">
      <c r="Z1599" s="10">
        <f t="shared" si="48"/>
        <v>0</v>
      </c>
      <c r="AA1599" s="24" t="str">
        <f t="shared" si="49"/>
        <v/>
      </c>
    </row>
    <row r="1600" spans="26:27" x14ac:dyDescent="0.2">
      <c r="Z1600" s="10">
        <f t="shared" si="48"/>
        <v>0</v>
      </c>
      <c r="AA1600" s="24" t="str">
        <f t="shared" si="49"/>
        <v/>
      </c>
    </row>
    <row r="1601" spans="26:27" x14ac:dyDescent="0.2">
      <c r="Z1601" s="10">
        <f t="shared" si="48"/>
        <v>0</v>
      </c>
      <c r="AA1601" s="24" t="str">
        <f t="shared" si="49"/>
        <v/>
      </c>
    </row>
    <row r="1602" spans="26:27" x14ac:dyDescent="0.2">
      <c r="Z1602" s="10">
        <f t="shared" si="48"/>
        <v>0</v>
      </c>
      <c r="AA1602" s="24" t="str">
        <f t="shared" si="49"/>
        <v/>
      </c>
    </row>
    <row r="1603" spans="26:27" x14ac:dyDescent="0.2">
      <c r="Z1603" s="10">
        <f t="shared" si="48"/>
        <v>0</v>
      </c>
      <c r="AA1603" s="24" t="str">
        <f t="shared" si="49"/>
        <v/>
      </c>
    </row>
    <row r="1604" spans="26:27" x14ac:dyDescent="0.2">
      <c r="Z1604" s="10">
        <f t="shared" si="48"/>
        <v>0</v>
      </c>
      <c r="AA1604" s="24" t="str">
        <f t="shared" si="49"/>
        <v/>
      </c>
    </row>
    <row r="1605" spans="26:27" x14ac:dyDescent="0.2">
      <c r="Z1605" s="10">
        <f t="shared" ref="Z1605:Z1668" si="50">IF(G1605="PLUM", "Plumbing", IF(G1605="PIPE", "Piping", IF(G1605="HVAC", "Sheet Metal", G1605)))</f>
        <v>0</v>
      </c>
      <c r="AA1605" s="24" t="str">
        <f t="shared" ref="AA1605:AA1668" si="51">IF(ISBLANK(B1605), "", $A$2)</f>
        <v/>
      </c>
    </row>
    <row r="1606" spans="26:27" x14ac:dyDescent="0.2">
      <c r="Z1606" s="10">
        <f t="shared" si="50"/>
        <v>0</v>
      </c>
      <c r="AA1606" s="24" t="str">
        <f t="shared" si="51"/>
        <v/>
      </c>
    </row>
    <row r="1607" spans="26:27" x14ac:dyDescent="0.2">
      <c r="Z1607" s="10">
        <f t="shared" si="50"/>
        <v>0</v>
      </c>
      <c r="AA1607" s="24" t="str">
        <f t="shared" si="51"/>
        <v/>
      </c>
    </row>
    <row r="1608" spans="26:27" x14ac:dyDescent="0.2">
      <c r="Z1608" s="10">
        <f t="shared" si="50"/>
        <v>0</v>
      </c>
      <c r="AA1608" s="24" t="str">
        <f t="shared" si="51"/>
        <v/>
      </c>
    </row>
    <row r="1609" spans="26:27" x14ac:dyDescent="0.2">
      <c r="Z1609" s="10">
        <f t="shared" si="50"/>
        <v>0</v>
      </c>
      <c r="AA1609" s="24" t="str">
        <f t="shared" si="51"/>
        <v/>
      </c>
    </row>
    <row r="1610" spans="26:27" x14ac:dyDescent="0.2">
      <c r="Z1610" s="10">
        <f t="shared" si="50"/>
        <v>0</v>
      </c>
      <c r="AA1610" s="24" t="str">
        <f t="shared" si="51"/>
        <v/>
      </c>
    </row>
    <row r="1611" spans="26:27" x14ac:dyDescent="0.2">
      <c r="Z1611" s="10">
        <f t="shared" si="50"/>
        <v>0</v>
      </c>
      <c r="AA1611" s="24" t="str">
        <f t="shared" si="51"/>
        <v/>
      </c>
    </row>
    <row r="1612" spans="26:27" x14ac:dyDescent="0.2">
      <c r="Z1612" s="10">
        <f t="shared" si="50"/>
        <v>0</v>
      </c>
      <c r="AA1612" s="24" t="str">
        <f t="shared" si="51"/>
        <v/>
      </c>
    </row>
    <row r="1613" spans="26:27" x14ac:dyDescent="0.2">
      <c r="Z1613" s="10">
        <f t="shared" si="50"/>
        <v>0</v>
      </c>
      <c r="AA1613" s="24" t="str">
        <f t="shared" si="51"/>
        <v/>
      </c>
    </row>
    <row r="1614" spans="26:27" x14ac:dyDescent="0.2">
      <c r="Z1614" s="10">
        <f t="shared" si="50"/>
        <v>0</v>
      </c>
      <c r="AA1614" s="24" t="str">
        <f t="shared" si="51"/>
        <v/>
      </c>
    </row>
    <row r="1615" spans="26:27" x14ac:dyDescent="0.2">
      <c r="Z1615" s="10">
        <f t="shared" si="50"/>
        <v>0</v>
      </c>
      <c r="AA1615" s="24" t="str">
        <f t="shared" si="51"/>
        <v/>
      </c>
    </row>
    <row r="1616" spans="26:27" x14ac:dyDescent="0.2">
      <c r="Z1616" s="10">
        <f t="shared" si="50"/>
        <v>0</v>
      </c>
      <c r="AA1616" s="24" t="str">
        <f t="shared" si="51"/>
        <v/>
      </c>
    </row>
    <row r="1617" spans="26:27" x14ac:dyDescent="0.2">
      <c r="Z1617" s="10">
        <f t="shared" si="50"/>
        <v>0</v>
      </c>
      <c r="AA1617" s="24" t="str">
        <f t="shared" si="51"/>
        <v/>
      </c>
    </row>
    <row r="1618" spans="26:27" x14ac:dyDescent="0.2">
      <c r="Z1618" s="10">
        <f t="shared" si="50"/>
        <v>0</v>
      </c>
      <c r="AA1618" s="24" t="str">
        <f t="shared" si="51"/>
        <v/>
      </c>
    </row>
    <row r="1619" spans="26:27" x14ac:dyDescent="0.2">
      <c r="Z1619" s="10">
        <f t="shared" si="50"/>
        <v>0</v>
      </c>
      <c r="AA1619" s="24" t="str">
        <f t="shared" si="51"/>
        <v/>
      </c>
    </row>
    <row r="1620" spans="26:27" x14ac:dyDescent="0.2">
      <c r="Z1620" s="10">
        <f t="shared" si="50"/>
        <v>0</v>
      </c>
      <c r="AA1620" s="24" t="str">
        <f t="shared" si="51"/>
        <v/>
      </c>
    </row>
    <row r="1621" spans="26:27" x14ac:dyDescent="0.2">
      <c r="Z1621" s="10">
        <f t="shared" si="50"/>
        <v>0</v>
      </c>
      <c r="AA1621" s="24" t="str">
        <f t="shared" si="51"/>
        <v/>
      </c>
    </row>
    <row r="1622" spans="26:27" x14ac:dyDescent="0.2">
      <c r="Z1622" s="10">
        <f t="shared" si="50"/>
        <v>0</v>
      </c>
      <c r="AA1622" s="24" t="str">
        <f t="shared" si="51"/>
        <v/>
      </c>
    </row>
    <row r="1623" spans="26:27" x14ac:dyDescent="0.2">
      <c r="Z1623" s="10">
        <f t="shared" si="50"/>
        <v>0</v>
      </c>
      <c r="AA1623" s="24" t="str">
        <f t="shared" si="51"/>
        <v/>
      </c>
    </row>
    <row r="1624" spans="26:27" x14ac:dyDescent="0.2">
      <c r="Z1624" s="10">
        <f t="shared" si="50"/>
        <v>0</v>
      </c>
      <c r="AA1624" s="24" t="str">
        <f t="shared" si="51"/>
        <v/>
      </c>
    </row>
    <row r="1625" spans="26:27" x14ac:dyDescent="0.2">
      <c r="Z1625" s="10">
        <f t="shared" si="50"/>
        <v>0</v>
      </c>
      <c r="AA1625" s="24" t="str">
        <f t="shared" si="51"/>
        <v/>
      </c>
    </row>
    <row r="1626" spans="26:27" x14ac:dyDescent="0.2">
      <c r="Z1626" s="10">
        <f t="shared" si="50"/>
        <v>0</v>
      </c>
      <c r="AA1626" s="24" t="str">
        <f t="shared" si="51"/>
        <v/>
      </c>
    </row>
    <row r="1627" spans="26:27" x14ac:dyDescent="0.2">
      <c r="Z1627" s="10">
        <f t="shared" si="50"/>
        <v>0</v>
      </c>
      <c r="AA1627" s="24" t="str">
        <f t="shared" si="51"/>
        <v/>
      </c>
    </row>
    <row r="1628" spans="26:27" x14ac:dyDescent="0.2">
      <c r="Z1628" s="10">
        <f t="shared" si="50"/>
        <v>0</v>
      </c>
      <c r="AA1628" s="24" t="str">
        <f t="shared" si="51"/>
        <v/>
      </c>
    </row>
    <row r="1629" spans="26:27" x14ac:dyDescent="0.2">
      <c r="Z1629" s="10">
        <f t="shared" si="50"/>
        <v>0</v>
      </c>
      <c r="AA1629" s="24" t="str">
        <f t="shared" si="51"/>
        <v/>
      </c>
    </row>
    <row r="1630" spans="26:27" x14ac:dyDescent="0.2">
      <c r="Z1630" s="10">
        <f t="shared" si="50"/>
        <v>0</v>
      </c>
      <c r="AA1630" s="24" t="str">
        <f t="shared" si="51"/>
        <v/>
      </c>
    </row>
    <row r="1631" spans="26:27" x14ac:dyDescent="0.2">
      <c r="Z1631" s="10">
        <f t="shared" si="50"/>
        <v>0</v>
      </c>
      <c r="AA1631" s="24" t="str">
        <f t="shared" si="51"/>
        <v/>
      </c>
    </row>
    <row r="1632" spans="26:27" x14ac:dyDescent="0.2">
      <c r="Z1632" s="10">
        <f t="shared" si="50"/>
        <v>0</v>
      </c>
      <c r="AA1632" s="24" t="str">
        <f t="shared" si="51"/>
        <v/>
      </c>
    </row>
    <row r="1633" spans="26:27" x14ac:dyDescent="0.2">
      <c r="Z1633" s="10">
        <f t="shared" si="50"/>
        <v>0</v>
      </c>
      <c r="AA1633" s="24" t="str">
        <f t="shared" si="51"/>
        <v/>
      </c>
    </row>
    <row r="1634" spans="26:27" x14ac:dyDescent="0.2">
      <c r="Z1634" s="10">
        <f t="shared" si="50"/>
        <v>0</v>
      </c>
      <c r="AA1634" s="24" t="str">
        <f t="shared" si="51"/>
        <v/>
      </c>
    </row>
    <row r="1635" spans="26:27" x14ac:dyDescent="0.2">
      <c r="Z1635" s="10">
        <f t="shared" si="50"/>
        <v>0</v>
      </c>
      <c r="AA1635" s="24" t="str">
        <f t="shared" si="51"/>
        <v/>
      </c>
    </row>
    <row r="1636" spans="26:27" x14ac:dyDescent="0.2">
      <c r="Z1636" s="10">
        <f t="shared" si="50"/>
        <v>0</v>
      </c>
      <c r="AA1636" s="24" t="str">
        <f t="shared" si="51"/>
        <v/>
      </c>
    </row>
    <row r="1637" spans="26:27" x14ac:dyDescent="0.2">
      <c r="Z1637" s="10">
        <f t="shared" si="50"/>
        <v>0</v>
      </c>
      <c r="AA1637" s="24" t="str">
        <f t="shared" si="51"/>
        <v/>
      </c>
    </row>
    <row r="1638" spans="26:27" x14ac:dyDescent="0.2">
      <c r="Z1638" s="10">
        <f t="shared" si="50"/>
        <v>0</v>
      </c>
      <c r="AA1638" s="24" t="str">
        <f t="shared" si="51"/>
        <v/>
      </c>
    </row>
    <row r="1639" spans="26:27" x14ac:dyDescent="0.2">
      <c r="Z1639" s="10">
        <f t="shared" si="50"/>
        <v>0</v>
      </c>
      <c r="AA1639" s="24" t="str">
        <f t="shared" si="51"/>
        <v/>
      </c>
    </row>
    <row r="1640" spans="26:27" x14ac:dyDescent="0.2">
      <c r="Z1640" s="10">
        <f t="shared" si="50"/>
        <v>0</v>
      </c>
      <c r="AA1640" s="24" t="str">
        <f t="shared" si="51"/>
        <v/>
      </c>
    </row>
    <row r="1641" spans="26:27" x14ac:dyDescent="0.2">
      <c r="Z1641" s="10">
        <f t="shared" si="50"/>
        <v>0</v>
      </c>
      <c r="AA1641" s="24" t="str">
        <f t="shared" si="51"/>
        <v/>
      </c>
    </row>
    <row r="1642" spans="26:27" x14ac:dyDescent="0.2">
      <c r="Z1642" s="10">
        <f t="shared" si="50"/>
        <v>0</v>
      </c>
      <c r="AA1642" s="24" t="str">
        <f t="shared" si="51"/>
        <v/>
      </c>
    </row>
    <row r="1643" spans="26:27" x14ac:dyDescent="0.2">
      <c r="Z1643" s="10">
        <f t="shared" si="50"/>
        <v>0</v>
      </c>
      <c r="AA1643" s="24" t="str">
        <f t="shared" si="51"/>
        <v/>
      </c>
    </row>
    <row r="1644" spans="26:27" x14ac:dyDescent="0.2">
      <c r="Z1644" s="10">
        <f t="shared" si="50"/>
        <v>0</v>
      </c>
      <c r="AA1644" s="24" t="str">
        <f t="shared" si="51"/>
        <v/>
      </c>
    </row>
    <row r="1645" spans="26:27" x14ac:dyDescent="0.2">
      <c r="Z1645" s="10">
        <f t="shared" si="50"/>
        <v>0</v>
      </c>
      <c r="AA1645" s="24" t="str">
        <f t="shared" si="51"/>
        <v/>
      </c>
    </row>
    <row r="1646" spans="26:27" x14ac:dyDescent="0.2">
      <c r="Z1646" s="10">
        <f t="shared" si="50"/>
        <v>0</v>
      </c>
      <c r="AA1646" s="24" t="str">
        <f t="shared" si="51"/>
        <v/>
      </c>
    </row>
    <row r="1647" spans="26:27" x14ac:dyDescent="0.2">
      <c r="Z1647" s="10">
        <f t="shared" si="50"/>
        <v>0</v>
      </c>
      <c r="AA1647" s="24" t="str">
        <f t="shared" si="51"/>
        <v/>
      </c>
    </row>
    <row r="1648" spans="26:27" x14ac:dyDescent="0.2">
      <c r="Z1648" s="10">
        <f t="shared" si="50"/>
        <v>0</v>
      </c>
      <c r="AA1648" s="24" t="str">
        <f t="shared" si="51"/>
        <v/>
      </c>
    </row>
    <row r="1649" spans="26:27" x14ac:dyDescent="0.2">
      <c r="Z1649" s="10">
        <f t="shared" si="50"/>
        <v>0</v>
      </c>
      <c r="AA1649" s="24" t="str">
        <f t="shared" si="51"/>
        <v/>
      </c>
    </row>
    <row r="1650" spans="26:27" x14ac:dyDescent="0.2">
      <c r="Z1650" s="10">
        <f t="shared" si="50"/>
        <v>0</v>
      </c>
      <c r="AA1650" s="24" t="str">
        <f t="shared" si="51"/>
        <v/>
      </c>
    </row>
    <row r="1651" spans="26:27" x14ac:dyDescent="0.2">
      <c r="Z1651" s="10">
        <f t="shared" si="50"/>
        <v>0</v>
      </c>
      <c r="AA1651" s="24" t="str">
        <f t="shared" si="51"/>
        <v/>
      </c>
    </row>
    <row r="1652" spans="26:27" x14ac:dyDescent="0.2">
      <c r="Z1652" s="10">
        <f t="shared" si="50"/>
        <v>0</v>
      </c>
      <c r="AA1652" s="24" t="str">
        <f t="shared" si="51"/>
        <v/>
      </c>
    </row>
    <row r="1653" spans="26:27" x14ac:dyDescent="0.2">
      <c r="Z1653" s="10">
        <f t="shared" si="50"/>
        <v>0</v>
      </c>
      <c r="AA1653" s="24" t="str">
        <f t="shared" si="51"/>
        <v/>
      </c>
    </row>
    <row r="1654" spans="26:27" x14ac:dyDescent="0.2">
      <c r="Z1654" s="10">
        <f t="shared" si="50"/>
        <v>0</v>
      </c>
      <c r="AA1654" s="24" t="str">
        <f t="shared" si="51"/>
        <v/>
      </c>
    </row>
    <row r="1655" spans="26:27" x14ac:dyDescent="0.2">
      <c r="Z1655" s="10">
        <f t="shared" si="50"/>
        <v>0</v>
      </c>
      <c r="AA1655" s="24" t="str">
        <f t="shared" si="51"/>
        <v/>
      </c>
    </row>
    <row r="1656" spans="26:27" x14ac:dyDescent="0.2">
      <c r="Z1656" s="10">
        <f t="shared" si="50"/>
        <v>0</v>
      </c>
      <c r="AA1656" s="24" t="str">
        <f t="shared" si="51"/>
        <v/>
      </c>
    </row>
    <row r="1657" spans="26:27" x14ac:dyDescent="0.2">
      <c r="Z1657" s="10">
        <f t="shared" si="50"/>
        <v>0</v>
      </c>
      <c r="AA1657" s="24" t="str">
        <f t="shared" si="51"/>
        <v/>
      </c>
    </row>
    <row r="1658" spans="26:27" x14ac:dyDescent="0.2">
      <c r="Z1658" s="10">
        <f t="shared" si="50"/>
        <v>0</v>
      </c>
      <c r="AA1658" s="24" t="str">
        <f t="shared" si="51"/>
        <v/>
      </c>
    </row>
    <row r="1659" spans="26:27" x14ac:dyDescent="0.2">
      <c r="Z1659" s="10">
        <f t="shared" si="50"/>
        <v>0</v>
      </c>
      <c r="AA1659" s="24" t="str">
        <f t="shared" si="51"/>
        <v/>
      </c>
    </row>
    <row r="1660" spans="26:27" x14ac:dyDescent="0.2">
      <c r="Z1660" s="10">
        <f t="shared" si="50"/>
        <v>0</v>
      </c>
      <c r="AA1660" s="24" t="str">
        <f t="shared" si="51"/>
        <v/>
      </c>
    </row>
    <row r="1661" spans="26:27" x14ac:dyDescent="0.2">
      <c r="Z1661" s="10">
        <f t="shared" si="50"/>
        <v>0</v>
      </c>
      <c r="AA1661" s="24" t="str">
        <f t="shared" si="51"/>
        <v/>
      </c>
    </row>
    <row r="1662" spans="26:27" x14ac:dyDescent="0.2">
      <c r="Z1662" s="10">
        <f t="shared" si="50"/>
        <v>0</v>
      </c>
      <c r="AA1662" s="24" t="str">
        <f t="shared" si="51"/>
        <v/>
      </c>
    </row>
    <row r="1663" spans="26:27" x14ac:dyDescent="0.2">
      <c r="Z1663" s="10">
        <f t="shared" si="50"/>
        <v>0</v>
      </c>
      <c r="AA1663" s="24" t="str">
        <f t="shared" si="51"/>
        <v/>
      </c>
    </row>
    <row r="1664" spans="26:27" x14ac:dyDescent="0.2">
      <c r="Z1664" s="10">
        <f t="shared" si="50"/>
        <v>0</v>
      </c>
      <c r="AA1664" s="24" t="str">
        <f t="shared" si="51"/>
        <v/>
      </c>
    </row>
    <row r="1665" spans="26:27" x14ac:dyDescent="0.2">
      <c r="Z1665" s="10">
        <f t="shared" si="50"/>
        <v>0</v>
      </c>
      <c r="AA1665" s="24" t="str">
        <f t="shared" si="51"/>
        <v/>
      </c>
    </row>
    <row r="1666" spans="26:27" x14ac:dyDescent="0.2">
      <c r="Z1666" s="10">
        <f t="shared" si="50"/>
        <v>0</v>
      </c>
      <c r="AA1666" s="24" t="str">
        <f t="shared" si="51"/>
        <v/>
      </c>
    </row>
    <row r="1667" spans="26:27" x14ac:dyDescent="0.2">
      <c r="Z1667" s="10">
        <f t="shared" si="50"/>
        <v>0</v>
      </c>
      <c r="AA1667" s="24" t="str">
        <f t="shared" si="51"/>
        <v/>
      </c>
    </row>
    <row r="1668" spans="26:27" x14ac:dyDescent="0.2">
      <c r="Z1668" s="10">
        <f t="shared" si="50"/>
        <v>0</v>
      </c>
      <c r="AA1668" s="24" t="str">
        <f t="shared" si="51"/>
        <v/>
      </c>
    </row>
    <row r="1669" spans="26:27" x14ac:dyDescent="0.2">
      <c r="Z1669" s="10">
        <f t="shared" ref="Z1669:Z1732" si="52">IF(G1669="PLUM", "Plumbing", IF(G1669="PIPE", "Piping", IF(G1669="HVAC", "Sheet Metal", G1669)))</f>
        <v>0</v>
      </c>
      <c r="AA1669" s="24" t="str">
        <f t="shared" ref="AA1669:AA1732" si="53">IF(ISBLANK(B1669), "", $A$2)</f>
        <v/>
      </c>
    </row>
    <row r="1670" spans="26:27" x14ac:dyDescent="0.2">
      <c r="Z1670" s="10">
        <f t="shared" si="52"/>
        <v>0</v>
      </c>
      <c r="AA1670" s="24" t="str">
        <f t="shared" si="53"/>
        <v/>
      </c>
    </row>
    <row r="1671" spans="26:27" x14ac:dyDescent="0.2">
      <c r="Z1671" s="10">
        <f t="shared" si="52"/>
        <v>0</v>
      </c>
      <c r="AA1671" s="24" t="str">
        <f t="shared" si="53"/>
        <v/>
      </c>
    </row>
    <row r="1672" spans="26:27" x14ac:dyDescent="0.2">
      <c r="Z1672" s="10">
        <f t="shared" si="52"/>
        <v>0</v>
      </c>
      <c r="AA1672" s="24" t="str">
        <f t="shared" si="53"/>
        <v/>
      </c>
    </row>
    <row r="1673" spans="26:27" x14ac:dyDescent="0.2">
      <c r="Z1673" s="10">
        <f t="shared" si="52"/>
        <v>0</v>
      </c>
      <c r="AA1673" s="24" t="str">
        <f t="shared" si="53"/>
        <v/>
      </c>
    </row>
    <row r="1674" spans="26:27" x14ac:dyDescent="0.2">
      <c r="Z1674" s="10">
        <f t="shared" si="52"/>
        <v>0</v>
      </c>
      <c r="AA1674" s="24" t="str">
        <f t="shared" si="53"/>
        <v/>
      </c>
    </row>
    <row r="1675" spans="26:27" x14ac:dyDescent="0.2">
      <c r="Z1675" s="10">
        <f t="shared" si="52"/>
        <v>0</v>
      </c>
      <c r="AA1675" s="24" t="str">
        <f t="shared" si="53"/>
        <v/>
      </c>
    </row>
    <row r="1676" spans="26:27" x14ac:dyDescent="0.2">
      <c r="Z1676" s="10">
        <f t="shared" si="52"/>
        <v>0</v>
      </c>
      <c r="AA1676" s="24" t="str">
        <f t="shared" si="53"/>
        <v/>
      </c>
    </row>
    <row r="1677" spans="26:27" x14ac:dyDescent="0.2">
      <c r="Z1677" s="10">
        <f t="shared" si="52"/>
        <v>0</v>
      </c>
      <c r="AA1677" s="24" t="str">
        <f t="shared" si="53"/>
        <v/>
      </c>
    </row>
    <row r="1678" spans="26:27" x14ac:dyDescent="0.2">
      <c r="Z1678" s="10">
        <f t="shared" si="52"/>
        <v>0</v>
      </c>
      <c r="AA1678" s="24" t="str">
        <f t="shared" si="53"/>
        <v/>
      </c>
    </row>
    <row r="1679" spans="26:27" x14ac:dyDescent="0.2">
      <c r="Z1679" s="10">
        <f t="shared" si="52"/>
        <v>0</v>
      </c>
      <c r="AA1679" s="24" t="str">
        <f t="shared" si="53"/>
        <v/>
      </c>
    </row>
    <row r="1680" spans="26:27" x14ac:dyDescent="0.2">
      <c r="Z1680" s="10">
        <f t="shared" si="52"/>
        <v>0</v>
      </c>
      <c r="AA1680" s="24" t="str">
        <f t="shared" si="53"/>
        <v/>
      </c>
    </row>
    <row r="1681" spans="26:27" x14ac:dyDescent="0.2">
      <c r="Z1681" s="10">
        <f t="shared" si="52"/>
        <v>0</v>
      </c>
      <c r="AA1681" s="24" t="str">
        <f t="shared" si="53"/>
        <v/>
      </c>
    </row>
    <row r="1682" spans="26:27" x14ac:dyDescent="0.2">
      <c r="Z1682" s="10">
        <f t="shared" si="52"/>
        <v>0</v>
      </c>
      <c r="AA1682" s="24" t="str">
        <f t="shared" si="53"/>
        <v/>
      </c>
    </row>
    <row r="1683" spans="26:27" x14ac:dyDescent="0.2">
      <c r="Z1683" s="10">
        <f t="shared" si="52"/>
        <v>0</v>
      </c>
      <c r="AA1683" s="24" t="str">
        <f t="shared" si="53"/>
        <v/>
      </c>
    </row>
    <row r="1684" spans="26:27" x14ac:dyDescent="0.2">
      <c r="Z1684" s="10">
        <f t="shared" si="52"/>
        <v>0</v>
      </c>
      <c r="AA1684" s="24" t="str">
        <f t="shared" si="53"/>
        <v/>
      </c>
    </row>
    <row r="1685" spans="26:27" x14ac:dyDescent="0.2">
      <c r="Z1685" s="10">
        <f t="shared" si="52"/>
        <v>0</v>
      </c>
      <c r="AA1685" s="24" t="str">
        <f t="shared" si="53"/>
        <v/>
      </c>
    </row>
    <row r="1686" spans="26:27" x14ac:dyDescent="0.2">
      <c r="Z1686" s="10">
        <f t="shared" si="52"/>
        <v>0</v>
      </c>
      <c r="AA1686" s="24" t="str">
        <f t="shared" si="53"/>
        <v/>
      </c>
    </row>
    <row r="1687" spans="26:27" x14ac:dyDescent="0.2">
      <c r="Z1687" s="10">
        <f t="shared" si="52"/>
        <v>0</v>
      </c>
      <c r="AA1687" s="24" t="str">
        <f t="shared" si="53"/>
        <v/>
      </c>
    </row>
    <row r="1688" spans="26:27" x14ac:dyDescent="0.2">
      <c r="Z1688" s="10">
        <f t="shared" si="52"/>
        <v>0</v>
      </c>
      <c r="AA1688" s="24" t="str">
        <f t="shared" si="53"/>
        <v/>
      </c>
    </row>
    <row r="1689" spans="26:27" x14ac:dyDescent="0.2">
      <c r="Z1689" s="10">
        <f t="shared" si="52"/>
        <v>0</v>
      </c>
      <c r="AA1689" s="24" t="str">
        <f t="shared" si="53"/>
        <v/>
      </c>
    </row>
    <row r="1690" spans="26:27" x14ac:dyDescent="0.2">
      <c r="Z1690" s="10">
        <f t="shared" si="52"/>
        <v>0</v>
      </c>
      <c r="AA1690" s="24" t="str">
        <f t="shared" si="53"/>
        <v/>
      </c>
    </row>
    <row r="1691" spans="26:27" x14ac:dyDescent="0.2">
      <c r="Z1691" s="10">
        <f t="shared" si="52"/>
        <v>0</v>
      </c>
      <c r="AA1691" s="24" t="str">
        <f t="shared" si="53"/>
        <v/>
      </c>
    </row>
    <row r="1692" spans="26:27" x14ac:dyDescent="0.2">
      <c r="Z1692" s="10">
        <f t="shared" si="52"/>
        <v>0</v>
      </c>
      <c r="AA1692" s="24" t="str">
        <f t="shared" si="53"/>
        <v/>
      </c>
    </row>
    <row r="1693" spans="26:27" x14ac:dyDescent="0.2">
      <c r="Z1693" s="10">
        <f t="shared" si="52"/>
        <v>0</v>
      </c>
      <c r="AA1693" s="24" t="str">
        <f t="shared" si="53"/>
        <v/>
      </c>
    </row>
    <row r="1694" spans="26:27" x14ac:dyDescent="0.2">
      <c r="Z1694" s="10">
        <f t="shared" si="52"/>
        <v>0</v>
      </c>
      <c r="AA1694" s="24" t="str">
        <f t="shared" si="53"/>
        <v/>
      </c>
    </row>
    <row r="1695" spans="26:27" x14ac:dyDescent="0.2">
      <c r="Z1695" s="10">
        <f t="shared" si="52"/>
        <v>0</v>
      </c>
      <c r="AA1695" s="24" t="str">
        <f t="shared" si="53"/>
        <v/>
      </c>
    </row>
    <row r="1696" spans="26:27" x14ac:dyDescent="0.2">
      <c r="Z1696" s="10">
        <f t="shared" si="52"/>
        <v>0</v>
      </c>
      <c r="AA1696" s="24" t="str">
        <f t="shared" si="53"/>
        <v/>
      </c>
    </row>
    <row r="1697" spans="26:27" x14ac:dyDescent="0.2">
      <c r="Z1697" s="10">
        <f t="shared" si="52"/>
        <v>0</v>
      </c>
      <c r="AA1697" s="24" t="str">
        <f t="shared" si="53"/>
        <v/>
      </c>
    </row>
    <row r="1698" spans="26:27" x14ac:dyDescent="0.2">
      <c r="Z1698" s="10">
        <f t="shared" si="52"/>
        <v>0</v>
      </c>
      <c r="AA1698" s="24" t="str">
        <f t="shared" si="53"/>
        <v/>
      </c>
    </row>
    <row r="1699" spans="26:27" x14ac:dyDescent="0.2">
      <c r="Z1699" s="10">
        <f t="shared" si="52"/>
        <v>0</v>
      </c>
      <c r="AA1699" s="24" t="str">
        <f t="shared" si="53"/>
        <v/>
      </c>
    </row>
    <row r="1700" spans="26:27" x14ac:dyDescent="0.2">
      <c r="Z1700" s="10">
        <f t="shared" si="52"/>
        <v>0</v>
      </c>
      <c r="AA1700" s="24" t="str">
        <f t="shared" si="53"/>
        <v/>
      </c>
    </row>
    <row r="1701" spans="26:27" x14ac:dyDescent="0.2">
      <c r="Z1701" s="10">
        <f t="shared" si="52"/>
        <v>0</v>
      </c>
      <c r="AA1701" s="24" t="str">
        <f t="shared" si="53"/>
        <v/>
      </c>
    </row>
    <row r="1702" spans="26:27" x14ac:dyDescent="0.2">
      <c r="Z1702" s="10">
        <f t="shared" si="52"/>
        <v>0</v>
      </c>
      <c r="AA1702" s="24" t="str">
        <f t="shared" si="53"/>
        <v/>
      </c>
    </row>
    <row r="1703" spans="26:27" x14ac:dyDescent="0.2">
      <c r="Z1703" s="10">
        <f t="shared" si="52"/>
        <v>0</v>
      </c>
      <c r="AA1703" s="24" t="str">
        <f t="shared" si="53"/>
        <v/>
      </c>
    </row>
    <row r="1704" spans="26:27" x14ac:dyDescent="0.2">
      <c r="Z1704" s="10">
        <f t="shared" si="52"/>
        <v>0</v>
      </c>
      <c r="AA1704" s="24" t="str">
        <f t="shared" si="53"/>
        <v/>
      </c>
    </row>
    <row r="1705" spans="26:27" x14ac:dyDescent="0.2">
      <c r="Z1705" s="10">
        <f t="shared" si="52"/>
        <v>0</v>
      </c>
      <c r="AA1705" s="24" t="str">
        <f t="shared" si="53"/>
        <v/>
      </c>
    </row>
    <row r="1706" spans="26:27" x14ac:dyDescent="0.2">
      <c r="Z1706" s="10">
        <f t="shared" si="52"/>
        <v>0</v>
      </c>
      <c r="AA1706" s="24" t="str">
        <f t="shared" si="53"/>
        <v/>
      </c>
    </row>
    <row r="1707" spans="26:27" x14ac:dyDescent="0.2">
      <c r="Z1707" s="10">
        <f t="shared" si="52"/>
        <v>0</v>
      </c>
      <c r="AA1707" s="24" t="str">
        <f t="shared" si="53"/>
        <v/>
      </c>
    </row>
    <row r="1708" spans="26:27" x14ac:dyDescent="0.2">
      <c r="Z1708" s="10">
        <f t="shared" si="52"/>
        <v>0</v>
      </c>
      <c r="AA1708" s="24" t="str">
        <f t="shared" si="53"/>
        <v/>
      </c>
    </row>
    <row r="1709" spans="26:27" x14ac:dyDescent="0.2">
      <c r="Z1709" s="10">
        <f t="shared" si="52"/>
        <v>0</v>
      </c>
      <c r="AA1709" s="24" t="str">
        <f t="shared" si="53"/>
        <v/>
      </c>
    </row>
    <row r="1710" spans="26:27" x14ac:dyDescent="0.2">
      <c r="Z1710" s="10">
        <f t="shared" si="52"/>
        <v>0</v>
      </c>
      <c r="AA1710" s="24" t="str">
        <f t="shared" si="53"/>
        <v/>
      </c>
    </row>
    <row r="1711" spans="26:27" x14ac:dyDescent="0.2">
      <c r="Z1711" s="10">
        <f t="shared" si="52"/>
        <v>0</v>
      </c>
      <c r="AA1711" s="24" t="str">
        <f t="shared" si="53"/>
        <v/>
      </c>
    </row>
    <row r="1712" spans="26:27" x14ac:dyDescent="0.2">
      <c r="Z1712" s="10">
        <f t="shared" si="52"/>
        <v>0</v>
      </c>
      <c r="AA1712" s="24" t="str">
        <f t="shared" si="53"/>
        <v/>
      </c>
    </row>
    <row r="1713" spans="26:27" x14ac:dyDescent="0.2">
      <c r="Z1713" s="10">
        <f t="shared" si="52"/>
        <v>0</v>
      </c>
      <c r="AA1713" s="24" t="str">
        <f t="shared" si="53"/>
        <v/>
      </c>
    </row>
    <row r="1714" spans="26:27" x14ac:dyDescent="0.2">
      <c r="Z1714" s="10">
        <f t="shared" si="52"/>
        <v>0</v>
      </c>
      <c r="AA1714" s="24" t="str">
        <f t="shared" si="53"/>
        <v/>
      </c>
    </row>
    <row r="1715" spans="26:27" x14ac:dyDescent="0.2">
      <c r="Z1715" s="10">
        <f t="shared" si="52"/>
        <v>0</v>
      </c>
      <c r="AA1715" s="24" t="str">
        <f t="shared" si="53"/>
        <v/>
      </c>
    </row>
    <row r="1716" spans="26:27" x14ac:dyDescent="0.2">
      <c r="Z1716" s="10">
        <f t="shared" si="52"/>
        <v>0</v>
      </c>
      <c r="AA1716" s="24" t="str">
        <f t="shared" si="53"/>
        <v/>
      </c>
    </row>
    <row r="1717" spans="26:27" x14ac:dyDescent="0.2">
      <c r="Z1717" s="10">
        <f t="shared" si="52"/>
        <v>0</v>
      </c>
      <c r="AA1717" s="24" t="str">
        <f t="shared" si="53"/>
        <v/>
      </c>
    </row>
    <row r="1718" spans="26:27" x14ac:dyDescent="0.2">
      <c r="Z1718" s="10">
        <f t="shared" si="52"/>
        <v>0</v>
      </c>
      <c r="AA1718" s="24" t="str">
        <f t="shared" si="53"/>
        <v/>
      </c>
    </row>
    <row r="1719" spans="26:27" x14ac:dyDescent="0.2">
      <c r="Z1719" s="10">
        <f t="shared" si="52"/>
        <v>0</v>
      </c>
      <c r="AA1719" s="24" t="str">
        <f t="shared" si="53"/>
        <v/>
      </c>
    </row>
    <row r="1720" spans="26:27" x14ac:dyDescent="0.2">
      <c r="Z1720" s="10">
        <f t="shared" si="52"/>
        <v>0</v>
      </c>
      <c r="AA1720" s="24" t="str">
        <f t="shared" si="53"/>
        <v/>
      </c>
    </row>
    <row r="1721" spans="26:27" x14ac:dyDescent="0.2">
      <c r="Z1721" s="10">
        <f t="shared" si="52"/>
        <v>0</v>
      </c>
      <c r="AA1721" s="24" t="str">
        <f t="shared" si="53"/>
        <v/>
      </c>
    </row>
    <row r="1722" spans="26:27" x14ac:dyDescent="0.2">
      <c r="Z1722" s="10">
        <f t="shared" si="52"/>
        <v>0</v>
      </c>
      <c r="AA1722" s="24" t="str">
        <f t="shared" si="53"/>
        <v/>
      </c>
    </row>
    <row r="1723" spans="26:27" x14ac:dyDescent="0.2">
      <c r="Z1723" s="10">
        <f t="shared" si="52"/>
        <v>0</v>
      </c>
      <c r="AA1723" s="24" t="str">
        <f t="shared" si="53"/>
        <v/>
      </c>
    </row>
    <row r="1724" spans="26:27" x14ac:dyDescent="0.2">
      <c r="Z1724" s="10">
        <f t="shared" si="52"/>
        <v>0</v>
      </c>
      <c r="AA1724" s="24" t="str">
        <f t="shared" si="53"/>
        <v/>
      </c>
    </row>
    <row r="1725" spans="26:27" x14ac:dyDescent="0.2">
      <c r="Z1725" s="10">
        <f t="shared" si="52"/>
        <v>0</v>
      </c>
      <c r="AA1725" s="24" t="str">
        <f t="shared" si="53"/>
        <v/>
      </c>
    </row>
    <row r="1726" spans="26:27" x14ac:dyDescent="0.2">
      <c r="Z1726" s="10">
        <f t="shared" si="52"/>
        <v>0</v>
      </c>
      <c r="AA1726" s="24" t="str">
        <f t="shared" si="53"/>
        <v/>
      </c>
    </row>
    <row r="1727" spans="26:27" x14ac:dyDescent="0.2">
      <c r="Z1727" s="10">
        <f t="shared" si="52"/>
        <v>0</v>
      </c>
      <c r="AA1727" s="24" t="str">
        <f t="shared" si="53"/>
        <v/>
      </c>
    </row>
    <row r="1728" spans="26:27" x14ac:dyDescent="0.2">
      <c r="Z1728" s="10">
        <f t="shared" si="52"/>
        <v>0</v>
      </c>
      <c r="AA1728" s="24" t="str">
        <f t="shared" si="53"/>
        <v/>
      </c>
    </row>
    <row r="1729" spans="26:27" x14ac:dyDescent="0.2">
      <c r="Z1729" s="10">
        <f t="shared" si="52"/>
        <v>0</v>
      </c>
      <c r="AA1729" s="24" t="str">
        <f t="shared" si="53"/>
        <v/>
      </c>
    </row>
    <row r="1730" spans="26:27" x14ac:dyDescent="0.2">
      <c r="Z1730" s="10">
        <f t="shared" si="52"/>
        <v>0</v>
      </c>
      <c r="AA1730" s="24" t="str">
        <f t="shared" si="53"/>
        <v/>
      </c>
    </row>
    <row r="1731" spans="26:27" x14ac:dyDescent="0.2">
      <c r="Z1731" s="10">
        <f t="shared" si="52"/>
        <v>0</v>
      </c>
      <c r="AA1731" s="24" t="str">
        <f t="shared" si="53"/>
        <v/>
      </c>
    </row>
    <row r="1732" spans="26:27" x14ac:dyDescent="0.2">
      <c r="Z1732" s="10">
        <f t="shared" si="52"/>
        <v>0</v>
      </c>
      <c r="AA1732" s="24" t="str">
        <f t="shared" si="53"/>
        <v/>
      </c>
    </row>
    <row r="1733" spans="26:27" x14ac:dyDescent="0.2">
      <c r="Z1733" s="10">
        <f t="shared" ref="Z1733:Z1796" si="54">IF(G1733="PLUM", "Plumbing", IF(G1733="PIPE", "Piping", IF(G1733="HVAC", "Sheet Metal", G1733)))</f>
        <v>0</v>
      </c>
      <c r="AA1733" s="24" t="str">
        <f t="shared" ref="AA1733:AA1796" si="55">IF(ISBLANK(B1733), "", $A$2)</f>
        <v/>
      </c>
    </row>
    <row r="1734" spans="26:27" x14ac:dyDescent="0.2">
      <c r="Z1734" s="10">
        <f t="shared" si="54"/>
        <v>0</v>
      </c>
      <c r="AA1734" s="24" t="str">
        <f t="shared" si="55"/>
        <v/>
      </c>
    </row>
    <row r="1735" spans="26:27" x14ac:dyDescent="0.2">
      <c r="Z1735" s="10">
        <f t="shared" si="54"/>
        <v>0</v>
      </c>
      <c r="AA1735" s="24" t="str">
        <f t="shared" si="55"/>
        <v/>
      </c>
    </row>
    <row r="1736" spans="26:27" x14ac:dyDescent="0.2">
      <c r="Z1736" s="10">
        <f t="shared" si="54"/>
        <v>0</v>
      </c>
      <c r="AA1736" s="24" t="str">
        <f t="shared" si="55"/>
        <v/>
      </c>
    </row>
    <row r="1737" spans="26:27" x14ac:dyDescent="0.2">
      <c r="Z1737" s="10">
        <f t="shared" si="54"/>
        <v>0</v>
      </c>
      <c r="AA1737" s="24" t="str">
        <f t="shared" si="55"/>
        <v/>
      </c>
    </row>
    <row r="1738" spans="26:27" x14ac:dyDescent="0.2">
      <c r="Z1738" s="10">
        <f t="shared" si="54"/>
        <v>0</v>
      </c>
      <c r="AA1738" s="24" t="str">
        <f t="shared" si="55"/>
        <v/>
      </c>
    </row>
    <row r="1739" spans="26:27" x14ac:dyDescent="0.2">
      <c r="Z1739" s="10">
        <f t="shared" si="54"/>
        <v>0</v>
      </c>
      <c r="AA1739" s="24" t="str">
        <f t="shared" si="55"/>
        <v/>
      </c>
    </row>
    <row r="1740" spans="26:27" x14ac:dyDescent="0.2">
      <c r="Z1740" s="10">
        <f t="shared" si="54"/>
        <v>0</v>
      </c>
      <c r="AA1740" s="24" t="str">
        <f t="shared" si="55"/>
        <v/>
      </c>
    </row>
    <row r="1741" spans="26:27" x14ac:dyDescent="0.2">
      <c r="Z1741" s="10">
        <f t="shared" si="54"/>
        <v>0</v>
      </c>
      <c r="AA1741" s="24" t="str">
        <f t="shared" si="55"/>
        <v/>
      </c>
    </row>
    <row r="1742" spans="26:27" x14ac:dyDescent="0.2">
      <c r="Z1742" s="10">
        <f t="shared" si="54"/>
        <v>0</v>
      </c>
      <c r="AA1742" s="24" t="str">
        <f t="shared" si="55"/>
        <v/>
      </c>
    </row>
    <row r="1743" spans="26:27" x14ac:dyDescent="0.2">
      <c r="Z1743" s="10">
        <f t="shared" si="54"/>
        <v>0</v>
      </c>
      <c r="AA1743" s="24" t="str">
        <f t="shared" si="55"/>
        <v/>
      </c>
    </row>
    <row r="1744" spans="26:27" x14ac:dyDescent="0.2">
      <c r="Z1744" s="10">
        <f t="shared" si="54"/>
        <v>0</v>
      </c>
      <c r="AA1744" s="24" t="str">
        <f t="shared" si="55"/>
        <v/>
      </c>
    </row>
    <row r="1745" spans="26:27" x14ac:dyDescent="0.2">
      <c r="Z1745" s="10">
        <f t="shared" si="54"/>
        <v>0</v>
      </c>
      <c r="AA1745" s="24" t="str">
        <f t="shared" si="55"/>
        <v/>
      </c>
    </row>
    <row r="1746" spans="26:27" x14ac:dyDescent="0.2">
      <c r="Z1746" s="10">
        <f t="shared" si="54"/>
        <v>0</v>
      </c>
      <c r="AA1746" s="24" t="str">
        <f t="shared" si="55"/>
        <v/>
      </c>
    </row>
    <row r="1747" spans="26:27" x14ac:dyDescent="0.2">
      <c r="Z1747" s="10">
        <f t="shared" si="54"/>
        <v>0</v>
      </c>
      <c r="AA1747" s="24" t="str">
        <f t="shared" si="55"/>
        <v/>
      </c>
    </row>
    <row r="1748" spans="26:27" x14ac:dyDescent="0.2">
      <c r="Z1748" s="10">
        <f t="shared" si="54"/>
        <v>0</v>
      </c>
      <c r="AA1748" s="24" t="str">
        <f t="shared" si="55"/>
        <v/>
      </c>
    </row>
    <row r="1749" spans="26:27" x14ac:dyDescent="0.2">
      <c r="Z1749" s="10">
        <f t="shared" si="54"/>
        <v>0</v>
      </c>
      <c r="AA1749" s="24" t="str">
        <f t="shared" si="55"/>
        <v/>
      </c>
    </row>
    <row r="1750" spans="26:27" x14ac:dyDescent="0.2">
      <c r="Z1750" s="10">
        <f t="shared" si="54"/>
        <v>0</v>
      </c>
      <c r="AA1750" s="24" t="str">
        <f t="shared" si="55"/>
        <v/>
      </c>
    </row>
    <row r="1751" spans="26:27" x14ac:dyDescent="0.2">
      <c r="Z1751" s="10">
        <f t="shared" si="54"/>
        <v>0</v>
      </c>
      <c r="AA1751" s="24" t="str">
        <f t="shared" si="55"/>
        <v/>
      </c>
    </row>
    <row r="1752" spans="26:27" x14ac:dyDescent="0.2">
      <c r="Z1752" s="10">
        <f t="shared" si="54"/>
        <v>0</v>
      </c>
      <c r="AA1752" s="24" t="str">
        <f t="shared" si="55"/>
        <v/>
      </c>
    </row>
    <row r="1753" spans="26:27" x14ac:dyDescent="0.2">
      <c r="Z1753" s="10">
        <f t="shared" si="54"/>
        <v>0</v>
      </c>
      <c r="AA1753" s="24" t="str">
        <f t="shared" si="55"/>
        <v/>
      </c>
    </row>
    <row r="1754" spans="26:27" x14ac:dyDescent="0.2">
      <c r="Z1754" s="10">
        <f t="shared" si="54"/>
        <v>0</v>
      </c>
      <c r="AA1754" s="24" t="str">
        <f t="shared" si="55"/>
        <v/>
      </c>
    </row>
    <row r="1755" spans="26:27" x14ac:dyDescent="0.2">
      <c r="Z1755" s="10">
        <f t="shared" si="54"/>
        <v>0</v>
      </c>
      <c r="AA1755" s="24" t="str">
        <f t="shared" si="55"/>
        <v/>
      </c>
    </row>
    <row r="1756" spans="26:27" x14ac:dyDescent="0.2">
      <c r="Z1756" s="10">
        <f t="shared" si="54"/>
        <v>0</v>
      </c>
      <c r="AA1756" s="24" t="str">
        <f t="shared" si="55"/>
        <v/>
      </c>
    </row>
    <row r="1757" spans="26:27" x14ac:dyDescent="0.2">
      <c r="Z1757" s="10">
        <f t="shared" si="54"/>
        <v>0</v>
      </c>
      <c r="AA1757" s="24" t="str">
        <f t="shared" si="55"/>
        <v/>
      </c>
    </row>
    <row r="1758" spans="26:27" x14ac:dyDescent="0.2">
      <c r="Z1758" s="10">
        <f t="shared" si="54"/>
        <v>0</v>
      </c>
      <c r="AA1758" s="24" t="str">
        <f t="shared" si="55"/>
        <v/>
      </c>
    </row>
    <row r="1759" spans="26:27" x14ac:dyDescent="0.2">
      <c r="Z1759" s="10">
        <f t="shared" si="54"/>
        <v>0</v>
      </c>
      <c r="AA1759" s="24" t="str">
        <f t="shared" si="55"/>
        <v/>
      </c>
    </row>
    <row r="1760" spans="26:27" x14ac:dyDescent="0.2">
      <c r="Z1760" s="10">
        <f t="shared" si="54"/>
        <v>0</v>
      </c>
      <c r="AA1760" s="24" t="str">
        <f t="shared" si="55"/>
        <v/>
      </c>
    </row>
    <row r="1761" spans="26:27" x14ac:dyDescent="0.2">
      <c r="Z1761" s="10">
        <f t="shared" si="54"/>
        <v>0</v>
      </c>
      <c r="AA1761" s="24" t="str">
        <f t="shared" si="55"/>
        <v/>
      </c>
    </row>
    <row r="1762" spans="26:27" x14ac:dyDescent="0.2">
      <c r="Z1762" s="10">
        <f t="shared" si="54"/>
        <v>0</v>
      </c>
      <c r="AA1762" s="24" t="str">
        <f t="shared" si="55"/>
        <v/>
      </c>
    </row>
    <row r="1763" spans="26:27" x14ac:dyDescent="0.2">
      <c r="Z1763" s="10">
        <f t="shared" si="54"/>
        <v>0</v>
      </c>
      <c r="AA1763" s="24" t="str">
        <f t="shared" si="55"/>
        <v/>
      </c>
    </row>
    <row r="1764" spans="26:27" x14ac:dyDescent="0.2">
      <c r="Z1764" s="10">
        <f t="shared" si="54"/>
        <v>0</v>
      </c>
      <c r="AA1764" s="24" t="str">
        <f t="shared" si="55"/>
        <v/>
      </c>
    </row>
    <row r="1765" spans="26:27" x14ac:dyDescent="0.2">
      <c r="Z1765" s="10">
        <f t="shared" si="54"/>
        <v>0</v>
      </c>
      <c r="AA1765" s="24" t="str">
        <f t="shared" si="55"/>
        <v/>
      </c>
    </row>
    <row r="1766" spans="26:27" x14ac:dyDescent="0.2">
      <c r="Z1766" s="10">
        <f t="shared" si="54"/>
        <v>0</v>
      </c>
      <c r="AA1766" s="24" t="str">
        <f t="shared" si="55"/>
        <v/>
      </c>
    </row>
    <row r="1767" spans="26:27" x14ac:dyDescent="0.2">
      <c r="Z1767" s="10">
        <f t="shared" si="54"/>
        <v>0</v>
      </c>
      <c r="AA1767" s="24" t="str">
        <f t="shared" si="55"/>
        <v/>
      </c>
    </row>
    <row r="1768" spans="26:27" x14ac:dyDescent="0.2">
      <c r="Z1768" s="10">
        <f t="shared" si="54"/>
        <v>0</v>
      </c>
      <c r="AA1768" s="24" t="str">
        <f t="shared" si="55"/>
        <v/>
      </c>
    </row>
    <row r="1769" spans="26:27" x14ac:dyDescent="0.2">
      <c r="Z1769" s="10">
        <f t="shared" si="54"/>
        <v>0</v>
      </c>
      <c r="AA1769" s="24" t="str">
        <f t="shared" si="55"/>
        <v/>
      </c>
    </row>
    <row r="1770" spans="26:27" x14ac:dyDescent="0.2">
      <c r="Z1770" s="10">
        <f t="shared" si="54"/>
        <v>0</v>
      </c>
      <c r="AA1770" s="24" t="str">
        <f t="shared" si="55"/>
        <v/>
      </c>
    </row>
    <row r="1771" spans="26:27" x14ac:dyDescent="0.2">
      <c r="Z1771" s="10">
        <f t="shared" si="54"/>
        <v>0</v>
      </c>
      <c r="AA1771" s="24" t="str">
        <f t="shared" si="55"/>
        <v/>
      </c>
    </row>
    <row r="1772" spans="26:27" x14ac:dyDescent="0.2">
      <c r="Z1772" s="10">
        <f t="shared" si="54"/>
        <v>0</v>
      </c>
      <c r="AA1772" s="24" t="str">
        <f t="shared" si="55"/>
        <v/>
      </c>
    </row>
    <row r="1773" spans="26:27" x14ac:dyDescent="0.2">
      <c r="Z1773" s="10">
        <f t="shared" si="54"/>
        <v>0</v>
      </c>
      <c r="AA1773" s="24" t="str">
        <f t="shared" si="55"/>
        <v/>
      </c>
    </row>
    <row r="1774" spans="26:27" x14ac:dyDescent="0.2">
      <c r="Z1774" s="10">
        <f t="shared" si="54"/>
        <v>0</v>
      </c>
      <c r="AA1774" s="24" t="str">
        <f t="shared" si="55"/>
        <v/>
      </c>
    </row>
    <row r="1775" spans="26:27" x14ac:dyDescent="0.2">
      <c r="Z1775" s="10">
        <f t="shared" si="54"/>
        <v>0</v>
      </c>
      <c r="AA1775" s="24" t="str">
        <f t="shared" si="55"/>
        <v/>
      </c>
    </row>
    <row r="1776" spans="26:27" x14ac:dyDescent="0.2">
      <c r="Z1776" s="10">
        <f t="shared" si="54"/>
        <v>0</v>
      </c>
      <c r="AA1776" s="24" t="str">
        <f t="shared" si="55"/>
        <v/>
      </c>
    </row>
    <row r="1777" spans="26:27" x14ac:dyDescent="0.2">
      <c r="Z1777" s="10">
        <f t="shared" si="54"/>
        <v>0</v>
      </c>
      <c r="AA1777" s="24" t="str">
        <f t="shared" si="55"/>
        <v/>
      </c>
    </row>
    <row r="1778" spans="26:27" x14ac:dyDescent="0.2">
      <c r="Z1778" s="10">
        <f t="shared" si="54"/>
        <v>0</v>
      </c>
      <c r="AA1778" s="24" t="str">
        <f t="shared" si="55"/>
        <v/>
      </c>
    </row>
    <row r="1779" spans="26:27" x14ac:dyDescent="0.2">
      <c r="Z1779" s="10">
        <f t="shared" si="54"/>
        <v>0</v>
      </c>
      <c r="AA1779" s="24" t="str">
        <f t="shared" si="55"/>
        <v/>
      </c>
    </row>
    <row r="1780" spans="26:27" x14ac:dyDescent="0.2">
      <c r="Z1780" s="10">
        <f t="shared" si="54"/>
        <v>0</v>
      </c>
      <c r="AA1780" s="24" t="str">
        <f t="shared" si="55"/>
        <v/>
      </c>
    </row>
    <row r="1781" spans="26:27" x14ac:dyDescent="0.2">
      <c r="Z1781" s="10">
        <f t="shared" si="54"/>
        <v>0</v>
      </c>
      <c r="AA1781" s="24" t="str">
        <f t="shared" si="55"/>
        <v/>
      </c>
    </row>
    <row r="1782" spans="26:27" x14ac:dyDescent="0.2">
      <c r="Z1782" s="10">
        <f t="shared" si="54"/>
        <v>0</v>
      </c>
      <c r="AA1782" s="24" t="str">
        <f t="shared" si="55"/>
        <v/>
      </c>
    </row>
    <row r="1783" spans="26:27" x14ac:dyDescent="0.2">
      <c r="Z1783" s="10">
        <f t="shared" si="54"/>
        <v>0</v>
      </c>
      <c r="AA1783" s="24" t="str">
        <f t="shared" si="55"/>
        <v/>
      </c>
    </row>
    <row r="1784" spans="26:27" x14ac:dyDescent="0.2">
      <c r="Z1784" s="10">
        <f t="shared" si="54"/>
        <v>0</v>
      </c>
      <c r="AA1784" s="24" t="str">
        <f t="shared" si="55"/>
        <v/>
      </c>
    </row>
    <row r="1785" spans="26:27" x14ac:dyDescent="0.2">
      <c r="Z1785" s="10">
        <f t="shared" si="54"/>
        <v>0</v>
      </c>
      <c r="AA1785" s="24" t="str">
        <f t="shared" si="55"/>
        <v/>
      </c>
    </row>
    <row r="1786" spans="26:27" x14ac:dyDescent="0.2">
      <c r="Z1786" s="10">
        <f t="shared" si="54"/>
        <v>0</v>
      </c>
      <c r="AA1786" s="24" t="str">
        <f t="shared" si="55"/>
        <v/>
      </c>
    </row>
    <row r="1787" spans="26:27" x14ac:dyDescent="0.2">
      <c r="Z1787" s="10">
        <f t="shared" si="54"/>
        <v>0</v>
      </c>
      <c r="AA1787" s="24" t="str">
        <f t="shared" si="55"/>
        <v/>
      </c>
    </row>
    <row r="1788" spans="26:27" x14ac:dyDescent="0.2">
      <c r="Z1788" s="10">
        <f t="shared" si="54"/>
        <v>0</v>
      </c>
      <c r="AA1788" s="24" t="str">
        <f t="shared" si="55"/>
        <v/>
      </c>
    </row>
    <row r="1789" spans="26:27" x14ac:dyDescent="0.2">
      <c r="Z1789" s="10">
        <f t="shared" si="54"/>
        <v>0</v>
      </c>
      <c r="AA1789" s="24" t="str">
        <f t="shared" si="55"/>
        <v/>
      </c>
    </row>
    <row r="1790" spans="26:27" x14ac:dyDescent="0.2">
      <c r="Z1790" s="10">
        <f t="shared" si="54"/>
        <v>0</v>
      </c>
      <c r="AA1790" s="24" t="str">
        <f t="shared" si="55"/>
        <v/>
      </c>
    </row>
    <row r="1791" spans="26:27" x14ac:dyDescent="0.2">
      <c r="Z1791" s="10">
        <f t="shared" si="54"/>
        <v>0</v>
      </c>
      <c r="AA1791" s="24" t="str">
        <f t="shared" si="55"/>
        <v/>
      </c>
    </row>
    <row r="1792" spans="26:27" x14ac:dyDescent="0.2">
      <c r="Z1792" s="10">
        <f t="shared" si="54"/>
        <v>0</v>
      </c>
      <c r="AA1792" s="24" t="str">
        <f t="shared" si="55"/>
        <v/>
      </c>
    </row>
    <row r="1793" spans="26:27" x14ac:dyDescent="0.2">
      <c r="Z1793" s="10">
        <f t="shared" si="54"/>
        <v>0</v>
      </c>
      <c r="AA1793" s="24" t="str">
        <f t="shared" si="55"/>
        <v/>
      </c>
    </row>
    <row r="1794" spans="26:27" x14ac:dyDescent="0.2">
      <c r="Z1794" s="10">
        <f t="shared" si="54"/>
        <v>0</v>
      </c>
      <c r="AA1794" s="24" t="str">
        <f t="shared" si="55"/>
        <v/>
      </c>
    </row>
    <row r="1795" spans="26:27" x14ac:dyDescent="0.2">
      <c r="Z1795" s="10">
        <f t="shared" si="54"/>
        <v>0</v>
      </c>
      <c r="AA1795" s="24" t="str">
        <f t="shared" si="55"/>
        <v/>
      </c>
    </row>
    <row r="1796" spans="26:27" x14ac:dyDescent="0.2">
      <c r="Z1796" s="10">
        <f t="shared" si="54"/>
        <v>0</v>
      </c>
      <c r="AA1796" s="24" t="str">
        <f t="shared" si="55"/>
        <v/>
      </c>
    </row>
    <row r="1797" spans="26:27" x14ac:dyDescent="0.2">
      <c r="Z1797" s="10">
        <f t="shared" ref="Z1797:Z1860" si="56">IF(G1797="PLUM", "Plumbing", IF(G1797="PIPE", "Piping", IF(G1797="HVAC", "Sheet Metal", G1797)))</f>
        <v>0</v>
      </c>
      <c r="AA1797" s="24" t="str">
        <f t="shared" ref="AA1797:AA1860" si="57">IF(ISBLANK(B1797), "", $A$2)</f>
        <v/>
      </c>
    </row>
    <row r="1798" spans="26:27" x14ac:dyDescent="0.2">
      <c r="Z1798" s="10">
        <f t="shared" si="56"/>
        <v>0</v>
      </c>
      <c r="AA1798" s="24" t="str">
        <f t="shared" si="57"/>
        <v/>
      </c>
    </row>
    <row r="1799" spans="26:27" x14ac:dyDescent="0.2">
      <c r="Z1799" s="10">
        <f t="shared" si="56"/>
        <v>0</v>
      </c>
      <c r="AA1799" s="24" t="str">
        <f t="shared" si="57"/>
        <v/>
      </c>
    </row>
    <row r="1800" spans="26:27" x14ac:dyDescent="0.2">
      <c r="Z1800" s="10">
        <f t="shared" si="56"/>
        <v>0</v>
      </c>
      <c r="AA1800" s="24" t="str">
        <f t="shared" si="57"/>
        <v/>
      </c>
    </row>
    <row r="1801" spans="26:27" x14ac:dyDescent="0.2">
      <c r="Z1801" s="10">
        <f t="shared" si="56"/>
        <v>0</v>
      </c>
      <c r="AA1801" s="24" t="str">
        <f t="shared" si="57"/>
        <v/>
      </c>
    </row>
    <row r="1802" spans="26:27" x14ac:dyDescent="0.2">
      <c r="Z1802" s="10">
        <f t="shared" si="56"/>
        <v>0</v>
      </c>
      <c r="AA1802" s="24" t="str">
        <f t="shared" si="57"/>
        <v/>
      </c>
    </row>
    <row r="1803" spans="26:27" x14ac:dyDescent="0.2">
      <c r="Z1803" s="10">
        <f t="shared" si="56"/>
        <v>0</v>
      </c>
      <c r="AA1803" s="24" t="str">
        <f t="shared" si="57"/>
        <v/>
      </c>
    </row>
    <row r="1804" spans="26:27" x14ac:dyDescent="0.2">
      <c r="Z1804" s="10">
        <f t="shared" si="56"/>
        <v>0</v>
      </c>
      <c r="AA1804" s="24" t="str">
        <f t="shared" si="57"/>
        <v/>
      </c>
    </row>
    <row r="1805" spans="26:27" x14ac:dyDescent="0.2">
      <c r="Z1805" s="10">
        <f t="shared" si="56"/>
        <v>0</v>
      </c>
      <c r="AA1805" s="24" t="str">
        <f t="shared" si="57"/>
        <v/>
      </c>
    </row>
    <row r="1806" spans="26:27" x14ac:dyDescent="0.2">
      <c r="Z1806" s="10">
        <f t="shared" si="56"/>
        <v>0</v>
      </c>
      <c r="AA1806" s="24" t="str">
        <f t="shared" si="57"/>
        <v/>
      </c>
    </row>
    <row r="1807" spans="26:27" x14ac:dyDescent="0.2">
      <c r="Z1807" s="10">
        <f t="shared" si="56"/>
        <v>0</v>
      </c>
      <c r="AA1807" s="24" t="str">
        <f t="shared" si="57"/>
        <v/>
      </c>
    </row>
    <row r="1808" spans="26:27" x14ac:dyDescent="0.2">
      <c r="Z1808" s="10">
        <f t="shared" si="56"/>
        <v>0</v>
      </c>
      <c r="AA1808" s="24" t="str">
        <f t="shared" si="57"/>
        <v/>
      </c>
    </row>
    <row r="1809" spans="26:27" x14ac:dyDescent="0.2">
      <c r="Z1809" s="10">
        <f t="shared" si="56"/>
        <v>0</v>
      </c>
      <c r="AA1809" s="24" t="str">
        <f t="shared" si="57"/>
        <v/>
      </c>
    </row>
    <row r="1810" spans="26:27" x14ac:dyDescent="0.2">
      <c r="Z1810" s="10">
        <f t="shared" si="56"/>
        <v>0</v>
      </c>
      <c r="AA1810" s="24" t="str">
        <f t="shared" si="57"/>
        <v/>
      </c>
    </row>
    <row r="1811" spans="26:27" x14ac:dyDescent="0.2">
      <c r="Z1811" s="10">
        <f t="shared" si="56"/>
        <v>0</v>
      </c>
      <c r="AA1811" s="24" t="str">
        <f t="shared" si="57"/>
        <v/>
      </c>
    </row>
    <row r="1812" spans="26:27" x14ac:dyDescent="0.2">
      <c r="Z1812" s="10">
        <f t="shared" si="56"/>
        <v>0</v>
      </c>
      <c r="AA1812" s="24" t="str">
        <f t="shared" si="57"/>
        <v/>
      </c>
    </row>
    <row r="1813" spans="26:27" x14ac:dyDescent="0.2">
      <c r="Z1813" s="10">
        <f t="shared" si="56"/>
        <v>0</v>
      </c>
      <c r="AA1813" s="24" t="str">
        <f t="shared" si="57"/>
        <v/>
      </c>
    </row>
    <row r="1814" spans="26:27" x14ac:dyDescent="0.2">
      <c r="Z1814" s="10">
        <f t="shared" si="56"/>
        <v>0</v>
      </c>
      <c r="AA1814" s="24" t="str">
        <f t="shared" si="57"/>
        <v/>
      </c>
    </row>
    <row r="1815" spans="26:27" x14ac:dyDescent="0.2">
      <c r="Z1815" s="10">
        <f t="shared" si="56"/>
        <v>0</v>
      </c>
      <c r="AA1815" s="24" t="str">
        <f t="shared" si="57"/>
        <v/>
      </c>
    </row>
    <row r="1816" spans="26:27" x14ac:dyDescent="0.2">
      <c r="Z1816" s="10">
        <f t="shared" si="56"/>
        <v>0</v>
      </c>
      <c r="AA1816" s="24" t="str">
        <f t="shared" si="57"/>
        <v/>
      </c>
    </row>
    <row r="1817" spans="26:27" x14ac:dyDescent="0.2">
      <c r="Z1817" s="10">
        <f t="shared" si="56"/>
        <v>0</v>
      </c>
      <c r="AA1817" s="24" t="str">
        <f t="shared" si="57"/>
        <v/>
      </c>
    </row>
    <row r="1818" spans="26:27" x14ac:dyDescent="0.2">
      <c r="Z1818" s="10">
        <f t="shared" si="56"/>
        <v>0</v>
      </c>
      <c r="AA1818" s="24" t="str">
        <f t="shared" si="57"/>
        <v/>
      </c>
    </row>
    <row r="1819" spans="26:27" x14ac:dyDescent="0.2">
      <c r="Z1819" s="10">
        <f t="shared" si="56"/>
        <v>0</v>
      </c>
      <c r="AA1819" s="24" t="str">
        <f t="shared" si="57"/>
        <v/>
      </c>
    </row>
    <row r="1820" spans="26:27" x14ac:dyDescent="0.2">
      <c r="Z1820" s="10">
        <f t="shared" si="56"/>
        <v>0</v>
      </c>
      <c r="AA1820" s="24" t="str">
        <f t="shared" si="57"/>
        <v/>
      </c>
    </row>
    <row r="1821" spans="26:27" x14ac:dyDescent="0.2">
      <c r="Z1821" s="10">
        <f t="shared" si="56"/>
        <v>0</v>
      </c>
      <c r="AA1821" s="24" t="str">
        <f t="shared" si="57"/>
        <v/>
      </c>
    </row>
    <row r="1822" spans="26:27" x14ac:dyDescent="0.2">
      <c r="Z1822" s="10">
        <f t="shared" si="56"/>
        <v>0</v>
      </c>
      <c r="AA1822" s="24" t="str">
        <f t="shared" si="57"/>
        <v/>
      </c>
    </row>
    <row r="1823" spans="26:27" x14ac:dyDescent="0.2">
      <c r="Z1823" s="10">
        <f t="shared" si="56"/>
        <v>0</v>
      </c>
      <c r="AA1823" s="24" t="str">
        <f t="shared" si="57"/>
        <v/>
      </c>
    </row>
    <row r="1824" spans="26:27" x14ac:dyDescent="0.2">
      <c r="Z1824" s="10">
        <f t="shared" si="56"/>
        <v>0</v>
      </c>
      <c r="AA1824" s="24" t="str">
        <f t="shared" si="57"/>
        <v/>
      </c>
    </row>
    <row r="1825" spans="26:27" x14ac:dyDescent="0.2">
      <c r="Z1825" s="10">
        <f t="shared" si="56"/>
        <v>0</v>
      </c>
      <c r="AA1825" s="24" t="str">
        <f t="shared" si="57"/>
        <v/>
      </c>
    </row>
    <row r="1826" spans="26:27" x14ac:dyDescent="0.2">
      <c r="Z1826" s="10">
        <f t="shared" si="56"/>
        <v>0</v>
      </c>
      <c r="AA1826" s="24" t="str">
        <f t="shared" si="57"/>
        <v/>
      </c>
    </row>
    <row r="1827" spans="26:27" x14ac:dyDescent="0.2">
      <c r="Z1827" s="10">
        <f t="shared" si="56"/>
        <v>0</v>
      </c>
      <c r="AA1827" s="24" t="str">
        <f t="shared" si="57"/>
        <v/>
      </c>
    </row>
    <row r="1828" spans="26:27" x14ac:dyDescent="0.2">
      <c r="Z1828" s="10">
        <f t="shared" si="56"/>
        <v>0</v>
      </c>
      <c r="AA1828" s="24" t="str">
        <f t="shared" si="57"/>
        <v/>
      </c>
    </row>
    <row r="1829" spans="26:27" x14ac:dyDescent="0.2">
      <c r="Z1829" s="10">
        <f t="shared" si="56"/>
        <v>0</v>
      </c>
      <c r="AA1829" s="24" t="str">
        <f t="shared" si="57"/>
        <v/>
      </c>
    </row>
    <row r="1830" spans="26:27" x14ac:dyDescent="0.2">
      <c r="Z1830" s="10">
        <f t="shared" si="56"/>
        <v>0</v>
      </c>
      <c r="AA1830" s="24" t="str">
        <f t="shared" si="57"/>
        <v/>
      </c>
    </row>
    <row r="1831" spans="26:27" x14ac:dyDescent="0.2">
      <c r="Z1831" s="10">
        <f t="shared" si="56"/>
        <v>0</v>
      </c>
      <c r="AA1831" s="24" t="str">
        <f t="shared" si="57"/>
        <v/>
      </c>
    </row>
    <row r="1832" spans="26:27" x14ac:dyDescent="0.2">
      <c r="Z1832" s="10">
        <f t="shared" si="56"/>
        <v>0</v>
      </c>
      <c r="AA1832" s="24" t="str">
        <f t="shared" si="57"/>
        <v/>
      </c>
    </row>
    <row r="1833" spans="26:27" x14ac:dyDescent="0.2">
      <c r="Z1833" s="10">
        <f t="shared" si="56"/>
        <v>0</v>
      </c>
      <c r="AA1833" s="24" t="str">
        <f t="shared" si="57"/>
        <v/>
      </c>
    </row>
    <row r="1834" spans="26:27" x14ac:dyDescent="0.2">
      <c r="Z1834" s="10">
        <f t="shared" si="56"/>
        <v>0</v>
      </c>
      <c r="AA1834" s="24" t="str">
        <f t="shared" si="57"/>
        <v/>
      </c>
    </row>
    <row r="1835" spans="26:27" x14ac:dyDescent="0.2">
      <c r="Z1835" s="10">
        <f t="shared" si="56"/>
        <v>0</v>
      </c>
      <c r="AA1835" s="24" t="str">
        <f t="shared" si="57"/>
        <v/>
      </c>
    </row>
    <row r="1836" spans="26:27" x14ac:dyDescent="0.2">
      <c r="Z1836" s="10">
        <f t="shared" si="56"/>
        <v>0</v>
      </c>
      <c r="AA1836" s="24" t="str">
        <f t="shared" si="57"/>
        <v/>
      </c>
    </row>
    <row r="1837" spans="26:27" x14ac:dyDescent="0.2">
      <c r="Z1837" s="10">
        <f t="shared" si="56"/>
        <v>0</v>
      </c>
      <c r="AA1837" s="24" t="str">
        <f t="shared" si="57"/>
        <v/>
      </c>
    </row>
    <row r="1838" spans="26:27" x14ac:dyDescent="0.2">
      <c r="Z1838" s="10">
        <f t="shared" si="56"/>
        <v>0</v>
      </c>
      <c r="AA1838" s="24" t="str">
        <f t="shared" si="57"/>
        <v/>
      </c>
    </row>
    <row r="1839" spans="26:27" x14ac:dyDescent="0.2">
      <c r="Z1839" s="10">
        <f t="shared" si="56"/>
        <v>0</v>
      </c>
      <c r="AA1839" s="24" t="str">
        <f t="shared" si="57"/>
        <v/>
      </c>
    </row>
    <row r="1840" spans="26:27" x14ac:dyDescent="0.2">
      <c r="Z1840" s="10">
        <f t="shared" si="56"/>
        <v>0</v>
      </c>
      <c r="AA1840" s="24" t="str">
        <f t="shared" si="57"/>
        <v/>
      </c>
    </row>
    <row r="1841" spans="26:27" x14ac:dyDescent="0.2">
      <c r="Z1841" s="10">
        <f t="shared" si="56"/>
        <v>0</v>
      </c>
      <c r="AA1841" s="24" t="str">
        <f t="shared" si="57"/>
        <v/>
      </c>
    </row>
    <row r="1842" spans="26:27" x14ac:dyDescent="0.2">
      <c r="Z1842" s="10">
        <f t="shared" si="56"/>
        <v>0</v>
      </c>
      <c r="AA1842" s="24" t="str">
        <f t="shared" si="57"/>
        <v/>
      </c>
    </row>
    <row r="1843" spans="26:27" x14ac:dyDescent="0.2">
      <c r="Z1843" s="10">
        <f t="shared" si="56"/>
        <v>0</v>
      </c>
      <c r="AA1843" s="24" t="str">
        <f t="shared" si="57"/>
        <v/>
      </c>
    </row>
    <row r="1844" spans="26:27" x14ac:dyDescent="0.2">
      <c r="Z1844" s="10">
        <f t="shared" si="56"/>
        <v>0</v>
      </c>
      <c r="AA1844" s="24" t="str">
        <f t="shared" si="57"/>
        <v/>
      </c>
    </row>
    <row r="1845" spans="26:27" x14ac:dyDescent="0.2">
      <c r="Z1845" s="10">
        <f t="shared" si="56"/>
        <v>0</v>
      </c>
      <c r="AA1845" s="24" t="str">
        <f t="shared" si="57"/>
        <v/>
      </c>
    </row>
    <row r="1846" spans="26:27" x14ac:dyDescent="0.2">
      <c r="Z1846" s="10">
        <f t="shared" si="56"/>
        <v>0</v>
      </c>
      <c r="AA1846" s="24" t="str">
        <f t="shared" si="57"/>
        <v/>
      </c>
    </row>
    <row r="1847" spans="26:27" x14ac:dyDescent="0.2">
      <c r="Z1847" s="10">
        <f t="shared" si="56"/>
        <v>0</v>
      </c>
      <c r="AA1847" s="24" t="str">
        <f t="shared" si="57"/>
        <v/>
      </c>
    </row>
    <row r="1848" spans="26:27" x14ac:dyDescent="0.2">
      <c r="Z1848" s="10">
        <f t="shared" si="56"/>
        <v>0</v>
      </c>
      <c r="AA1848" s="24" t="str">
        <f t="shared" si="57"/>
        <v/>
      </c>
    </row>
    <row r="1849" spans="26:27" x14ac:dyDescent="0.2">
      <c r="Z1849" s="10">
        <f t="shared" si="56"/>
        <v>0</v>
      </c>
      <c r="AA1849" s="24" t="str">
        <f t="shared" si="57"/>
        <v/>
      </c>
    </row>
    <row r="1850" spans="26:27" x14ac:dyDescent="0.2">
      <c r="Z1850" s="10">
        <f t="shared" si="56"/>
        <v>0</v>
      </c>
      <c r="AA1850" s="24" t="str">
        <f t="shared" si="57"/>
        <v/>
      </c>
    </row>
    <row r="1851" spans="26:27" x14ac:dyDescent="0.2">
      <c r="Z1851" s="10">
        <f t="shared" si="56"/>
        <v>0</v>
      </c>
      <c r="AA1851" s="24" t="str">
        <f t="shared" si="57"/>
        <v/>
      </c>
    </row>
    <row r="1852" spans="26:27" x14ac:dyDescent="0.2">
      <c r="Z1852" s="10">
        <f t="shared" si="56"/>
        <v>0</v>
      </c>
      <c r="AA1852" s="24" t="str">
        <f t="shared" si="57"/>
        <v/>
      </c>
    </row>
    <row r="1853" spans="26:27" x14ac:dyDescent="0.2">
      <c r="Z1853" s="10">
        <f t="shared" si="56"/>
        <v>0</v>
      </c>
      <c r="AA1853" s="24" t="str">
        <f t="shared" si="57"/>
        <v/>
      </c>
    </row>
    <row r="1854" spans="26:27" x14ac:dyDescent="0.2">
      <c r="Z1854" s="10">
        <f t="shared" si="56"/>
        <v>0</v>
      </c>
      <c r="AA1854" s="24" t="str">
        <f t="shared" si="57"/>
        <v/>
      </c>
    </row>
    <row r="1855" spans="26:27" x14ac:dyDescent="0.2">
      <c r="Z1855" s="10">
        <f t="shared" si="56"/>
        <v>0</v>
      </c>
      <c r="AA1855" s="24" t="str">
        <f t="shared" si="57"/>
        <v/>
      </c>
    </row>
    <row r="1856" spans="26:27" x14ac:dyDescent="0.2">
      <c r="Z1856" s="10">
        <f t="shared" si="56"/>
        <v>0</v>
      </c>
      <c r="AA1856" s="24" t="str">
        <f t="shared" si="57"/>
        <v/>
      </c>
    </row>
    <row r="1857" spans="26:27" x14ac:dyDescent="0.2">
      <c r="Z1857" s="10">
        <f t="shared" si="56"/>
        <v>0</v>
      </c>
      <c r="AA1857" s="24" t="str">
        <f t="shared" si="57"/>
        <v/>
      </c>
    </row>
    <row r="1858" spans="26:27" x14ac:dyDescent="0.2">
      <c r="Z1858" s="10">
        <f t="shared" si="56"/>
        <v>0</v>
      </c>
      <c r="AA1858" s="24" t="str">
        <f t="shared" si="57"/>
        <v/>
      </c>
    </row>
    <row r="1859" spans="26:27" x14ac:dyDescent="0.2">
      <c r="Z1859" s="10">
        <f t="shared" si="56"/>
        <v>0</v>
      </c>
      <c r="AA1859" s="24" t="str">
        <f t="shared" si="57"/>
        <v/>
      </c>
    </row>
    <row r="1860" spans="26:27" x14ac:dyDescent="0.2">
      <c r="Z1860" s="10">
        <f t="shared" si="56"/>
        <v>0</v>
      </c>
      <c r="AA1860" s="24" t="str">
        <f t="shared" si="57"/>
        <v/>
      </c>
    </row>
    <row r="1861" spans="26:27" x14ac:dyDescent="0.2">
      <c r="Z1861" s="10">
        <f t="shared" ref="Z1861:Z1924" si="58">IF(G1861="PLUM", "Plumbing", IF(G1861="PIPE", "Piping", IF(G1861="HVAC", "Sheet Metal", G1861)))</f>
        <v>0</v>
      </c>
      <c r="AA1861" s="24" t="str">
        <f t="shared" ref="AA1861:AA1924" si="59">IF(ISBLANK(B1861), "", $A$2)</f>
        <v/>
      </c>
    </row>
    <row r="1862" spans="26:27" x14ac:dyDescent="0.2">
      <c r="Z1862" s="10">
        <f t="shared" si="58"/>
        <v>0</v>
      </c>
      <c r="AA1862" s="24" t="str">
        <f t="shared" si="59"/>
        <v/>
      </c>
    </row>
    <row r="1863" spans="26:27" x14ac:dyDescent="0.2">
      <c r="Z1863" s="10">
        <f t="shared" si="58"/>
        <v>0</v>
      </c>
      <c r="AA1863" s="24" t="str">
        <f t="shared" si="59"/>
        <v/>
      </c>
    </row>
    <row r="1864" spans="26:27" x14ac:dyDescent="0.2">
      <c r="Z1864" s="10">
        <f t="shared" si="58"/>
        <v>0</v>
      </c>
      <c r="AA1864" s="24" t="str">
        <f t="shared" si="59"/>
        <v/>
      </c>
    </row>
    <row r="1865" spans="26:27" x14ac:dyDescent="0.2">
      <c r="Z1865" s="10">
        <f t="shared" si="58"/>
        <v>0</v>
      </c>
      <c r="AA1865" s="24" t="str">
        <f t="shared" si="59"/>
        <v/>
      </c>
    </row>
    <row r="1866" spans="26:27" x14ac:dyDescent="0.2">
      <c r="Z1866" s="10">
        <f t="shared" si="58"/>
        <v>0</v>
      </c>
      <c r="AA1866" s="24" t="str">
        <f t="shared" si="59"/>
        <v/>
      </c>
    </row>
    <row r="1867" spans="26:27" x14ac:dyDescent="0.2">
      <c r="Z1867" s="10">
        <f t="shared" si="58"/>
        <v>0</v>
      </c>
      <c r="AA1867" s="24" t="str">
        <f t="shared" si="59"/>
        <v/>
      </c>
    </row>
    <row r="1868" spans="26:27" x14ac:dyDescent="0.2">
      <c r="Z1868" s="10">
        <f t="shared" si="58"/>
        <v>0</v>
      </c>
      <c r="AA1868" s="24" t="str">
        <f t="shared" si="59"/>
        <v/>
      </c>
    </row>
    <row r="1869" spans="26:27" x14ac:dyDescent="0.2">
      <c r="Z1869" s="10">
        <f t="shared" si="58"/>
        <v>0</v>
      </c>
      <c r="AA1869" s="24" t="str">
        <f t="shared" si="59"/>
        <v/>
      </c>
    </row>
    <row r="1870" spans="26:27" x14ac:dyDescent="0.2">
      <c r="Z1870" s="10">
        <f t="shared" si="58"/>
        <v>0</v>
      </c>
      <c r="AA1870" s="24" t="str">
        <f t="shared" si="59"/>
        <v/>
      </c>
    </row>
    <row r="1871" spans="26:27" x14ac:dyDescent="0.2">
      <c r="Z1871" s="10">
        <f t="shared" si="58"/>
        <v>0</v>
      </c>
      <c r="AA1871" s="24" t="str">
        <f t="shared" si="59"/>
        <v/>
      </c>
    </row>
    <row r="1872" spans="26:27" x14ac:dyDescent="0.2">
      <c r="Z1872" s="10">
        <f t="shared" si="58"/>
        <v>0</v>
      </c>
      <c r="AA1872" s="24" t="str">
        <f t="shared" si="59"/>
        <v/>
      </c>
    </row>
    <row r="1873" spans="26:27" x14ac:dyDescent="0.2">
      <c r="Z1873" s="10">
        <f t="shared" si="58"/>
        <v>0</v>
      </c>
      <c r="AA1873" s="24" t="str">
        <f t="shared" si="59"/>
        <v/>
      </c>
    </row>
    <row r="1874" spans="26:27" x14ac:dyDescent="0.2">
      <c r="Z1874" s="10">
        <f t="shared" si="58"/>
        <v>0</v>
      </c>
      <c r="AA1874" s="24" t="str">
        <f t="shared" si="59"/>
        <v/>
      </c>
    </row>
    <row r="1875" spans="26:27" x14ac:dyDescent="0.2">
      <c r="Z1875" s="10">
        <f t="shared" si="58"/>
        <v>0</v>
      </c>
      <c r="AA1875" s="24" t="str">
        <f t="shared" si="59"/>
        <v/>
      </c>
    </row>
    <row r="1876" spans="26:27" x14ac:dyDescent="0.2">
      <c r="Z1876" s="10">
        <f t="shared" si="58"/>
        <v>0</v>
      </c>
      <c r="AA1876" s="24" t="str">
        <f t="shared" si="59"/>
        <v/>
      </c>
    </row>
    <row r="1877" spans="26:27" x14ac:dyDescent="0.2">
      <c r="Z1877" s="10">
        <f t="shared" si="58"/>
        <v>0</v>
      </c>
      <c r="AA1877" s="24" t="str">
        <f t="shared" si="59"/>
        <v/>
      </c>
    </row>
    <row r="1878" spans="26:27" x14ac:dyDescent="0.2">
      <c r="Z1878" s="10">
        <f t="shared" si="58"/>
        <v>0</v>
      </c>
      <c r="AA1878" s="24" t="str">
        <f t="shared" si="59"/>
        <v/>
      </c>
    </row>
    <row r="1879" spans="26:27" x14ac:dyDescent="0.2">
      <c r="Z1879" s="10">
        <f t="shared" si="58"/>
        <v>0</v>
      </c>
      <c r="AA1879" s="24" t="str">
        <f t="shared" si="59"/>
        <v/>
      </c>
    </row>
    <row r="1880" spans="26:27" x14ac:dyDescent="0.2">
      <c r="Z1880" s="10">
        <f t="shared" si="58"/>
        <v>0</v>
      </c>
      <c r="AA1880" s="24" t="str">
        <f t="shared" si="59"/>
        <v/>
      </c>
    </row>
    <row r="1881" spans="26:27" x14ac:dyDescent="0.2">
      <c r="Z1881" s="10">
        <f t="shared" si="58"/>
        <v>0</v>
      </c>
      <c r="AA1881" s="24" t="str">
        <f t="shared" si="59"/>
        <v/>
      </c>
    </row>
    <row r="1882" spans="26:27" x14ac:dyDescent="0.2">
      <c r="Z1882" s="10">
        <f t="shared" si="58"/>
        <v>0</v>
      </c>
      <c r="AA1882" s="24" t="str">
        <f t="shared" si="59"/>
        <v/>
      </c>
    </row>
    <row r="1883" spans="26:27" x14ac:dyDescent="0.2">
      <c r="Z1883" s="10">
        <f t="shared" si="58"/>
        <v>0</v>
      </c>
      <c r="AA1883" s="24" t="str">
        <f t="shared" si="59"/>
        <v/>
      </c>
    </row>
    <row r="1884" spans="26:27" x14ac:dyDescent="0.2">
      <c r="Z1884" s="10">
        <f t="shared" si="58"/>
        <v>0</v>
      </c>
      <c r="AA1884" s="24" t="str">
        <f t="shared" si="59"/>
        <v/>
      </c>
    </row>
    <row r="1885" spans="26:27" x14ac:dyDescent="0.2">
      <c r="Z1885" s="10">
        <f t="shared" si="58"/>
        <v>0</v>
      </c>
      <c r="AA1885" s="24" t="str">
        <f t="shared" si="59"/>
        <v/>
      </c>
    </row>
    <row r="1886" spans="26:27" x14ac:dyDescent="0.2">
      <c r="Z1886" s="10">
        <f t="shared" si="58"/>
        <v>0</v>
      </c>
      <c r="AA1886" s="24" t="str">
        <f t="shared" si="59"/>
        <v/>
      </c>
    </row>
    <row r="1887" spans="26:27" x14ac:dyDescent="0.2">
      <c r="Z1887" s="10">
        <f t="shared" si="58"/>
        <v>0</v>
      </c>
      <c r="AA1887" s="24" t="str">
        <f t="shared" si="59"/>
        <v/>
      </c>
    </row>
    <row r="1888" spans="26:27" x14ac:dyDescent="0.2">
      <c r="Z1888" s="10">
        <f t="shared" si="58"/>
        <v>0</v>
      </c>
      <c r="AA1888" s="24" t="str">
        <f t="shared" si="59"/>
        <v/>
      </c>
    </row>
    <row r="1889" spans="26:27" x14ac:dyDescent="0.2">
      <c r="Z1889" s="10">
        <f t="shared" si="58"/>
        <v>0</v>
      </c>
      <c r="AA1889" s="24" t="str">
        <f t="shared" si="59"/>
        <v/>
      </c>
    </row>
    <row r="1890" spans="26:27" x14ac:dyDescent="0.2">
      <c r="Z1890" s="10">
        <f t="shared" si="58"/>
        <v>0</v>
      </c>
      <c r="AA1890" s="24" t="str">
        <f t="shared" si="59"/>
        <v/>
      </c>
    </row>
    <row r="1891" spans="26:27" x14ac:dyDescent="0.2">
      <c r="Z1891" s="10">
        <f t="shared" si="58"/>
        <v>0</v>
      </c>
      <c r="AA1891" s="24" t="str">
        <f t="shared" si="59"/>
        <v/>
      </c>
    </row>
    <row r="1892" spans="26:27" x14ac:dyDescent="0.2">
      <c r="Z1892" s="10">
        <f t="shared" si="58"/>
        <v>0</v>
      </c>
      <c r="AA1892" s="24" t="str">
        <f t="shared" si="59"/>
        <v/>
      </c>
    </row>
    <row r="1893" spans="26:27" x14ac:dyDescent="0.2">
      <c r="Z1893" s="10">
        <f t="shared" si="58"/>
        <v>0</v>
      </c>
      <c r="AA1893" s="24" t="str">
        <f t="shared" si="59"/>
        <v/>
      </c>
    </row>
    <row r="1894" spans="26:27" x14ac:dyDescent="0.2">
      <c r="Z1894" s="10">
        <f t="shared" si="58"/>
        <v>0</v>
      </c>
      <c r="AA1894" s="24" t="str">
        <f t="shared" si="59"/>
        <v/>
      </c>
    </row>
    <row r="1895" spans="26:27" x14ac:dyDescent="0.2">
      <c r="Z1895" s="10">
        <f t="shared" si="58"/>
        <v>0</v>
      </c>
      <c r="AA1895" s="24" t="str">
        <f t="shared" si="59"/>
        <v/>
      </c>
    </row>
    <row r="1896" spans="26:27" x14ac:dyDescent="0.2">
      <c r="Z1896" s="10">
        <f t="shared" si="58"/>
        <v>0</v>
      </c>
      <c r="AA1896" s="24" t="str">
        <f t="shared" si="59"/>
        <v/>
      </c>
    </row>
    <row r="1897" spans="26:27" x14ac:dyDescent="0.2">
      <c r="Z1897" s="10">
        <f t="shared" si="58"/>
        <v>0</v>
      </c>
      <c r="AA1897" s="24" t="str">
        <f t="shared" si="59"/>
        <v/>
      </c>
    </row>
    <row r="1898" spans="26:27" x14ac:dyDescent="0.2">
      <c r="Z1898" s="10">
        <f t="shared" si="58"/>
        <v>0</v>
      </c>
      <c r="AA1898" s="24" t="str">
        <f t="shared" si="59"/>
        <v/>
      </c>
    </row>
    <row r="1899" spans="26:27" x14ac:dyDescent="0.2">
      <c r="Z1899" s="10">
        <f t="shared" si="58"/>
        <v>0</v>
      </c>
      <c r="AA1899" s="24" t="str">
        <f t="shared" si="59"/>
        <v/>
      </c>
    </row>
    <row r="1900" spans="26:27" x14ac:dyDescent="0.2">
      <c r="Z1900" s="10">
        <f t="shared" si="58"/>
        <v>0</v>
      </c>
      <c r="AA1900" s="24" t="str">
        <f t="shared" si="59"/>
        <v/>
      </c>
    </row>
    <row r="1901" spans="26:27" x14ac:dyDescent="0.2">
      <c r="Z1901" s="10">
        <f t="shared" si="58"/>
        <v>0</v>
      </c>
      <c r="AA1901" s="24" t="str">
        <f t="shared" si="59"/>
        <v/>
      </c>
    </row>
    <row r="1902" spans="26:27" x14ac:dyDescent="0.2">
      <c r="Z1902" s="10">
        <f t="shared" si="58"/>
        <v>0</v>
      </c>
      <c r="AA1902" s="24" t="str">
        <f t="shared" si="59"/>
        <v/>
      </c>
    </row>
    <row r="1903" spans="26:27" x14ac:dyDescent="0.2">
      <c r="Z1903" s="10">
        <f t="shared" si="58"/>
        <v>0</v>
      </c>
      <c r="AA1903" s="24" t="str">
        <f t="shared" si="59"/>
        <v/>
      </c>
    </row>
    <row r="1904" spans="26:27" x14ac:dyDescent="0.2">
      <c r="Z1904" s="10">
        <f t="shared" si="58"/>
        <v>0</v>
      </c>
      <c r="AA1904" s="24" t="str">
        <f t="shared" si="59"/>
        <v/>
      </c>
    </row>
    <row r="1905" spans="26:27" x14ac:dyDescent="0.2">
      <c r="Z1905" s="10">
        <f t="shared" si="58"/>
        <v>0</v>
      </c>
      <c r="AA1905" s="24" t="str">
        <f t="shared" si="59"/>
        <v/>
      </c>
    </row>
    <row r="1906" spans="26:27" x14ac:dyDescent="0.2">
      <c r="Z1906" s="10">
        <f t="shared" si="58"/>
        <v>0</v>
      </c>
      <c r="AA1906" s="24" t="str">
        <f t="shared" si="59"/>
        <v/>
      </c>
    </row>
    <row r="1907" spans="26:27" x14ac:dyDescent="0.2">
      <c r="Z1907" s="10">
        <f t="shared" si="58"/>
        <v>0</v>
      </c>
      <c r="AA1907" s="24" t="str">
        <f t="shared" si="59"/>
        <v/>
      </c>
    </row>
    <row r="1908" spans="26:27" x14ac:dyDescent="0.2">
      <c r="Z1908" s="10">
        <f t="shared" si="58"/>
        <v>0</v>
      </c>
      <c r="AA1908" s="24" t="str">
        <f t="shared" si="59"/>
        <v/>
      </c>
    </row>
    <row r="1909" spans="26:27" x14ac:dyDescent="0.2">
      <c r="Z1909" s="10">
        <f t="shared" si="58"/>
        <v>0</v>
      </c>
      <c r="AA1909" s="24" t="str">
        <f t="shared" si="59"/>
        <v/>
      </c>
    </row>
    <row r="1910" spans="26:27" x14ac:dyDescent="0.2">
      <c r="Z1910" s="10">
        <f t="shared" si="58"/>
        <v>0</v>
      </c>
      <c r="AA1910" s="24" t="str">
        <f t="shared" si="59"/>
        <v/>
      </c>
    </row>
    <row r="1911" spans="26:27" x14ac:dyDescent="0.2">
      <c r="Z1911" s="10">
        <f t="shared" si="58"/>
        <v>0</v>
      </c>
      <c r="AA1911" s="24" t="str">
        <f t="shared" si="59"/>
        <v/>
      </c>
    </row>
    <row r="1912" spans="26:27" x14ac:dyDescent="0.2">
      <c r="Z1912" s="10">
        <f t="shared" si="58"/>
        <v>0</v>
      </c>
      <c r="AA1912" s="24" t="str">
        <f t="shared" si="59"/>
        <v/>
      </c>
    </row>
    <row r="1913" spans="26:27" x14ac:dyDescent="0.2">
      <c r="Z1913" s="10">
        <f t="shared" si="58"/>
        <v>0</v>
      </c>
      <c r="AA1913" s="24" t="str">
        <f t="shared" si="59"/>
        <v/>
      </c>
    </row>
    <row r="1914" spans="26:27" x14ac:dyDescent="0.2">
      <c r="Z1914" s="10">
        <f t="shared" si="58"/>
        <v>0</v>
      </c>
      <c r="AA1914" s="24" t="str">
        <f t="shared" si="59"/>
        <v/>
      </c>
    </row>
    <row r="1915" spans="26:27" x14ac:dyDescent="0.2">
      <c r="Z1915" s="10">
        <f t="shared" si="58"/>
        <v>0</v>
      </c>
      <c r="AA1915" s="24" t="str">
        <f t="shared" si="59"/>
        <v/>
      </c>
    </row>
    <row r="1916" spans="26:27" x14ac:dyDescent="0.2">
      <c r="Z1916" s="10">
        <f t="shared" si="58"/>
        <v>0</v>
      </c>
      <c r="AA1916" s="24" t="str">
        <f t="shared" si="59"/>
        <v/>
      </c>
    </row>
    <row r="1917" spans="26:27" x14ac:dyDescent="0.2">
      <c r="Z1917" s="10">
        <f t="shared" si="58"/>
        <v>0</v>
      </c>
      <c r="AA1917" s="24" t="str">
        <f t="shared" si="59"/>
        <v/>
      </c>
    </row>
    <row r="1918" spans="26:27" x14ac:dyDescent="0.2">
      <c r="Z1918" s="10">
        <f t="shared" si="58"/>
        <v>0</v>
      </c>
      <c r="AA1918" s="24" t="str">
        <f t="shared" si="59"/>
        <v/>
      </c>
    </row>
    <row r="1919" spans="26:27" x14ac:dyDescent="0.2">
      <c r="Z1919" s="10">
        <f t="shared" si="58"/>
        <v>0</v>
      </c>
      <c r="AA1919" s="24" t="str">
        <f t="shared" si="59"/>
        <v/>
      </c>
    </row>
    <row r="1920" spans="26:27" x14ac:dyDescent="0.2">
      <c r="Z1920" s="10">
        <f t="shared" si="58"/>
        <v>0</v>
      </c>
      <c r="AA1920" s="24" t="str">
        <f t="shared" si="59"/>
        <v/>
      </c>
    </row>
    <row r="1921" spans="26:27" x14ac:dyDescent="0.2">
      <c r="Z1921" s="10">
        <f t="shared" si="58"/>
        <v>0</v>
      </c>
      <c r="AA1921" s="24" t="str">
        <f t="shared" si="59"/>
        <v/>
      </c>
    </row>
    <row r="1922" spans="26:27" x14ac:dyDescent="0.2">
      <c r="Z1922" s="10">
        <f t="shared" si="58"/>
        <v>0</v>
      </c>
      <c r="AA1922" s="24" t="str">
        <f t="shared" si="59"/>
        <v/>
      </c>
    </row>
    <row r="1923" spans="26:27" x14ac:dyDescent="0.2">
      <c r="Z1923" s="10">
        <f t="shared" si="58"/>
        <v>0</v>
      </c>
      <c r="AA1923" s="24" t="str">
        <f t="shared" si="59"/>
        <v/>
      </c>
    </row>
    <row r="1924" spans="26:27" x14ac:dyDescent="0.2">
      <c r="Z1924" s="10">
        <f t="shared" si="58"/>
        <v>0</v>
      </c>
      <c r="AA1924" s="24" t="str">
        <f t="shared" si="59"/>
        <v/>
      </c>
    </row>
    <row r="1925" spans="26:27" x14ac:dyDescent="0.2">
      <c r="Z1925" s="10">
        <f t="shared" ref="Z1925:Z1988" si="60">IF(G1925="PLUM", "Plumbing", IF(G1925="PIPE", "Piping", IF(G1925="HVAC", "Sheet Metal", G1925)))</f>
        <v>0</v>
      </c>
      <c r="AA1925" s="24" t="str">
        <f t="shared" ref="AA1925:AA1988" si="61">IF(ISBLANK(B1925), "", $A$2)</f>
        <v/>
      </c>
    </row>
    <row r="1926" spans="26:27" x14ac:dyDescent="0.2">
      <c r="Z1926" s="10">
        <f t="shared" si="60"/>
        <v>0</v>
      </c>
      <c r="AA1926" s="24" t="str">
        <f t="shared" si="61"/>
        <v/>
      </c>
    </row>
    <row r="1927" spans="26:27" x14ac:dyDescent="0.2">
      <c r="Z1927" s="10">
        <f t="shared" si="60"/>
        <v>0</v>
      </c>
      <c r="AA1927" s="24" t="str">
        <f t="shared" si="61"/>
        <v/>
      </c>
    </row>
    <row r="1928" spans="26:27" x14ac:dyDescent="0.2">
      <c r="Z1928" s="10">
        <f t="shared" si="60"/>
        <v>0</v>
      </c>
      <c r="AA1928" s="24" t="str">
        <f t="shared" si="61"/>
        <v/>
      </c>
    </row>
    <row r="1929" spans="26:27" x14ac:dyDescent="0.2">
      <c r="Z1929" s="10">
        <f t="shared" si="60"/>
        <v>0</v>
      </c>
      <c r="AA1929" s="24" t="str">
        <f t="shared" si="61"/>
        <v/>
      </c>
    </row>
    <row r="1930" spans="26:27" x14ac:dyDescent="0.2">
      <c r="Z1930" s="10">
        <f t="shared" si="60"/>
        <v>0</v>
      </c>
      <c r="AA1930" s="24" t="str">
        <f t="shared" si="61"/>
        <v/>
      </c>
    </row>
    <row r="1931" spans="26:27" x14ac:dyDescent="0.2">
      <c r="Z1931" s="10">
        <f t="shared" si="60"/>
        <v>0</v>
      </c>
      <c r="AA1931" s="24" t="str">
        <f t="shared" si="61"/>
        <v/>
      </c>
    </row>
    <row r="1932" spans="26:27" x14ac:dyDescent="0.2">
      <c r="Z1932" s="10">
        <f t="shared" si="60"/>
        <v>0</v>
      </c>
      <c r="AA1932" s="24" t="str">
        <f t="shared" si="61"/>
        <v/>
      </c>
    </row>
    <row r="1933" spans="26:27" x14ac:dyDescent="0.2">
      <c r="Z1933" s="10">
        <f t="shared" si="60"/>
        <v>0</v>
      </c>
      <c r="AA1933" s="24" t="str">
        <f t="shared" si="61"/>
        <v/>
      </c>
    </row>
    <row r="1934" spans="26:27" x14ac:dyDescent="0.2">
      <c r="Z1934" s="10">
        <f t="shared" si="60"/>
        <v>0</v>
      </c>
      <c r="AA1934" s="24" t="str">
        <f t="shared" si="61"/>
        <v/>
      </c>
    </row>
    <row r="1935" spans="26:27" x14ac:dyDescent="0.2">
      <c r="Z1935" s="10">
        <f t="shared" si="60"/>
        <v>0</v>
      </c>
      <c r="AA1935" s="24" t="str">
        <f t="shared" si="61"/>
        <v/>
      </c>
    </row>
    <row r="1936" spans="26:27" x14ac:dyDescent="0.2">
      <c r="Z1936" s="10">
        <f t="shared" si="60"/>
        <v>0</v>
      </c>
      <c r="AA1936" s="24" t="str">
        <f t="shared" si="61"/>
        <v/>
      </c>
    </row>
    <row r="1937" spans="26:27" x14ac:dyDescent="0.2">
      <c r="Z1937" s="10">
        <f t="shared" si="60"/>
        <v>0</v>
      </c>
      <c r="AA1937" s="24" t="str">
        <f t="shared" si="61"/>
        <v/>
      </c>
    </row>
    <row r="1938" spans="26:27" x14ac:dyDescent="0.2">
      <c r="Z1938" s="10">
        <f t="shared" si="60"/>
        <v>0</v>
      </c>
      <c r="AA1938" s="24" t="str">
        <f t="shared" si="61"/>
        <v/>
      </c>
    </row>
    <row r="1939" spans="26:27" x14ac:dyDescent="0.2">
      <c r="Z1939" s="10">
        <f t="shared" si="60"/>
        <v>0</v>
      </c>
      <c r="AA1939" s="24" t="str">
        <f t="shared" si="61"/>
        <v/>
      </c>
    </row>
    <row r="1940" spans="26:27" x14ac:dyDescent="0.2">
      <c r="Z1940" s="10">
        <f t="shared" si="60"/>
        <v>0</v>
      </c>
      <c r="AA1940" s="24" t="str">
        <f t="shared" si="61"/>
        <v/>
      </c>
    </row>
    <row r="1941" spans="26:27" x14ac:dyDescent="0.2">
      <c r="Z1941" s="10">
        <f t="shared" si="60"/>
        <v>0</v>
      </c>
      <c r="AA1941" s="24" t="str">
        <f t="shared" si="61"/>
        <v/>
      </c>
    </row>
    <row r="1942" spans="26:27" x14ac:dyDescent="0.2">
      <c r="Z1942" s="10">
        <f t="shared" si="60"/>
        <v>0</v>
      </c>
      <c r="AA1942" s="24" t="str">
        <f t="shared" si="61"/>
        <v/>
      </c>
    </row>
    <row r="1943" spans="26:27" x14ac:dyDescent="0.2">
      <c r="Z1943" s="10">
        <f t="shared" si="60"/>
        <v>0</v>
      </c>
      <c r="AA1943" s="24" t="str">
        <f t="shared" si="61"/>
        <v/>
      </c>
    </row>
    <row r="1944" spans="26:27" x14ac:dyDescent="0.2">
      <c r="Z1944" s="10">
        <f t="shared" si="60"/>
        <v>0</v>
      </c>
      <c r="AA1944" s="24" t="str">
        <f t="shared" si="61"/>
        <v/>
      </c>
    </row>
    <row r="1945" spans="26:27" x14ac:dyDescent="0.2">
      <c r="Z1945" s="10">
        <f t="shared" si="60"/>
        <v>0</v>
      </c>
      <c r="AA1945" s="24" t="str">
        <f t="shared" si="61"/>
        <v/>
      </c>
    </row>
    <row r="1946" spans="26:27" x14ac:dyDescent="0.2">
      <c r="Z1946" s="10">
        <f t="shared" si="60"/>
        <v>0</v>
      </c>
      <c r="AA1946" s="24" t="str">
        <f t="shared" si="61"/>
        <v/>
      </c>
    </row>
    <row r="1947" spans="26:27" x14ac:dyDescent="0.2">
      <c r="Z1947" s="10">
        <f t="shared" si="60"/>
        <v>0</v>
      </c>
      <c r="AA1947" s="24" t="str">
        <f t="shared" si="61"/>
        <v/>
      </c>
    </row>
    <row r="1948" spans="26:27" x14ac:dyDescent="0.2">
      <c r="Z1948" s="10">
        <f t="shared" si="60"/>
        <v>0</v>
      </c>
      <c r="AA1948" s="24" t="str">
        <f t="shared" si="61"/>
        <v/>
      </c>
    </row>
    <row r="1949" spans="26:27" x14ac:dyDescent="0.2">
      <c r="Z1949" s="10">
        <f t="shared" si="60"/>
        <v>0</v>
      </c>
      <c r="AA1949" s="24" t="str">
        <f t="shared" si="61"/>
        <v/>
      </c>
    </row>
    <row r="1950" spans="26:27" x14ac:dyDescent="0.2">
      <c r="Z1950" s="10">
        <f t="shared" si="60"/>
        <v>0</v>
      </c>
      <c r="AA1950" s="24" t="str">
        <f t="shared" si="61"/>
        <v/>
      </c>
    </row>
    <row r="1951" spans="26:27" x14ac:dyDescent="0.2">
      <c r="Z1951" s="10">
        <f t="shared" si="60"/>
        <v>0</v>
      </c>
      <c r="AA1951" s="24" t="str">
        <f t="shared" si="61"/>
        <v/>
      </c>
    </row>
    <row r="1952" spans="26:27" x14ac:dyDescent="0.2">
      <c r="Z1952" s="10">
        <f t="shared" si="60"/>
        <v>0</v>
      </c>
      <c r="AA1952" s="24" t="str">
        <f t="shared" si="61"/>
        <v/>
      </c>
    </row>
    <row r="1953" spans="26:27" x14ac:dyDescent="0.2">
      <c r="Z1953" s="10">
        <f t="shared" si="60"/>
        <v>0</v>
      </c>
      <c r="AA1953" s="24" t="str">
        <f t="shared" si="61"/>
        <v/>
      </c>
    </row>
    <row r="1954" spans="26:27" x14ac:dyDescent="0.2">
      <c r="Z1954" s="10">
        <f t="shared" si="60"/>
        <v>0</v>
      </c>
      <c r="AA1954" s="24" t="str">
        <f t="shared" si="61"/>
        <v/>
      </c>
    </row>
    <row r="1955" spans="26:27" x14ac:dyDescent="0.2">
      <c r="Z1955" s="10">
        <f t="shared" si="60"/>
        <v>0</v>
      </c>
      <c r="AA1955" s="24" t="str">
        <f t="shared" si="61"/>
        <v/>
      </c>
    </row>
    <row r="1956" spans="26:27" x14ac:dyDescent="0.2">
      <c r="Z1956" s="10">
        <f t="shared" si="60"/>
        <v>0</v>
      </c>
      <c r="AA1956" s="24" t="str">
        <f t="shared" si="61"/>
        <v/>
      </c>
    </row>
    <row r="1957" spans="26:27" x14ac:dyDescent="0.2">
      <c r="Z1957" s="10">
        <f t="shared" si="60"/>
        <v>0</v>
      </c>
      <c r="AA1957" s="24" t="str">
        <f t="shared" si="61"/>
        <v/>
      </c>
    </row>
    <row r="1958" spans="26:27" x14ac:dyDescent="0.2">
      <c r="Z1958" s="10">
        <f t="shared" si="60"/>
        <v>0</v>
      </c>
      <c r="AA1958" s="24" t="str">
        <f t="shared" si="61"/>
        <v/>
      </c>
    </row>
    <row r="1959" spans="26:27" x14ac:dyDescent="0.2">
      <c r="Z1959" s="10">
        <f t="shared" si="60"/>
        <v>0</v>
      </c>
      <c r="AA1959" s="24" t="str">
        <f t="shared" si="61"/>
        <v/>
      </c>
    </row>
    <row r="1960" spans="26:27" x14ac:dyDescent="0.2">
      <c r="Z1960" s="10">
        <f t="shared" si="60"/>
        <v>0</v>
      </c>
      <c r="AA1960" s="24" t="str">
        <f t="shared" si="61"/>
        <v/>
      </c>
    </row>
    <row r="1961" spans="26:27" x14ac:dyDescent="0.2">
      <c r="Z1961" s="10">
        <f t="shared" si="60"/>
        <v>0</v>
      </c>
      <c r="AA1961" s="24" t="str">
        <f t="shared" si="61"/>
        <v/>
      </c>
    </row>
    <row r="1962" spans="26:27" x14ac:dyDescent="0.2">
      <c r="Z1962" s="10">
        <f t="shared" si="60"/>
        <v>0</v>
      </c>
      <c r="AA1962" s="24" t="str">
        <f t="shared" si="61"/>
        <v/>
      </c>
    </row>
    <row r="1963" spans="26:27" x14ac:dyDescent="0.2">
      <c r="Z1963" s="10">
        <f t="shared" si="60"/>
        <v>0</v>
      </c>
      <c r="AA1963" s="24" t="str">
        <f t="shared" si="61"/>
        <v/>
      </c>
    </row>
    <row r="1964" spans="26:27" x14ac:dyDescent="0.2">
      <c r="Z1964" s="10">
        <f t="shared" si="60"/>
        <v>0</v>
      </c>
      <c r="AA1964" s="24" t="str">
        <f t="shared" si="61"/>
        <v/>
      </c>
    </row>
    <row r="1965" spans="26:27" x14ac:dyDescent="0.2">
      <c r="Z1965" s="10">
        <f t="shared" si="60"/>
        <v>0</v>
      </c>
      <c r="AA1965" s="24" t="str">
        <f t="shared" si="61"/>
        <v/>
      </c>
    </row>
    <row r="1966" spans="26:27" x14ac:dyDescent="0.2">
      <c r="Z1966" s="10">
        <f t="shared" si="60"/>
        <v>0</v>
      </c>
      <c r="AA1966" s="24" t="str">
        <f t="shared" si="61"/>
        <v/>
      </c>
    </row>
    <row r="1967" spans="26:27" x14ac:dyDescent="0.2">
      <c r="Z1967" s="10">
        <f t="shared" si="60"/>
        <v>0</v>
      </c>
      <c r="AA1967" s="24" t="str">
        <f t="shared" si="61"/>
        <v/>
      </c>
    </row>
    <row r="1968" spans="26:27" x14ac:dyDescent="0.2">
      <c r="Z1968" s="10">
        <f t="shared" si="60"/>
        <v>0</v>
      </c>
      <c r="AA1968" s="24" t="str">
        <f t="shared" si="61"/>
        <v/>
      </c>
    </row>
    <row r="1969" spans="26:27" x14ac:dyDescent="0.2">
      <c r="Z1969" s="10">
        <f t="shared" si="60"/>
        <v>0</v>
      </c>
      <c r="AA1969" s="24" t="str">
        <f t="shared" si="61"/>
        <v/>
      </c>
    </row>
    <row r="1970" spans="26:27" x14ac:dyDescent="0.2">
      <c r="Z1970" s="10">
        <f t="shared" si="60"/>
        <v>0</v>
      </c>
      <c r="AA1970" s="24" t="str">
        <f t="shared" si="61"/>
        <v/>
      </c>
    </row>
    <row r="1971" spans="26:27" x14ac:dyDescent="0.2">
      <c r="Z1971" s="10">
        <f t="shared" si="60"/>
        <v>0</v>
      </c>
      <c r="AA1971" s="24" t="str">
        <f t="shared" si="61"/>
        <v/>
      </c>
    </row>
    <row r="1972" spans="26:27" x14ac:dyDescent="0.2">
      <c r="Z1972" s="10">
        <f t="shared" si="60"/>
        <v>0</v>
      </c>
      <c r="AA1972" s="24" t="str">
        <f t="shared" si="61"/>
        <v/>
      </c>
    </row>
    <row r="1973" spans="26:27" x14ac:dyDescent="0.2">
      <c r="Z1973" s="10">
        <f t="shared" si="60"/>
        <v>0</v>
      </c>
      <c r="AA1973" s="24" t="str">
        <f t="shared" si="61"/>
        <v/>
      </c>
    </row>
    <row r="1974" spans="26:27" x14ac:dyDescent="0.2">
      <c r="Z1974" s="10">
        <f t="shared" si="60"/>
        <v>0</v>
      </c>
      <c r="AA1974" s="24" t="str">
        <f t="shared" si="61"/>
        <v/>
      </c>
    </row>
    <row r="1975" spans="26:27" x14ac:dyDescent="0.2">
      <c r="Z1975" s="10">
        <f t="shared" si="60"/>
        <v>0</v>
      </c>
      <c r="AA1975" s="24" t="str">
        <f t="shared" si="61"/>
        <v/>
      </c>
    </row>
    <row r="1976" spans="26:27" x14ac:dyDescent="0.2">
      <c r="Z1976" s="10">
        <f t="shared" si="60"/>
        <v>0</v>
      </c>
      <c r="AA1976" s="24" t="str">
        <f t="shared" si="61"/>
        <v/>
      </c>
    </row>
    <row r="1977" spans="26:27" x14ac:dyDescent="0.2">
      <c r="Z1977" s="10">
        <f t="shared" si="60"/>
        <v>0</v>
      </c>
      <c r="AA1977" s="24" t="str">
        <f t="shared" si="61"/>
        <v/>
      </c>
    </row>
    <row r="1978" spans="26:27" x14ac:dyDescent="0.2">
      <c r="Z1978" s="10">
        <f t="shared" si="60"/>
        <v>0</v>
      </c>
      <c r="AA1978" s="24" t="str">
        <f t="shared" si="61"/>
        <v/>
      </c>
    </row>
    <row r="1979" spans="26:27" x14ac:dyDescent="0.2">
      <c r="Z1979" s="10">
        <f t="shared" si="60"/>
        <v>0</v>
      </c>
      <c r="AA1979" s="24" t="str">
        <f t="shared" si="61"/>
        <v/>
      </c>
    </row>
    <row r="1980" spans="26:27" x14ac:dyDescent="0.2">
      <c r="Z1980" s="10">
        <f t="shared" si="60"/>
        <v>0</v>
      </c>
      <c r="AA1980" s="24" t="str">
        <f t="shared" si="61"/>
        <v/>
      </c>
    </row>
    <row r="1981" spans="26:27" x14ac:dyDescent="0.2">
      <c r="Z1981" s="10">
        <f t="shared" si="60"/>
        <v>0</v>
      </c>
      <c r="AA1981" s="24" t="str">
        <f t="shared" si="61"/>
        <v/>
      </c>
    </row>
    <row r="1982" spans="26:27" x14ac:dyDescent="0.2">
      <c r="Z1982" s="10">
        <f t="shared" si="60"/>
        <v>0</v>
      </c>
      <c r="AA1982" s="24" t="str">
        <f t="shared" si="61"/>
        <v/>
      </c>
    </row>
    <row r="1983" spans="26:27" x14ac:dyDescent="0.2">
      <c r="Z1983" s="10">
        <f t="shared" si="60"/>
        <v>0</v>
      </c>
      <c r="AA1983" s="24" t="str">
        <f t="shared" si="61"/>
        <v/>
      </c>
    </row>
    <row r="1984" spans="26:27" x14ac:dyDescent="0.2">
      <c r="Z1984" s="10">
        <f t="shared" si="60"/>
        <v>0</v>
      </c>
      <c r="AA1984" s="24" t="str">
        <f t="shared" si="61"/>
        <v/>
      </c>
    </row>
    <row r="1985" spans="26:27" x14ac:dyDescent="0.2">
      <c r="Z1985" s="10">
        <f t="shared" si="60"/>
        <v>0</v>
      </c>
      <c r="AA1985" s="24" t="str">
        <f t="shared" si="61"/>
        <v/>
      </c>
    </row>
    <row r="1986" spans="26:27" x14ac:dyDescent="0.2">
      <c r="Z1986" s="10">
        <f t="shared" si="60"/>
        <v>0</v>
      </c>
      <c r="AA1986" s="24" t="str">
        <f t="shared" si="61"/>
        <v/>
      </c>
    </row>
    <row r="1987" spans="26:27" x14ac:dyDescent="0.2">
      <c r="Z1987" s="10">
        <f t="shared" si="60"/>
        <v>0</v>
      </c>
      <c r="AA1987" s="24" t="str">
        <f t="shared" si="61"/>
        <v/>
      </c>
    </row>
    <row r="1988" spans="26:27" x14ac:dyDescent="0.2">
      <c r="Z1988" s="10">
        <f t="shared" si="60"/>
        <v>0</v>
      </c>
      <c r="AA1988" s="24" t="str">
        <f t="shared" si="61"/>
        <v/>
      </c>
    </row>
    <row r="1989" spans="26:27" x14ac:dyDescent="0.2">
      <c r="Z1989" s="10">
        <f t="shared" ref="Z1989:Z2000" si="62">IF(G1989="PLUM", "Plumbing", IF(G1989="PIPE", "Piping", IF(G1989="HVAC", "Sheet Metal", G1989)))</f>
        <v>0</v>
      </c>
      <c r="AA1989" s="24" t="str">
        <f t="shared" ref="AA1989:AA1999" si="63">IF(ISBLANK(B1989), "", $A$2)</f>
        <v/>
      </c>
    </row>
    <row r="1990" spans="26:27" x14ac:dyDescent="0.2">
      <c r="Z1990" s="10">
        <f t="shared" si="62"/>
        <v>0</v>
      </c>
      <c r="AA1990" s="24" t="str">
        <f t="shared" si="63"/>
        <v/>
      </c>
    </row>
    <row r="1991" spans="26:27" x14ac:dyDescent="0.2">
      <c r="Z1991" s="10">
        <f t="shared" si="62"/>
        <v>0</v>
      </c>
      <c r="AA1991" s="24" t="str">
        <f t="shared" si="63"/>
        <v/>
      </c>
    </row>
    <row r="1992" spans="26:27" x14ac:dyDescent="0.2">
      <c r="Z1992" s="10">
        <f t="shared" si="62"/>
        <v>0</v>
      </c>
      <c r="AA1992" s="24" t="str">
        <f t="shared" si="63"/>
        <v/>
      </c>
    </row>
    <row r="1993" spans="26:27" x14ac:dyDescent="0.2">
      <c r="Z1993" s="10">
        <f t="shared" si="62"/>
        <v>0</v>
      </c>
      <c r="AA1993" s="24" t="str">
        <f t="shared" si="63"/>
        <v/>
      </c>
    </row>
    <row r="1994" spans="26:27" x14ac:dyDescent="0.2">
      <c r="Z1994" s="10">
        <f t="shared" si="62"/>
        <v>0</v>
      </c>
      <c r="AA1994" s="24" t="str">
        <f t="shared" si="63"/>
        <v/>
      </c>
    </row>
    <row r="1995" spans="26:27" x14ac:dyDescent="0.2">
      <c r="Z1995" s="10">
        <f t="shared" si="62"/>
        <v>0</v>
      </c>
      <c r="AA1995" s="24" t="str">
        <f t="shared" si="63"/>
        <v/>
      </c>
    </row>
    <row r="1996" spans="26:27" x14ac:dyDescent="0.2">
      <c r="Z1996" s="10">
        <f t="shared" si="62"/>
        <v>0</v>
      </c>
      <c r="AA1996" s="24" t="str">
        <f t="shared" si="63"/>
        <v/>
      </c>
    </row>
    <row r="1997" spans="26:27" x14ac:dyDescent="0.2">
      <c r="Z1997" s="10">
        <f t="shared" si="62"/>
        <v>0</v>
      </c>
      <c r="AA1997" s="24" t="str">
        <f t="shared" si="63"/>
        <v/>
      </c>
    </row>
    <row r="1998" spans="26:27" x14ac:dyDescent="0.2">
      <c r="Z1998" s="10">
        <f t="shared" si="62"/>
        <v>0</v>
      </c>
      <c r="AA1998" s="24" t="str">
        <f t="shared" si="63"/>
        <v/>
      </c>
    </row>
    <row r="1999" spans="26:27" x14ac:dyDescent="0.2">
      <c r="Z1999" s="10">
        <f t="shared" si="62"/>
        <v>0</v>
      </c>
      <c r="AA1999" s="24" t="str">
        <f t="shared" si="63"/>
        <v/>
      </c>
    </row>
    <row r="2000" spans="26:27" x14ac:dyDescent="0.2">
      <c r="Z2000" s="10">
        <f t="shared" si="62"/>
        <v>0</v>
      </c>
    </row>
  </sheetData>
  <autoFilter ref="J3:AA3" xr:uid="{14F887C0-062D-431B-B176-684054FC9B25}"/>
  <mergeCells count="8">
    <mergeCell ref="H1:X1"/>
    <mergeCell ref="AA1:AG1"/>
    <mergeCell ref="A2:G2"/>
    <mergeCell ref="I2:L2"/>
    <mergeCell ref="N2:R2"/>
    <mergeCell ref="T2:Y2"/>
    <mergeCell ref="A1:G1"/>
    <mergeCell ref="Y1:Z1"/>
  </mergeCells>
  <phoneticPr fontId="0" type="noConversion"/>
  <conditionalFormatting sqref="Z2:Z1048576">
    <cfRule type="cellIs" dxfId="40" priority="1" operator="equal">
      <formula>0</formula>
    </cfRule>
  </conditionalFormatting>
  <pageMargins left="1" right="1" top="1" bottom="1" header="1" footer="1"/>
  <pageSetup orientation="portrait" horizontalDpi="0" verticalDpi="0"/>
  <headerFooter alignWithMargins="0">
    <oddFooter>&amp;L&amp;C&amp;R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996A6-FD36-4FC1-9AC3-ACEAD9A6E185}">
  <sheetPr codeName="Sheet3"/>
  <dimension ref="A1:AN554"/>
  <sheetViews>
    <sheetView topLeftCell="A5" zoomScale="85" zoomScaleNormal="85" workbookViewId="0">
      <selection activeCell="AF3" sqref="AF3:AN4"/>
    </sheetView>
  </sheetViews>
  <sheetFormatPr defaultRowHeight="12.75" x14ac:dyDescent="0.2"/>
  <cols>
    <col min="21" max="21" width="10.28515625" bestFit="1" customWidth="1"/>
    <col min="23" max="23" width="10.28515625" bestFit="1" customWidth="1"/>
  </cols>
  <sheetData>
    <row r="1" spans="1:40" ht="15.75" customHeight="1" x14ac:dyDescent="0.25">
      <c r="A1" s="41"/>
      <c r="B1" s="41"/>
      <c r="C1" s="41"/>
      <c r="D1" s="41"/>
      <c r="E1" s="41"/>
      <c r="F1" s="41"/>
      <c r="G1" s="41"/>
      <c r="H1" s="1"/>
      <c r="I1" s="42"/>
      <c r="J1" s="42"/>
      <c r="K1" s="42"/>
      <c r="L1" s="42"/>
      <c r="M1" s="1"/>
      <c r="N1" s="42"/>
      <c r="O1" s="42"/>
      <c r="P1" s="42"/>
      <c r="Q1" s="42"/>
      <c r="R1" s="42"/>
      <c r="S1" s="2"/>
      <c r="T1" s="43"/>
      <c r="U1" s="43"/>
      <c r="V1" s="43"/>
      <c r="W1" s="43"/>
      <c r="X1" s="43"/>
      <c r="Y1" s="43"/>
      <c r="AF1" s="58" t="s">
        <v>69</v>
      </c>
      <c r="AG1" s="58"/>
      <c r="AH1" s="58"/>
      <c r="AI1" s="58"/>
      <c r="AJ1" s="58"/>
      <c r="AK1" s="58"/>
      <c r="AL1" s="58"/>
      <c r="AM1" s="58"/>
      <c r="AN1" s="44"/>
    </row>
    <row r="2" spans="1:40" ht="15.75" customHeight="1" x14ac:dyDescent="0.25">
      <c r="A2" s="49" t="s">
        <v>85</v>
      </c>
      <c r="B2" s="50"/>
      <c r="C2" s="50"/>
      <c r="D2" s="50"/>
      <c r="E2" s="50"/>
      <c r="F2" s="50"/>
      <c r="G2" s="50"/>
      <c r="H2" s="1"/>
      <c r="I2" s="51" t="s">
        <v>0</v>
      </c>
      <c r="J2" s="50"/>
      <c r="K2" s="50"/>
      <c r="L2" s="50"/>
      <c r="M2" s="1"/>
      <c r="N2" s="51" t="s">
        <v>1</v>
      </c>
      <c r="O2" s="50"/>
      <c r="P2" s="50"/>
      <c r="Q2" s="50"/>
      <c r="R2" s="50"/>
      <c r="S2" s="2"/>
      <c r="T2" s="52" t="s">
        <v>2</v>
      </c>
      <c r="U2" s="50"/>
      <c r="V2" s="50"/>
      <c r="W2" s="50"/>
      <c r="X2" s="50"/>
      <c r="Y2" s="50"/>
      <c r="AF2" s="58"/>
      <c r="AG2" s="58"/>
      <c r="AH2" s="58"/>
      <c r="AI2" s="58"/>
      <c r="AJ2" s="58"/>
      <c r="AK2" s="58"/>
      <c r="AL2" s="58"/>
      <c r="AM2" s="58"/>
      <c r="AN2" s="44"/>
    </row>
    <row r="3" spans="1:40" ht="25.5" customHeight="1" x14ac:dyDescent="0.2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  <c r="H3" s="2"/>
      <c r="I3" s="4" t="s">
        <v>10</v>
      </c>
      <c r="J3" s="4" t="s">
        <v>11</v>
      </c>
      <c r="K3" s="4" t="s">
        <v>12</v>
      </c>
      <c r="L3" s="4" t="s">
        <v>13</v>
      </c>
      <c r="M3" s="2"/>
      <c r="N3" s="4" t="s">
        <v>10</v>
      </c>
      <c r="O3" s="4" t="s">
        <v>11</v>
      </c>
      <c r="P3" s="4" t="s">
        <v>12</v>
      </c>
      <c r="Q3" s="4" t="s">
        <v>13</v>
      </c>
      <c r="R3" s="4" t="s">
        <v>14</v>
      </c>
      <c r="S3" s="2"/>
      <c r="T3" s="4" t="s">
        <v>10</v>
      </c>
      <c r="U3" s="4" t="s">
        <v>11</v>
      </c>
      <c r="V3" s="4" t="s">
        <v>84</v>
      </c>
      <c r="W3" s="4" t="s">
        <v>12</v>
      </c>
      <c r="X3" s="4" t="s">
        <v>13</v>
      </c>
      <c r="Y3" s="4" t="s">
        <v>14</v>
      </c>
      <c r="AF3" s="57" t="s">
        <v>785</v>
      </c>
      <c r="AG3" s="57"/>
      <c r="AH3" s="57"/>
      <c r="AI3" s="57"/>
      <c r="AJ3" s="57"/>
      <c r="AK3" s="57"/>
      <c r="AL3" s="57"/>
      <c r="AM3" s="57"/>
      <c r="AN3" s="57"/>
    </row>
    <row r="4" spans="1:40" ht="51" customHeight="1" x14ac:dyDescent="0.2">
      <c r="A4" s="5" t="s">
        <v>86</v>
      </c>
      <c r="B4" s="5" t="s">
        <v>87</v>
      </c>
      <c r="C4" s="5" t="s">
        <v>16</v>
      </c>
      <c r="D4" s="5" t="s">
        <v>22</v>
      </c>
      <c r="E4" s="5" t="s">
        <v>88</v>
      </c>
      <c r="F4" s="5" t="s">
        <v>25</v>
      </c>
      <c r="G4" s="5" t="s">
        <v>89</v>
      </c>
      <c r="H4" s="5"/>
      <c r="I4" s="6">
        <v>0</v>
      </c>
      <c r="J4" s="6">
        <v>0</v>
      </c>
      <c r="K4" s="6">
        <v>0</v>
      </c>
      <c r="L4" s="6">
        <v>0</v>
      </c>
      <c r="M4" s="5"/>
      <c r="N4" s="6">
        <v>0</v>
      </c>
      <c r="O4" s="6">
        <v>0</v>
      </c>
      <c r="P4" s="6">
        <v>0</v>
      </c>
      <c r="Q4" s="6">
        <v>0</v>
      </c>
      <c r="R4" s="6">
        <v>0</v>
      </c>
      <c r="S4" s="5"/>
      <c r="T4" s="7">
        <v>0</v>
      </c>
      <c r="U4" s="7">
        <v>1054.9100000000001</v>
      </c>
      <c r="V4" s="7">
        <v>92.9</v>
      </c>
      <c r="W4" s="7">
        <v>1147.81</v>
      </c>
      <c r="X4" s="7">
        <v>92.9</v>
      </c>
      <c r="Y4" s="7">
        <v>1147.81</v>
      </c>
      <c r="AF4" s="57"/>
      <c r="AG4" s="57"/>
      <c r="AH4" s="57"/>
      <c r="AI4" s="57"/>
      <c r="AJ4" s="57"/>
      <c r="AK4" s="57"/>
      <c r="AL4" s="57"/>
      <c r="AM4" s="57"/>
      <c r="AN4" s="57"/>
    </row>
    <row r="5" spans="1:40" ht="51" x14ac:dyDescent="0.35">
      <c r="A5" s="5" t="s">
        <v>90</v>
      </c>
      <c r="B5" s="5" t="s">
        <v>91</v>
      </c>
      <c r="C5" s="5" t="s">
        <v>16</v>
      </c>
      <c r="D5" s="5" t="s">
        <v>92</v>
      </c>
      <c r="E5" s="5" t="s">
        <v>88</v>
      </c>
      <c r="F5" s="5" t="s">
        <v>25</v>
      </c>
      <c r="G5" s="5" t="s">
        <v>89</v>
      </c>
      <c r="H5" s="5"/>
      <c r="I5" s="6">
        <v>0</v>
      </c>
      <c r="J5" s="6">
        <v>44743</v>
      </c>
      <c r="K5" s="6">
        <v>5894</v>
      </c>
      <c r="L5" s="6">
        <v>-38849</v>
      </c>
      <c r="M5" s="5"/>
      <c r="N5" s="6">
        <v>0</v>
      </c>
      <c r="O5" s="6">
        <v>0</v>
      </c>
      <c r="P5" s="6">
        <v>0</v>
      </c>
      <c r="Q5" s="6">
        <v>0</v>
      </c>
      <c r="R5" s="6">
        <v>0</v>
      </c>
      <c r="S5" s="5"/>
      <c r="T5" s="7">
        <v>873553.46</v>
      </c>
      <c r="U5" s="7">
        <v>1066041.52</v>
      </c>
      <c r="V5" s="7">
        <v>1687.48</v>
      </c>
      <c r="W5" s="7">
        <v>1067593.04</v>
      </c>
      <c r="X5" s="7">
        <v>1551.52</v>
      </c>
      <c r="Y5" s="7">
        <v>194039.58</v>
      </c>
      <c r="AF5" s="45" t="s">
        <v>786</v>
      </c>
      <c r="AG5" s="44"/>
      <c r="AH5" s="44"/>
      <c r="AI5" s="44"/>
      <c r="AJ5" s="44"/>
      <c r="AK5" s="44"/>
      <c r="AL5" s="44"/>
      <c r="AM5" s="44"/>
      <c r="AN5" s="44"/>
    </row>
    <row r="6" spans="1:40" ht="51" x14ac:dyDescent="0.2">
      <c r="A6" s="5" t="s">
        <v>93</v>
      </c>
      <c r="B6" s="5" t="s">
        <v>94</v>
      </c>
      <c r="C6" s="5" t="s">
        <v>16</v>
      </c>
      <c r="D6" s="5" t="s">
        <v>95</v>
      </c>
      <c r="E6" s="5" t="s">
        <v>88</v>
      </c>
      <c r="F6" s="5" t="s">
        <v>25</v>
      </c>
      <c r="G6" s="5" t="s">
        <v>89</v>
      </c>
      <c r="H6" s="5"/>
      <c r="I6" s="6">
        <v>0</v>
      </c>
      <c r="J6" s="6">
        <v>8298</v>
      </c>
      <c r="K6" s="6">
        <v>2938</v>
      </c>
      <c r="L6" s="6">
        <v>-5360</v>
      </c>
      <c r="M6" s="5"/>
      <c r="N6" s="6">
        <v>0</v>
      </c>
      <c r="O6" s="6">
        <v>0</v>
      </c>
      <c r="P6" s="6">
        <v>0</v>
      </c>
      <c r="Q6" s="6">
        <v>0</v>
      </c>
      <c r="R6" s="6">
        <v>0</v>
      </c>
      <c r="S6" s="5"/>
      <c r="T6" s="7">
        <v>32783.61</v>
      </c>
      <c r="U6" s="7">
        <v>29977.09</v>
      </c>
      <c r="V6" s="7">
        <v>0</v>
      </c>
      <c r="W6" s="7">
        <v>29977.09</v>
      </c>
      <c r="X6" s="7">
        <v>0</v>
      </c>
      <c r="Y6" s="7">
        <v>-2806.52</v>
      </c>
      <c r="AF6" s="44"/>
      <c r="AG6" s="44"/>
      <c r="AH6" s="44"/>
      <c r="AI6" s="44"/>
      <c r="AJ6" s="44"/>
      <c r="AK6" s="44"/>
      <c r="AL6" s="44"/>
      <c r="AM6" s="44"/>
      <c r="AN6" s="44"/>
    </row>
    <row r="7" spans="1:40" ht="51" x14ac:dyDescent="0.2">
      <c r="A7" s="5" t="s">
        <v>96</v>
      </c>
      <c r="B7" s="5" t="s">
        <v>97</v>
      </c>
      <c r="C7" s="5" t="s">
        <v>16</v>
      </c>
      <c r="D7" s="5" t="s">
        <v>95</v>
      </c>
      <c r="E7" s="5" t="s">
        <v>88</v>
      </c>
      <c r="F7" s="5" t="s">
        <v>25</v>
      </c>
      <c r="G7" s="5" t="s">
        <v>89</v>
      </c>
      <c r="H7" s="5"/>
      <c r="I7" s="6">
        <v>0</v>
      </c>
      <c r="J7" s="6">
        <v>8545</v>
      </c>
      <c r="K7" s="6">
        <v>10</v>
      </c>
      <c r="L7" s="6">
        <v>-8535</v>
      </c>
      <c r="M7" s="5"/>
      <c r="N7" s="6">
        <v>0</v>
      </c>
      <c r="O7" s="6">
        <v>0</v>
      </c>
      <c r="P7" s="6">
        <v>0</v>
      </c>
      <c r="Q7" s="6">
        <v>0</v>
      </c>
      <c r="R7" s="6">
        <v>0</v>
      </c>
      <c r="S7" s="5"/>
      <c r="T7" s="7">
        <v>30913.439999999999</v>
      </c>
      <c r="U7" s="7">
        <v>110145.66</v>
      </c>
      <c r="V7" s="7">
        <v>0</v>
      </c>
      <c r="W7" s="7">
        <v>110145.66</v>
      </c>
      <c r="X7" s="7">
        <v>0</v>
      </c>
      <c r="Y7" s="7">
        <v>79232.22</v>
      </c>
      <c r="AF7" s="44"/>
      <c r="AG7" s="44"/>
      <c r="AH7" s="44"/>
      <c r="AI7" s="44"/>
      <c r="AJ7" s="44"/>
      <c r="AK7" s="44"/>
      <c r="AL7" s="44"/>
      <c r="AM7" s="44"/>
      <c r="AN7" s="44"/>
    </row>
    <row r="8" spans="1:40" ht="51" x14ac:dyDescent="0.4">
      <c r="A8" s="5" t="s">
        <v>98</v>
      </c>
      <c r="B8" s="5" t="s">
        <v>99</v>
      </c>
      <c r="C8" s="5" t="s">
        <v>16</v>
      </c>
      <c r="D8" s="5" t="s">
        <v>95</v>
      </c>
      <c r="E8" s="5" t="s">
        <v>88</v>
      </c>
      <c r="F8" s="5" t="s">
        <v>25</v>
      </c>
      <c r="G8" s="5" t="s">
        <v>89</v>
      </c>
      <c r="H8" s="5"/>
      <c r="I8" s="6">
        <v>0</v>
      </c>
      <c r="J8" s="6">
        <v>157</v>
      </c>
      <c r="K8" s="6">
        <v>0</v>
      </c>
      <c r="L8" s="6">
        <v>-157</v>
      </c>
      <c r="M8" s="5"/>
      <c r="N8" s="6">
        <v>0</v>
      </c>
      <c r="O8" s="6">
        <v>0</v>
      </c>
      <c r="P8" s="6">
        <v>0</v>
      </c>
      <c r="Q8" s="6">
        <v>0</v>
      </c>
      <c r="R8" s="6">
        <v>0</v>
      </c>
      <c r="S8" s="5"/>
      <c r="T8" s="7">
        <v>7500</v>
      </c>
      <c r="U8" s="7">
        <v>9930.81</v>
      </c>
      <c r="V8" s="7">
        <v>0</v>
      </c>
      <c r="W8" s="7">
        <v>9930.81</v>
      </c>
      <c r="X8" s="7">
        <v>0</v>
      </c>
      <c r="Y8" s="7">
        <v>2430.81</v>
      </c>
      <c r="AF8" s="59" t="s">
        <v>787</v>
      </c>
      <c r="AG8" s="59"/>
      <c r="AH8" s="59"/>
      <c r="AI8" s="59"/>
      <c r="AJ8" s="59"/>
      <c r="AK8" s="59"/>
      <c r="AL8" s="59"/>
      <c r="AM8" s="59"/>
      <c r="AN8" s="59"/>
    </row>
    <row r="9" spans="1:40" ht="51" x14ac:dyDescent="0.2">
      <c r="A9" s="5" t="s">
        <v>100</v>
      </c>
      <c r="B9" s="5" t="s">
        <v>101</v>
      </c>
      <c r="C9" s="5" t="s">
        <v>16</v>
      </c>
      <c r="D9" s="5" t="s">
        <v>95</v>
      </c>
      <c r="E9" s="5" t="s">
        <v>88</v>
      </c>
      <c r="F9" s="5" t="s">
        <v>25</v>
      </c>
      <c r="G9" s="5" t="s">
        <v>89</v>
      </c>
      <c r="H9" s="5"/>
      <c r="I9" s="6">
        <v>0</v>
      </c>
      <c r="J9" s="6">
        <v>60720</v>
      </c>
      <c r="K9" s="6">
        <v>2712</v>
      </c>
      <c r="L9" s="6">
        <v>-58008</v>
      </c>
      <c r="M9" s="5"/>
      <c r="N9" s="6">
        <v>0</v>
      </c>
      <c r="O9" s="6">
        <v>0</v>
      </c>
      <c r="P9" s="6">
        <v>0</v>
      </c>
      <c r="Q9" s="6">
        <v>0</v>
      </c>
      <c r="R9" s="6">
        <v>0</v>
      </c>
      <c r="S9" s="5"/>
      <c r="T9" s="7">
        <v>264654.65999999997</v>
      </c>
      <c r="U9" s="7">
        <v>400459.85</v>
      </c>
      <c r="V9" s="7">
        <v>863.47</v>
      </c>
      <c r="W9" s="7">
        <v>401322.39</v>
      </c>
      <c r="X9" s="7">
        <v>862.54</v>
      </c>
      <c r="Y9" s="7">
        <v>136667.73000000001</v>
      </c>
    </row>
    <row r="10" spans="1:40" ht="51" x14ac:dyDescent="0.2">
      <c r="A10" s="5" t="s">
        <v>102</v>
      </c>
      <c r="B10" s="5" t="s">
        <v>103</v>
      </c>
      <c r="C10" s="5" t="s">
        <v>16</v>
      </c>
      <c r="D10" s="5" t="s">
        <v>104</v>
      </c>
      <c r="E10" s="5" t="s">
        <v>88</v>
      </c>
      <c r="F10" s="5" t="s">
        <v>25</v>
      </c>
      <c r="G10" s="5" t="s">
        <v>89</v>
      </c>
      <c r="H10" s="5"/>
      <c r="I10" s="6">
        <v>0</v>
      </c>
      <c r="J10" s="6">
        <v>710</v>
      </c>
      <c r="K10" s="6">
        <v>0</v>
      </c>
      <c r="L10" s="6">
        <v>-710</v>
      </c>
      <c r="M10" s="5"/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5"/>
      <c r="T10" s="7">
        <v>81830.399999999994</v>
      </c>
      <c r="U10" s="7">
        <v>84865.61</v>
      </c>
      <c r="V10" s="7">
        <v>0</v>
      </c>
      <c r="W10" s="7">
        <v>84865.61</v>
      </c>
      <c r="X10" s="7">
        <v>0</v>
      </c>
      <c r="Y10" s="7">
        <v>3035.21</v>
      </c>
    </row>
    <row r="11" spans="1:40" ht="51" x14ac:dyDescent="0.2">
      <c r="A11" s="5" t="s">
        <v>105</v>
      </c>
      <c r="B11" s="5" t="s">
        <v>106</v>
      </c>
      <c r="C11" s="5" t="s">
        <v>16</v>
      </c>
      <c r="D11" s="5" t="s">
        <v>107</v>
      </c>
      <c r="E11" s="5" t="s">
        <v>88</v>
      </c>
      <c r="F11" s="5" t="s">
        <v>18</v>
      </c>
      <c r="G11" s="5" t="s">
        <v>89</v>
      </c>
      <c r="H11" s="5"/>
      <c r="I11" s="6">
        <v>0</v>
      </c>
      <c r="J11" s="6">
        <v>0</v>
      </c>
      <c r="K11" s="6">
        <v>0</v>
      </c>
      <c r="L11" s="6">
        <v>0</v>
      </c>
      <c r="M11" s="5"/>
      <c r="N11" s="6">
        <v>0</v>
      </c>
      <c r="O11" s="6">
        <v>8</v>
      </c>
      <c r="P11" s="6">
        <v>8</v>
      </c>
      <c r="Q11" s="6">
        <v>0</v>
      </c>
      <c r="R11" s="6">
        <v>8</v>
      </c>
      <c r="S11" s="5"/>
      <c r="T11" s="7">
        <v>0</v>
      </c>
      <c r="U11" s="7">
        <v>544.82000000000005</v>
      </c>
      <c r="V11" s="7">
        <v>0</v>
      </c>
      <c r="W11" s="7">
        <v>544.82000000000005</v>
      </c>
      <c r="X11" s="7">
        <v>0</v>
      </c>
      <c r="Y11" s="7">
        <v>544.82000000000005</v>
      </c>
    </row>
    <row r="12" spans="1:40" ht="51" x14ac:dyDescent="0.2">
      <c r="A12" s="5" t="s">
        <v>105</v>
      </c>
      <c r="B12" s="5" t="s">
        <v>106</v>
      </c>
      <c r="C12" s="5" t="s">
        <v>16</v>
      </c>
      <c r="D12" s="5" t="s">
        <v>107</v>
      </c>
      <c r="E12" s="5" t="s">
        <v>88</v>
      </c>
      <c r="F12" s="5" t="s">
        <v>25</v>
      </c>
      <c r="G12" s="5" t="s">
        <v>89</v>
      </c>
      <c r="H12" s="5"/>
      <c r="I12" s="6">
        <v>0</v>
      </c>
      <c r="J12" s="6">
        <v>119755</v>
      </c>
      <c r="K12" s="6">
        <v>1527</v>
      </c>
      <c r="L12" s="6">
        <v>-118228</v>
      </c>
      <c r="M12" s="5"/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5"/>
      <c r="T12" s="7">
        <v>101243.27</v>
      </c>
      <c r="U12" s="7">
        <v>407431.75</v>
      </c>
      <c r="V12" s="7">
        <v>243.65</v>
      </c>
      <c r="W12" s="7">
        <v>407142.72</v>
      </c>
      <c r="X12" s="7">
        <v>-289.02999999999997</v>
      </c>
      <c r="Y12" s="7">
        <v>305899.45</v>
      </c>
    </row>
    <row r="13" spans="1:40" ht="51" x14ac:dyDescent="0.2">
      <c r="A13" s="5" t="s">
        <v>108</v>
      </c>
      <c r="B13" s="5" t="s">
        <v>109</v>
      </c>
      <c r="C13" s="5" t="s">
        <v>16</v>
      </c>
      <c r="D13" s="5" t="s">
        <v>104</v>
      </c>
      <c r="E13" s="5" t="s">
        <v>88</v>
      </c>
      <c r="F13" s="5" t="s">
        <v>25</v>
      </c>
      <c r="G13" s="5" t="s">
        <v>89</v>
      </c>
      <c r="H13" s="5"/>
      <c r="I13" s="6">
        <v>0</v>
      </c>
      <c r="J13" s="6">
        <v>6438</v>
      </c>
      <c r="K13" s="6">
        <v>35</v>
      </c>
      <c r="L13" s="6">
        <v>-6403</v>
      </c>
      <c r="M13" s="5"/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5"/>
      <c r="T13" s="7">
        <v>338425.99</v>
      </c>
      <c r="U13" s="7">
        <v>490349.72</v>
      </c>
      <c r="V13" s="7">
        <v>86534.6</v>
      </c>
      <c r="W13" s="7">
        <v>602270.56000000006</v>
      </c>
      <c r="X13" s="7">
        <v>111920.84</v>
      </c>
      <c r="Y13" s="7">
        <v>263844.57</v>
      </c>
    </row>
    <row r="14" spans="1:40" ht="51" x14ac:dyDescent="0.2">
      <c r="A14" s="5" t="s">
        <v>110</v>
      </c>
      <c r="B14" s="5" t="s">
        <v>111</v>
      </c>
      <c r="C14" s="5" t="s">
        <v>16</v>
      </c>
      <c r="D14" s="5" t="s">
        <v>112</v>
      </c>
      <c r="E14" s="5" t="s">
        <v>88</v>
      </c>
      <c r="F14" s="5" t="s">
        <v>25</v>
      </c>
      <c r="G14" s="5" t="s">
        <v>89</v>
      </c>
      <c r="H14" s="5"/>
      <c r="I14" s="6">
        <v>0</v>
      </c>
      <c r="J14" s="6">
        <v>479</v>
      </c>
      <c r="K14" s="6">
        <v>0</v>
      </c>
      <c r="L14" s="6">
        <v>-479</v>
      </c>
      <c r="M14" s="5"/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5"/>
      <c r="T14" s="7">
        <v>182942.38</v>
      </c>
      <c r="U14" s="7">
        <v>105000.1</v>
      </c>
      <c r="V14" s="7">
        <v>929.95</v>
      </c>
      <c r="W14" s="7">
        <v>105930.05</v>
      </c>
      <c r="X14" s="7">
        <v>929.95</v>
      </c>
      <c r="Y14" s="7">
        <v>-77012.33</v>
      </c>
    </row>
    <row r="15" spans="1:40" ht="51" x14ac:dyDescent="0.2">
      <c r="A15" s="5" t="s">
        <v>113</v>
      </c>
      <c r="B15" s="5" t="s">
        <v>114</v>
      </c>
      <c r="C15" s="5" t="s">
        <v>16</v>
      </c>
      <c r="D15" s="5" t="s">
        <v>104</v>
      </c>
      <c r="E15" s="5" t="s">
        <v>88</v>
      </c>
      <c r="F15" s="5" t="s">
        <v>25</v>
      </c>
      <c r="G15" s="5" t="s">
        <v>89</v>
      </c>
      <c r="H15" s="5"/>
      <c r="I15" s="6">
        <v>0</v>
      </c>
      <c r="J15" s="6">
        <v>1377</v>
      </c>
      <c r="K15" s="6">
        <v>122</v>
      </c>
      <c r="L15" s="6">
        <v>-1255</v>
      </c>
      <c r="M15" s="5"/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5"/>
      <c r="T15" s="7">
        <v>563552.32999999996</v>
      </c>
      <c r="U15" s="7">
        <v>673888.96</v>
      </c>
      <c r="V15" s="7">
        <v>0</v>
      </c>
      <c r="W15" s="7">
        <v>673888.96</v>
      </c>
      <c r="X15" s="7">
        <v>0</v>
      </c>
      <c r="Y15" s="7">
        <v>110336.63</v>
      </c>
    </row>
    <row r="16" spans="1:40" ht="51" x14ac:dyDescent="0.2">
      <c r="A16" s="5" t="s">
        <v>115</v>
      </c>
      <c r="B16" s="5" t="s">
        <v>116</v>
      </c>
      <c r="C16" s="5" t="s">
        <v>16</v>
      </c>
      <c r="D16" s="5" t="s">
        <v>104</v>
      </c>
      <c r="E16" s="5" t="s">
        <v>88</v>
      </c>
      <c r="F16" s="5" t="s">
        <v>25</v>
      </c>
      <c r="G16" s="5" t="s">
        <v>89</v>
      </c>
      <c r="H16" s="5"/>
      <c r="I16" s="6">
        <v>0</v>
      </c>
      <c r="J16" s="6">
        <v>4077</v>
      </c>
      <c r="K16" s="6">
        <v>9</v>
      </c>
      <c r="L16" s="6">
        <v>-4068</v>
      </c>
      <c r="M16" s="5"/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5"/>
      <c r="T16" s="7">
        <v>20978.61</v>
      </c>
      <c r="U16" s="7">
        <v>32928.410000000003</v>
      </c>
      <c r="V16" s="7">
        <v>0</v>
      </c>
      <c r="W16" s="7">
        <v>32928.410000000003</v>
      </c>
      <c r="X16" s="7">
        <v>0</v>
      </c>
      <c r="Y16" s="7">
        <v>11949.8</v>
      </c>
    </row>
    <row r="17" spans="1:25" ht="51" x14ac:dyDescent="0.2">
      <c r="A17" s="5" t="s">
        <v>117</v>
      </c>
      <c r="B17" s="5" t="s">
        <v>118</v>
      </c>
      <c r="C17" s="5" t="s">
        <v>119</v>
      </c>
      <c r="D17" s="5" t="s">
        <v>32</v>
      </c>
      <c r="E17" s="5" t="s">
        <v>88</v>
      </c>
      <c r="F17" s="5" t="s">
        <v>18</v>
      </c>
      <c r="G17" s="5" t="s">
        <v>89</v>
      </c>
      <c r="H17" s="5"/>
      <c r="I17" s="6">
        <v>0</v>
      </c>
      <c r="J17" s="6">
        <v>0</v>
      </c>
      <c r="K17" s="6">
        <v>0</v>
      </c>
      <c r="L17" s="6">
        <v>0</v>
      </c>
      <c r="M17" s="5"/>
      <c r="N17" s="6">
        <v>10</v>
      </c>
      <c r="O17" s="6">
        <v>396</v>
      </c>
      <c r="P17" s="6">
        <v>396</v>
      </c>
      <c r="Q17" s="6">
        <v>0</v>
      </c>
      <c r="R17" s="6">
        <v>386</v>
      </c>
      <c r="S17" s="5"/>
      <c r="T17" s="7">
        <v>1000</v>
      </c>
      <c r="U17" s="7">
        <v>33141.86</v>
      </c>
      <c r="V17" s="7">
        <v>0</v>
      </c>
      <c r="W17" s="7">
        <v>33141.86</v>
      </c>
      <c r="X17" s="7">
        <v>0</v>
      </c>
      <c r="Y17" s="7">
        <v>32141.86</v>
      </c>
    </row>
    <row r="18" spans="1:25" ht="51" x14ac:dyDescent="0.2">
      <c r="A18" s="5" t="s">
        <v>117</v>
      </c>
      <c r="B18" s="5" t="s">
        <v>118</v>
      </c>
      <c r="C18" s="5" t="s">
        <v>119</v>
      </c>
      <c r="D18" s="5" t="s">
        <v>32</v>
      </c>
      <c r="E18" s="5" t="s">
        <v>88</v>
      </c>
      <c r="F18" s="5" t="s">
        <v>32</v>
      </c>
      <c r="G18" s="5" t="s">
        <v>89</v>
      </c>
      <c r="H18" s="5"/>
      <c r="I18" s="6">
        <v>0</v>
      </c>
      <c r="J18" s="6">
        <v>0</v>
      </c>
      <c r="K18" s="6">
        <v>0</v>
      </c>
      <c r="L18" s="6">
        <v>0</v>
      </c>
      <c r="M18" s="5"/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5"/>
      <c r="T18" s="7">
        <v>0</v>
      </c>
      <c r="U18" s="7">
        <v>21457.5</v>
      </c>
      <c r="V18" s="7">
        <v>9503</v>
      </c>
      <c r="W18" s="7">
        <v>30960.5</v>
      </c>
      <c r="X18" s="7">
        <v>9503</v>
      </c>
      <c r="Y18" s="7">
        <v>30960.5</v>
      </c>
    </row>
    <row r="19" spans="1:25" ht="63.75" x14ac:dyDescent="0.2">
      <c r="A19" s="5" t="s">
        <v>120</v>
      </c>
      <c r="B19" s="5" t="s">
        <v>121</v>
      </c>
      <c r="C19" s="5" t="s">
        <v>122</v>
      </c>
      <c r="D19" s="5" t="s">
        <v>32</v>
      </c>
      <c r="E19" s="5" t="s">
        <v>123</v>
      </c>
      <c r="F19" s="5" t="s">
        <v>18</v>
      </c>
      <c r="G19" s="5" t="s">
        <v>89</v>
      </c>
      <c r="H19" s="5"/>
      <c r="I19" s="6">
        <v>0</v>
      </c>
      <c r="J19" s="6">
        <v>0</v>
      </c>
      <c r="K19" s="6">
        <v>0</v>
      </c>
      <c r="L19" s="6">
        <v>0</v>
      </c>
      <c r="M19" s="5"/>
      <c r="N19" s="6">
        <v>0</v>
      </c>
      <c r="O19" s="6">
        <v>79</v>
      </c>
      <c r="P19" s="6">
        <v>79</v>
      </c>
      <c r="Q19" s="6">
        <v>0</v>
      </c>
      <c r="R19" s="6">
        <v>79</v>
      </c>
      <c r="S19" s="5"/>
      <c r="T19" s="7">
        <v>0</v>
      </c>
      <c r="U19" s="7">
        <v>6987.09</v>
      </c>
      <c r="V19" s="7">
        <v>0</v>
      </c>
      <c r="W19" s="7">
        <v>6987.09</v>
      </c>
      <c r="X19" s="7">
        <v>0</v>
      </c>
      <c r="Y19" s="7">
        <v>6987.09</v>
      </c>
    </row>
    <row r="20" spans="1:25" ht="51" x14ac:dyDescent="0.2">
      <c r="A20" s="5" t="s">
        <v>124</v>
      </c>
      <c r="B20" s="5" t="s">
        <v>37</v>
      </c>
      <c r="C20" s="5" t="s">
        <v>16</v>
      </c>
      <c r="D20" s="5" t="s">
        <v>125</v>
      </c>
      <c r="E20" s="5" t="s">
        <v>88</v>
      </c>
      <c r="F20" s="5" t="s">
        <v>25</v>
      </c>
      <c r="G20" s="5" t="s">
        <v>89</v>
      </c>
      <c r="H20" s="5"/>
      <c r="I20" s="6">
        <v>0</v>
      </c>
      <c r="J20" s="6">
        <v>0</v>
      </c>
      <c r="K20" s="6">
        <v>0</v>
      </c>
      <c r="L20" s="6">
        <v>0</v>
      </c>
      <c r="M20" s="5"/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5"/>
      <c r="T20" s="7">
        <v>0</v>
      </c>
      <c r="U20" s="7">
        <v>10230</v>
      </c>
      <c r="V20" s="7">
        <v>0</v>
      </c>
      <c r="W20" s="7">
        <v>10230</v>
      </c>
      <c r="X20" s="7">
        <v>0</v>
      </c>
      <c r="Y20" s="7">
        <v>10230</v>
      </c>
    </row>
    <row r="21" spans="1:25" ht="51" x14ac:dyDescent="0.2">
      <c r="A21" s="5" t="s">
        <v>124</v>
      </c>
      <c r="B21" s="5" t="s">
        <v>37</v>
      </c>
      <c r="C21" s="5" t="s">
        <v>16</v>
      </c>
      <c r="D21" s="5" t="s">
        <v>125</v>
      </c>
      <c r="E21" s="5" t="s">
        <v>88</v>
      </c>
      <c r="F21" s="5" t="s">
        <v>38</v>
      </c>
      <c r="G21" s="5" t="s">
        <v>89</v>
      </c>
      <c r="H21" s="5"/>
      <c r="I21" s="6">
        <v>0</v>
      </c>
      <c r="J21" s="6">
        <v>36</v>
      </c>
      <c r="K21" s="6">
        <v>32</v>
      </c>
      <c r="L21" s="6">
        <v>-4</v>
      </c>
      <c r="M21" s="5"/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5"/>
      <c r="T21" s="7">
        <v>153318</v>
      </c>
      <c r="U21" s="7">
        <v>707721.88</v>
      </c>
      <c r="V21" s="7">
        <v>0</v>
      </c>
      <c r="W21" s="7">
        <v>706315.93</v>
      </c>
      <c r="X21" s="7">
        <v>-1405.95</v>
      </c>
      <c r="Y21" s="7">
        <v>552997.93000000005</v>
      </c>
    </row>
    <row r="22" spans="1:25" ht="51" x14ac:dyDescent="0.2">
      <c r="A22" s="5" t="s">
        <v>124</v>
      </c>
      <c r="B22" s="5" t="s">
        <v>37</v>
      </c>
      <c r="C22" s="5" t="s">
        <v>16</v>
      </c>
      <c r="D22" s="5" t="s">
        <v>125</v>
      </c>
      <c r="E22" s="5" t="s">
        <v>88</v>
      </c>
      <c r="F22" s="5" t="s">
        <v>21</v>
      </c>
      <c r="G22" s="5" t="s">
        <v>89</v>
      </c>
      <c r="H22" s="5"/>
      <c r="I22" s="6">
        <v>0</v>
      </c>
      <c r="J22" s="6">
        <v>0</v>
      </c>
      <c r="K22" s="6">
        <v>0</v>
      </c>
      <c r="L22" s="6">
        <v>0</v>
      </c>
      <c r="M22" s="5"/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5"/>
      <c r="T22" s="7">
        <v>150</v>
      </c>
      <c r="U22" s="7">
        <v>0</v>
      </c>
      <c r="V22" s="7">
        <v>0</v>
      </c>
      <c r="W22" s="7">
        <v>0</v>
      </c>
      <c r="X22" s="7">
        <v>0</v>
      </c>
      <c r="Y22" s="7">
        <v>-150</v>
      </c>
    </row>
    <row r="23" spans="1:25" ht="51" x14ac:dyDescent="0.2">
      <c r="A23" s="5" t="s">
        <v>126</v>
      </c>
      <c r="B23" s="5" t="s">
        <v>32</v>
      </c>
      <c r="C23" s="5" t="s">
        <v>119</v>
      </c>
      <c r="D23" s="5" t="s">
        <v>32</v>
      </c>
      <c r="E23" s="5" t="s">
        <v>88</v>
      </c>
      <c r="F23" s="5" t="s">
        <v>32</v>
      </c>
      <c r="G23" s="5" t="s">
        <v>89</v>
      </c>
      <c r="H23" s="5"/>
      <c r="I23" s="6">
        <v>0</v>
      </c>
      <c r="J23" s="6">
        <v>0</v>
      </c>
      <c r="K23" s="6">
        <v>0</v>
      </c>
      <c r="L23" s="6">
        <v>0</v>
      </c>
      <c r="M23" s="5"/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5"/>
      <c r="T23" s="7">
        <v>6210</v>
      </c>
      <c r="U23" s="7">
        <v>12795</v>
      </c>
      <c r="V23" s="7">
        <v>0</v>
      </c>
      <c r="W23" s="7">
        <v>12795</v>
      </c>
      <c r="X23" s="7">
        <v>0</v>
      </c>
      <c r="Y23" s="7">
        <v>6585</v>
      </c>
    </row>
    <row r="24" spans="1:25" ht="51" x14ac:dyDescent="0.2">
      <c r="A24" s="5" t="s">
        <v>127</v>
      </c>
      <c r="B24" s="5" t="s">
        <v>34</v>
      </c>
      <c r="C24" s="5" t="s">
        <v>119</v>
      </c>
      <c r="D24" s="5" t="s">
        <v>32</v>
      </c>
      <c r="E24" s="5" t="s">
        <v>88</v>
      </c>
      <c r="F24" s="5" t="s">
        <v>32</v>
      </c>
      <c r="G24" s="5" t="s">
        <v>89</v>
      </c>
      <c r="H24" s="5"/>
      <c r="I24" s="6">
        <v>0</v>
      </c>
      <c r="J24" s="6">
        <v>0</v>
      </c>
      <c r="K24" s="6">
        <v>0</v>
      </c>
      <c r="L24" s="6">
        <v>0</v>
      </c>
      <c r="M24" s="5"/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5"/>
      <c r="T24" s="7">
        <v>45288</v>
      </c>
      <c r="U24" s="7">
        <v>35946.620000000003</v>
      </c>
      <c r="V24" s="7">
        <v>1427.58</v>
      </c>
      <c r="W24" s="7">
        <v>37614.199999999997</v>
      </c>
      <c r="X24" s="7">
        <v>1667.58</v>
      </c>
      <c r="Y24" s="7">
        <v>-7673.8</v>
      </c>
    </row>
    <row r="25" spans="1:25" ht="51" x14ac:dyDescent="0.2">
      <c r="A25" s="5" t="s">
        <v>128</v>
      </c>
      <c r="B25" s="5" t="s">
        <v>35</v>
      </c>
      <c r="C25" s="5" t="s">
        <v>119</v>
      </c>
      <c r="D25" s="5" t="s">
        <v>32</v>
      </c>
      <c r="E25" s="5" t="s">
        <v>88</v>
      </c>
      <c r="F25" s="5" t="s">
        <v>32</v>
      </c>
      <c r="G25" s="5" t="s">
        <v>89</v>
      </c>
      <c r="H25" s="5"/>
      <c r="I25" s="6">
        <v>0</v>
      </c>
      <c r="J25" s="6">
        <v>0</v>
      </c>
      <c r="K25" s="6">
        <v>0</v>
      </c>
      <c r="L25" s="6">
        <v>0</v>
      </c>
      <c r="M25" s="5"/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5"/>
      <c r="T25" s="7">
        <v>68124.45</v>
      </c>
      <c r="U25" s="7">
        <v>75076</v>
      </c>
      <c r="V25" s="7">
        <v>0</v>
      </c>
      <c r="W25" s="7">
        <v>75076</v>
      </c>
      <c r="X25" s="7">
        <v>0</v>
      </c>
      <c r="Y25" s="7">
        <v>6951.55</v>
      </c>
    </row>
    <row r="26" spans="1:25" ht="51" x14ac:dyDescent="0.2">
      <c r="A26" s="5" t="s">
        <v>129</v>
      </c>
      <c r="B26" s="5" t="s">
        <v>130</v>
      </c>
      <c r="C26" s="5" t="s">
        <v>119</v>
      </c>
      <c r="D26" s="5" t="s">
        <v>32</v>
      </c>
      <c r="E26" s="5" t="s">
        <v>88</v>
      </c>
      <c r="F26" s="5" t="s">
        <v>32</v>
      </c>
      <c r="G26" s="5" t="s">
        <v>89</v>
      </c>
      <c r="H26" s="5"/>
      <c r="I26" s="6">
        <v>0</v>
      </c>
      <c r="J26" s="6">
        <v>0</v>
      </c>
      <c r="K26" s="6">
        <v>0</v>
      </c>
      <c r="L26" s="6">
        <v>0</v>
      </c>
      <c r="M26" s="5"/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5"/>
      <c r="T26" s="7">
        <v>14925</v>
      </c>
      <c r="U26" s="7">
        <v>6649.63</v>
      </c>
      <c r="V26" s="7">
        <v>16869</v>
      </c>
      <c r="W26" s="7">
        <v>23518.63</v>
      </c>
      <c r="X26" s="7">
        <v>16869</v>
      </c>
      <c r="Y26" s="7">
        <v>8593.6299999999992</v>
      </c>
    </row>
    <row r="27" spans="1:25" ht="51" x14ac:dyDescent="0.2">
      <c r="A27" s="5" t="s">
        <v>131</v>
      </c>
      <c r="B27" s="5" t="s">
        <v>36</v>
      </c>
      <c r="C27" s="5" t="s">
        <v>119</v>
      </c>
      <c r="D27" s="5" t="s">
        <v>32</v>
      </c>
      <c r="E27" s="5" t="s">
        <v>88</v>
      </c>
      <c r="F27" s="5" t="s">
        <v>25</v>
      </c>
      <c r="G27" s="5" t="s">
        <v>89</v>
      </c>
      <c r="H27" s="5"/>
      <c r="I27" s="6">
        <v>0</v>
      </c>
      <c r="J27" s="6">
        <v>17</v>
      </c>
      <c r="K27" s="6">
        <v>0</v>
      </c>
      <c r="L27" s="6">
        <v>-17</v>
      </c>
      <c r="M27" s="5"/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5"/>
      <c r="T27" s="7">
        <v>2430</v>
      </c>
      <c r="U27" s="7">
        <v>95743.88</v>
      </c>
      <c r="V27" s="7">
        <v>1716.96</v>
      </c>
      <c r="W27" s="7">
        <v>97743.88</v>
      </c>
      <c r="X27" s="7">
        <v>2000</v>
      </c>
      <c r="Y27" s="7">
        <v>95313.88</v>
      </c>
    </row>
    <row r="28" spans="1:25" ht="51" x14ac:dyDescent="0.2">
      <c r="A28" s="5" t="s">
        <v>131</v>
      </c>
      <c r="B28" s="5" t="s">
        <v>36</v>
      </c>
      <c r="C28" s="5" t="s">
        <v>119</v>
      </c>
      <c r="D28" s="5" t="s">
        <v>32</v>
      </c>
      <c r="E28" s="5" t="s">
        <v>88</v>
      </c>
      <c r="F28" s="5" t="s">
        <v>32</v>
      </c>
      <c r="G28" s="5" t="s">
        <v>89</v>
      </c>
      <c r="H28" s="5"/>
      <c r="I28" s="6">
        <v>0</v>
      </c>
      <c r="J28" s="6">
        <v>0</v>
      </c>
      <c r="K28" s="6">
        <v>0</v>
      </c>
      <c r="L28" s="6">
        <v>0</v>
      </c>
      <c r="M28" s="5"/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5"/>
      <c r="T28" s="7">
        <v>185095</v>
      </c>
      <c r="U28" s="7">
        <v>50402.61</v>
      </c>
      <c r="V28" s="7">
        <v>0</v>
      </c>
      <c r="W28" s="7">
        <v>90002.61</v>
      </c>
      <c r="X28" s="7">
        <v>39600</v>
      </c>
      <c r="Y28" s="7">
        <v>-95092.39</v>
      </c>
    </row>
    <row r="29" spans="1:25" ht="51" x14ac:dyDescent="0.2">
      <c r="A29" s="5" t="s">
        <v>132</v>
      </c>
      <c r="B29" s="5" t="s">
        <v>41</v>
      </c>
      <c r="C29" s="5" t="s">
        <v>16</v>
      </c>
      <c r="D29" s="5" t="s">
        <v>22</v>
      </c>
      <c r="E29" s="5" t="s">
        <v>88</v>
      </c>
      <c r="F29" s="5" t="s">
        <v>25</v>
      </c>
      <c r="G29" s="5" t="s">
        <v>89</v>
      </c>
      <c r="H29" s="5"/>
      <c r="I29" s="6">
        <v>0</v>
      </c>
      <c r="J29" s="6">
        <v>7672</v>
      </c>
      <c r="K29" s="6">
        <v>1003</v>
      </c>
      <c r="L29" s="6">
        <v>-6669</v>
      </c>
      <c r="M29" s="5"/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5"/>
      <c r="T29" s="7">
        <v>63807.23</v>
      </c>
      <c r="U29" s="7">
        <v>93159.44</v>
      </c>
      <c r="V29" s="7">
        <v>28.21</v>
      </c>
      <c r="W29" s="7">
        <v>93187.65</v>
      </c>
      <c r="X29" s="7">
        <v>28.21</v>
      </c>
      <c r="Y29" s="7">
        <v>29380.42</v>
      </c>
    </row>
    <row r="30" spans="1:25" ht="51" x14ac:dyDescent="0.2">
      <c r="A30" s="5" t="s">
        <v>133</v>
      </c>
      <c r="B30" s="5" t="s">
        <v>44</v>
      </c>
      <c r="C30" s="5" t="s">
        <v>16</v>
      </c>
      <c r="D30" s="5" t="s">
        <v>104</v>
      </c>
      <c r="E30" s="5" t="s">
        <v>88</v>
      </c>
      <c r="F30" s="5" t="s">
        <v>25</v>
      </c>
      <c r="G30" s="5" t="s">
        <v>89</v>
      </c>
      <c r="H30" s="5"/>
      <c r="I30" s="6">
        <v>0</v>
      </c>
      <c r="J30" s="6">
        <v>4</v>
      </c>
      <c r="K30" s="6">
        <v>0</v>
      </c>
      <c r="L30" s="6">
        <v>-4</v>
      </c>
      <c r="M30" s="5"/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5"/>
      <c r="T30" s="7">
        <v>12744.95</v>
      </c>
      <c r="U30" s="7">
        <v>5433.59</v>
      </c>
      <c r="V30" s="7">
        <v>0</v>
      </c>
      <c r="W30" s="7">
        <v>5433.59</v>
      </c>
      <c r="X30" s="7">
        <v>0</v>
      </c>
      <c r="Y30" s="7">
        <v>-7311.36</v>
      </c>
    </row>
    <row r="31" spans="1:25" ht="51" x14ac:dyDescent="0.2">
      <c r="A31" s="5" t="s">
        <v>134</v>
      </c>
      <c r="B31" s="5" t="s">
        <v>135</v>
      </c>
      <c r="C31" s="5" t="s">
        <v>16</v>
      </c>
      <c r="D31" s="5" t="s">
        <v>22</v>
      </c>
      <c r="E31" s="5" t="s">
        <v>88</v>
      </c>
      <c r="F31" s="5" t="s">
        <v>21</v>
      </c>
      <c r="G31" s="5" t="s">
        <v>89</v>
      </c>
      <c r="H31" s="5"/>
      <c r="I31" s="6">
        <v>0</v>
      </c>
      <c r="J31" s="6">
        <v>531</v>
      </c>
      <c r="K31" s="6">
        <v>207</v>
      </c>
      <c r="L31" s="6">
        <v>-324</v>
      </c>
      <c r="M31" s="5"/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5"/>
      <c r="T31" s="7">
        <v>62134.35</v>
      </c>
      <c r="U31" s="7">
        <v>59438.76</v>
      </c>
      <c r="V31" s="7">
        <v>0</v>
      </c>
      <c r="W31" s="7">
        <v>59438.76</v>
      </c>
      <c r="X31" s="7">
        <v>0</v>
      </c>
      <c r="Y31" s="7">
        <v>-2695.59</v>
      </c>
    </row>
    <row r="32" spans="1:25" ht="51" x14ac:dyDescent="0.2">
      <c r="A32" s="5" t="s">
        <v>136</v>
      </c>
      <c r="B32" s="5" t="s">
        <v>77</v>
      </c>
      <c r="C32" s="5" t="s">
        <v>16</v>
      </c>
      <c r="D32" s="5" t="s">
        <v>22</v>
      </c>
      <c r="E32" s="5" t="s">
        <v>88</v>
      </c>
      <c r="F32" s="5" t="s">
        <v>21</v>
      </c>
      <c r="G32" s="5" t="s">
        <v>89</v>
      </c>
      <c r="H32" s="5"/>
      <c r="I32" s="6">
        <v>0</v>
      </c>
      <c r="J32" s="6">
        <v>6</v>
      </c>
      <c r="K32" s="6">
        <v>6</v>
      </c>
      <c r="L32" s="6">
        <v>0</v>
      </c>
      <c r="M32" s="5"/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5"/>
      <c r="T32" s="7">
        <v>326.58999999999997</v>
      </c>
      <c r="U32" s="7">
        <v>124.22</v>
      </c>
      <c r="V32" s="7">
        <v>0</v>
      </c>
      <c r="W32" s="7">
        <v>124.22</v>
      </c>
      <c r="X32" s="7">
        <v>0</v>
      </c>
      <c r="Y32" s="7">
        <v>-202.37</v>
      </c>
    </row>
    <row r="33" spans="1:25" ht="51" x14ac:dyDescent="0.2">
      <c r="A33" s="5" t="s">
        <v>137</v>
      </c>
      <c r="B33" s="5" t="s">
        <v>138</v>
      </c>
      <c r="C33" s="5" t="s">
        <v>16</v>
      </c>
      <c r="D33" s="5" t="s">
        <v>31</v>
      </c>
      <c r="E33" s="5" t="s">
        <v>88</v>
      </c>
      <c r="F33" s="5" t="s">
        <v>18</v>
      </c>
      <c r="G33" s="5" t="s">
        <v>139</v>
      </c>
      <c r="H33" s="5"/>
      <c r="I33" s="6">
        <v>0</v>
      </c>
      <c r="J33" s="6">
        <v>0</v>
      </c>
      <c r="K33" s="6">
        <v>0</v>
      </c>
      <c r="L33" s="6">
        <v>0</v>
      </c>
      <c r="M33" s="5"/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5"/>
      <c r="T33" s="7">
        <v>750</v>
      </c>
      <c r="U33" s="7">
        <v>1170.8599999999999</v>
      </c>
      <c r="V33" s="7">
        <v>0</v>
      </c>
      <c r="W33" s="7">
        <v>1170.8599999999999</v>
      </c>
      <c r="X33" s="7">
        <v>0</v>
      </c>
      <c r="Y33" s="7">
        <v>420.86</v>
      </c>
    </row>
    <row r="34" spans="1:25" ht="51" x14ac:dyDescent="0.2">
      <c r="A34" s="5" t="s">
        <v>137</v>
      </c>
      <c r="B34" s="5" t="s">
        <v>138</v>
      </c>
      <c r="C34" s="5" t="s">
        <v>16</v>
      </c>
      <c r="D34" s="5" t="s">
        <v>31</v>
      </c>
      <c r="E34" s="5" t="s">
        <v>88</v>
      </c>
      <c r="F34" s="5" t="s">
        <v>25</v>
      </c>
      <c r="G34" s="5" t="s">
        <v>139</v>
      </c>
      <c r="H34" s="5"/>
      <c r="I34" s="6">
        <v>0</v>
      </c>
      <c r="J34" s="6">
        <v>1348</v>
      </c>
      <c r="K34" s="6">
        <v>0</v>
      </c>
      <c r="L34" s="6">
        <v>-1348</v>
      </c>
      <c r="M34" s="5"/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5"/>
      <c r="T34" s="7">
        <v>660013.65</v>
      </c>
      <c r="U34" s="7">
        <v>817796.32</v>
      </c>
      <c r="V34" s="7">
        <v>833.3</v>
      </c>
      <c r="W34" s="7">
        <v>817791.86</v>
      </c>
      <c r="X34" s="7">
        <v>-4.46</v>
      </c>
      <c r="Y34" s="7">
        <v>157778.21</v>
      </c>
    </row>
    <row r="35" spans="1:25" ht="63.75" x14ac:dyDescent="0.2">
      <c r="A35" s="5" t="s">
        <v>140</v>
      </c>
      <c r="B35" s="5" t="s">
        <v>141</v>
      </c>
      <c r="C35" s="5" t="s">
        <v>16</v>
      </c>
      <c r="D35" s="5" t="s">
        <v>31</v>
      </c>
      <c r="E35" s="5" t="s">
        <v>88</v>
      </c>
      <c r="F35" s="5" t="s">
        <v>25</v>
      </c>
      <c r="G35" s="5" t="s">
        <v>139</v>
      </c>
      <c r="H35" s="5"/>
      <c r="I35" s="6">
        <v>0</v>
      </c>
      <c r="J35" s="6">
        <v>3214</v>
      </c>
      <c r="K35" s="6">
        <v>0</v>
      </c>
      <c r="L35" s="6">
        <v>-3214</v>
      </c>
      <c r="M35" s="5"/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5"/>
      <c r="T35" s="7">
        <v>13688</v>
      </c>
      <c r="U35" s="7">
        <v>114115.42</v>
      </c>
      <c r="V35" s="7">
        <v>0</v>
      </c>
      <c r="W35" s="7">
        <v>114115.42</v>
      </c>
      <c r="X35" s="7">
        <v>0</v>
      </c>
      <c r="Y35" s="7">
        <v>100427.42</v>
      </c>
    </row>
    <row r="36" spans="1:25" ht="63.75" x14ac:dyDescent="0.2">
      <c r="A36" s="5" t="s">
        <v>142</v>
      </c>
      <c r="B36" s="5" t="s">
        <v>143</v>
      </c>
      <c r="C36" s="5" t="s">
        <v>16</v>
      </c>
      <c r="D36" s="5" t="s">
        <v>107</v>
      </c>
      <c r="E36" s="5" t="s">
        <v>88</v>
      </c>
      <c r="F36" s="5" t="s">
        <v>25</v>
      </c>
      <c r="G36" s="5" t="s">
        <v>139</v>
      </c>
      <c r="H36" s="5"/>
      <c r="I36" s="6">
        <v>0</v>
      </c>
      <c r="J36" s="6">
        <v>51766</v>
      </c>
      <c r="K36" s="6">
        <v>0</v>
      </c>
      <c r="L36" s="6">
        <v>-51766</v>
      </c>
      <c r="M36" s="5"/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5"/>
      <c r="T36" s="7">
        <v>44950</v>
      </c>
      <c r="U36" s="7">
        <v>172816.99</v>
      </c>
      <c r="V36" s="7">
        <v>0</v>
      </c>
      <c r="W36" s="7">
        <v>172816.99</v>
      </c>
      <c r="X36" s="7">
        <v>0</v>
      </c>
      <c r="Y36" s="7">
        <v>127866.99</v>
      </c>
    </row>
    <row r="37" spans="1:25" ht="51" x14ac:dyDescent="0.2">
      <c r="A37" s="5" t="s">
        <v>144</v>
      </c>
      <c r="B37" s="5" t="s">
        <v>145</v>
      </c>
      <c r="C37" s="5" t="s">
        <v>16</v>
      </c>
      <c r="D37" s="5" t="s">
        <v>104</v>
      </c>
      <c r="E37" s="5" t="s">
        <v>88</v>
      </c>
      <c r="F37" s="5" t="s">
        <v>25</v>
      </c>
      <c r="G37" s="5" t="s">
        <v>139</v>
      </c>
      <c r="H37" s="5"/>
      <c r="I37" s="6">
        <v>0</v>
      </c>
      <c r="J37" s="6">
        <v>0</v>
      </c>
      <c r="K37" s="6">
        <v>0</v>
      </c>
      <c r="L37" s="6">
        <v>0</v>
      </c>
      <c r="M37" s="5"/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5"/>
      <c r="T37" s="7">
        <v>1601</v>
      </c>
      <c r="U37" s="7">
        <v>0</v>
      </c>
      <c r="V37" s="7">
        <v>0</v>
      </c>
      <c r="W37" s="7">
        <v>0</v>
      </c>
      <c r="X37" s="7">
        <v>0</v>
      </c>
      <c r="Y37" s="7">
        <v>-1601</v>
      </c>
    </row>
    <row r="38" spans="1:25" ht="63.75" x14ac:dyDescent="0.2">
      <c r="A38" s="5" t="s">
        <v>146</v>
      </c>
      <c r="B38" s="5" t="s">
        <v>147</v>
      </c>
      <c r="C38" s="5" t="s">
        <v>16</v>
      </c>
      <c r="D38" s="5" t="s">
        <v>125</v>
      </c>
      <c r="E38" s="5" t="s">
        <v>88</v>
      </c>
      <c r="F38" s="5" t="s">
        <v>32</v>
      </c>
      <c r="G38" s="5" t="s">
        <v>139</v>
      </c>
      <c r="H38" s="5"/>
      <c r="I38" s="6">
        <v>0</v>
      </c>
      <c r="J38" s="6">
        <v>0</v>
      </c>
      <c r="K38" s="6">
        <v>0</v>
      </c>
      <c r="L38" s="6">
        <v>0</v>
      </c>
      <c r="M38" s="5"/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5"/>
      <c r="T38" s="7">
        <v>38000</v>
      </c>
      <c r="U38" s="7">
        <v>96914.01</v>
      </c>
      <c r="V38" s="7">
        <v>15431.7</v>
      </c>
      <c r="W38" s="7">
        <v>112345.71</v>
      </c>
      <c r="X38" s="7">
        <v>15431.7</v>
      </c>
      <c r="Y38" s="7">
        <v>74345.710000000006</v>
      </c>
    </row>
    <row r="39" spans="1:25" ht="63.75" x14ac:dyDescent="0.2">
      <c r="A39" s="5" t="s">
        <v>146</v>
      </c>
      <c r="B39" s="5" t="s">
        <v>147</v>
      </c>
      <c r="C39" s="5" t="s">
        <v>16</v>
      </c>
      <c r="D39" s="5" t="s">
        <v>125</v>
      </c>
      <c r="E39" s="5" t="s">
        <v>88</v>
      </c>
      <c r="F39" s="5" t="s">
        <v>38</v>
      </c>
      <c r="G39" s="5" t="s">
        <v>139</v>
      </c>
      <c r="H39" s="5"/>
      <c r="I39" s="6">
        <v>0</v>
      </c>
      <c r="J39" s="6">
        <v>0</v>
      </c>
      <c r="K39" s="6">
        <v>0</v>
      </c>
      <c r="L39" s="6">
        <v>0</v>
      </c>
      <c r="M39" s="5"/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5"/>
      <c r="T39" s="7">
        <v>5476</v>
      </c>
      <c r="U39" s="7">
        <v>0</v>
      </c>
      <c r="V39" s="7">
        <v>0</v>
      </c>
      <c r="W39" s="7">
        <v>0</v>
      </c>
      <c r="X39" s="7">
        <v>0</v>
      </c>
      <c r="Y39" s="7">
        <v>-5476</v>
      </c>
    </row>
    <row r="40" spans="1:25" ht="63.75" x14ac:dyDescent="0.2">
      <c r="A40" s="5" t="s">
        <v>146</v>
      </c>
      <c r="B40" s="5" t="s">
        <v>147</v>
      </c>
      <c r="C40" s="5" t="s">
        <v>16</v>
      </c>
      <c r="D40" s="5" t="s">
        <v>125</v>
      </c>
      <c r="E40" s="5" t="s">
        <v>88</v>
      </c>
      <c r="F40" s="5" t="s">
        <v>21</v>
      </c>
      <c r="G40" s="5" t="s">
        <v>139</v>
      </c>
      <c r="H40" s="5"/>
      <c r="I40" s="6">
        <v>0</v>
      </c>
      <c r="J40" s="6">
        <v>0</v>
      </c>
      <c r="K40" s="6">
        <v>0</v>
      </c>
      <c r="L40" s="6">
        <v>0</v>
      </c>
      <c r="M40" s="5"/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5"/>
      <c r="T40" s="7">
        <v>25000</v>
      </c>
      <c r="U40" s="7">
        <v>0</v>
      </c>
      <c r="V40" s="7">
        <v>0</v>
      </c>
      <c r="W40" s="7">
        <v>0</v>
      </c>
      <c r="X40" s="7">
        <v>0</v>
      </c>
      <c r="Y40" s="7">
        <v>-25000</v>
      </c>
    </row>
    <row r="41" spans="1:25" ht="76.5" x14ac:dyDescent="0.2">
      <c r="A41" s="5" t="s">
        <v>148</v>
      </c>
      <c r="B41" s="5" t="s">
        <v>149</v>
      </c>
      <c r="C41" s="5" t="s">
        <v>119</v>
      </c>
      <c r="D41" s="5" t="s">
        <v>32</v>
      </c>
      <c r="E41" s="5" t="s">
        <v>88</v>
      </c>
      <c r="F41" s="5" t="s">
        <v>32</v>
      </c>
      <c r="G41" s="5" t="s">
        <v>139</v>
      </c>
      <c r="H41" s="5"/>
      <c r="I41" s="6">
        <v>0</v>
      </c>
      <c r="J41" s="6">
        <v>0</v>
      </c>
      <c r="K41" s="6">
        <v>0</v>
      </c>
      <c r="L41" s="6">
        <v>0</v>
      </c>
      <c r="M41" s="5"/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5"/>
      <c r="T41" s="7">
        <v>142505</v>
      </c>
      <c r="U41" s="7">
        <v>66170</v>
      </c>
      <c r="V41" s="7">
        <v>76110</v>
      </c>
      <c r="W41" s="7">
        <v>142280</v>
      </c>
      <c r="X41" s="7">
        <v>76110</v>
      </c>
      <c r="Y41" s="7">
        <v>-225</v>
      </c>
    </row>
    <row r="42" spans="1:25" ht="51" x14ac:dyDescent="0.2">
      <c r="A42" s="5" t="s">
        <v>150</v>
      </c>
      <c r="B42" s="5" t="s">
        <v>151</v>
      </c>
      <c r="C42" s="5" t="s">
        <v>119</v>
      </c>
      <c r="D42" s="5" t="s">
        <v>32</v>
      </c>
      <c r="E42" s="5" t="s">
        <v>88</v>
      </c>
      <c r="F42" s="5" t="s">
        <v>32</v>
      </c>
      <c r="G42" s="5" t="s">
        <v>139</v>
      </c>
      <c r="H42" s="5"/>
      <c r="I42" s="6">
        <v>0</v>
      </c>
      <c r="J42" s="6">
        <v>0</v>
      </c>
      <c r="K42" s="6">
        <v>0</v>
      </c>
      <c r="L42" s="6">
        <v>0</v>
      </c>
      <c r="M42" s="5"/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5"/>
      <c r="T42" s="7">
        <v>140760</v>
      </c>
      <c r="U42" s="7">
        <v>48525</v>
      </c>
      <c r="V42" s="7">
        <v>0</v>
      </c>
      <c r="W42" s="7">
        <v>48525</v>
      </c>
      <c r="X42" s="7">
        <v>0</v>
      </c>
      <c r="Y42" s="7">
        <v>-92235</v>
      </c>
    </row>
    <row r="43" spans="1:25" ht="51" x14ac:dyDescent="0.2">
      <c r="A43" s="5" t="s">
        <v>152</v>
      </c>
      <c r="B43" s="5" t="s">
        <v>153</v>
      </c>
      <c r="C43" s="5" t="s">
        <v>119</v>
      </c>
      <c r="D43" s="5" t="s">
        <v>32</v>
      </c>
      <c r="E43" s="5" t="s">
        <v>88</v>
      </c>
      <c r="F43" s="5" t="s">
        <v>32</v>
      </c>
      <c r="G43" s="5" t="s">
        <v>139</v>
      </c>
      <c r="H43" s="5"/>
      <c r="I43" s="6">
        <v>0</v>
      </c>
      <c r="J43" s="6">
        <v>0</v>
      </c>
      <c r="K43" s="6">
        <v>0</v>
      </c>
      <c r="L43" s="6">
        <v>0</v>
      </c>
      <c r="M43" s="5"/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5"/>
      <c r="T43" s="7">
        <v>546928</v>
      </c>
      <c r="U43" s="7">
        <v>432134.31</v>
      </c>
      <c r="V43" s="7">
        <v>0</v>
      </c>
      <c r="W43" s="7">
        <v>432134.31</v>
      </c>
      <c r="X43" s="7">
        <v>0</v>
      </c>
      <c r="Y43" s="7">
        <v>-114793.69</v>
      </c>
    </row>
    <row r="44" spans="1:25" ht="63.75" x14ac:dyDescent="0.2">
      <c r="A44" s="5" t="s">
        <v>154</v>
      </c>
      <c r="B44" s="5" t="s">
        <v>155</v>
      </c>
      <c r="C44" s="5" t="s">
        <v>119</v>
      </c>
      <c r="D44" s="5" t="s">
        <v>32</v>
      </c>
      <c r="E44" s="5" t="s">
        <v>88</v>
      </c>
      <c r="F44" s="5" t="s">
        <v>32</v>
      </c>
      <c r="G44" s="5" t="s">
        <v>139</v>
      </c>
      <c r="H44" s="5"/>
      <c r="I44" s="6">
        <v>0</v>
      </c>
      <c r="J44" s="6">
        <v>0</v>
      </c>
      <c r="K44" s="6">
        <v>0</v>
      </c>
      <c r="L44" s="6">
        <v>0</v>
      </c>
      <c r="M44" s="5"/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5"/>
      <c r="T44" s="7">
        <v>6500</v>
      </c>
      <c r="U44" s="7">
        <v>2134.27</v>
      </c>
      <c r="V44" s="7">
        <v>0</v>
      </c>
      <c r="W44" s="7">
        <v>6500</v>
      </c>
      <c r="X44" s="7">
        <v>4365.7299999999996</v>
      </c>
      <c r="Y44" s="7">
        <v>0</v>
      </c>
    </row>
    <row r="45" spans="1:25" ht="63.75" x14ac:dyDescent="0.2">
      <c r="A45" s="5" t="s">
        <v>156</v>
      </c>
      <c r="B45" s="5" t="s">
        <v>157</v>
      </c>
      <c r="C45" s="5" t="s">
        <v>16</v>
      </c>
      <c r="D45" s="5" t="s">
        <v>32</v>
      </c>
      <c r="E45" s="5" t="s">
        <v>88</v>
      </c>
      <c r="F45" s="5" t="s">
        <v>25</v>
      </c>
      <c r="G45" s="5" t="s">
        <v>139</v>
      </c>
      <c r="H45" s="5"/>
      <c r="I45" s="6">
        <v>0</v>
      </c>
      <c r="J45" s="6">
        <v>9</v>
      </c>
      <c r="K45" s="6">
        <v>0</v>
      </c>
      <c r="L45" s="6">
        <v>-9</v>
      </c>
      <c r="M45" s="5"/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5"/>
      <c r="T45" s="7">
        <v>0</v>
      </c>
      <c r="U45" s="7">
        <v>371.33</v>
      </c>
      <c r="V45" s="7">
        <v>0</v>
      </c>
      <c r="W45" s="7">
        <v>371.33</v>
      </c>
      <c r="X45" s="7">
        <v>0</v>
      </c>
      <c r="Y45" s="7">
        <v>371.33</v>
      </c>
    </row>
    <row r="46" spans="1:25" ht="63.75" x14ac:dyDescent="0.2">
      <c r="A46" s="5" t="s">
        <v>156</v>
      </c>
      <c r="B46" s="5" t="s">
        <v>157</v>
      </c>
      <c r="C46" s="5" t="s">
        <v>16</v>
      </c>
      <c r="D46" s="5" t="s">
        <v>32</v>
      </c>
      <c r="E46" s="5" t="s">
        <v>88</v>
      </c>
      <c r="F46" s="5" t="s">
        <v>32</v>
      </c>
      <c r="G46" s="5" t="s">
        <v>139</v>
      </c>
      <c r="H46" s="5"/>
      <c r="I46" s="6">
        <v>0</v>
      </c>
      <c r="J46" s="6">
        <v>0</v>
      </c>
      <c r="K46" s="6">
        <v>0</v>
      </c>
      <c r="L46" s="6">
        <v>0</v>
      </c>
      <c r="M46" s="5"/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5"/>
      <c r="T46" s="7">
        <v>227681</v>
      </c>
      <c r="U46" s="7">
        <v>237714.07</v>
      </c>
      <c r="V46" s="7">
        <v>28066.38</v>
      </c>
      <c r="W46" s="7">
        <v>265780.45</v>
      </c>
      <c r="X46" s="7">
        <v>28066.38</v>
      </c>
      <c r="Y46" s="7">
        <v>38099.449999999997</v>
      </c>
    </row>
    <row r="47" spans="1:25" ht="51" x14ac:dyDescent="0.2">
      <c r="A47" s="5" t="s">
        <v>158</v>
      </c>
      <c r="B47" s="5" t="s">
        <v>159</v>
      </c>
      <c r="C47" s="5" t="s">
        <v>16</v>
      </c>
      <c r="D47" s="5" t="s">
        <v>22</v>
      </c>
      <c r="E47" s="5" t="s">
        <v>88</v>
      </c>
      <c r="F47" s="5" t="s">
        <v>25</v>
      </c>
      <c r="G47" s="5" t="s">
        <v>139</v>
      </c>
      <c r="H47" s="5"/>
      <c r="I47" s="6">
        <v>0</v>
      </c>
      <c r="J47" s="6">
        <v>4401</v>
      </c>
      <c r="K47" s="6">
        <v>0</v>
      </c>
      <c r="L47" s="6">
        <v>-4401</v>
      </c>
      <c r="M47" s="5"/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5"/>
      <c r="T47" s="7">
        <v>11140</v>
      </c>
      <c r="U47" s="7">
        <v>19257.439999999999</v>
      </c>
      <c r="V47" s="7">
        <v>0</v>
      </c>
      <c r="W47" s="7">
        <v>19757.439999999999</v>
      </c>
      <c r="X47" s="7">
        <v>500</v>
      </c>
      <c r="Y47" s="7">
        <v>8617.44</v>
      </c>
    </row>
    <row r="48" spans="1:25" ht="51" x14ac:dyDescent="0.2">
      <c r="A48" s="5" t="s">
        <v>160</v>
      </c>
      <c r="B48" s="5" t="s">
        <v>161</v>
      </c>
      <c r="C48" s="5" t="s">
        <v>16</v>
      </c>
      <c r="D48" s="5" t="s">
        <v>22</v>
      </c>
      <c r="E48" s="5" t="s">
        <v>88</v>
      </c>
      <c r="F48" s="5" t="s">
        <v>21</v>
      </c>
      <c r="G48" s="5" t="s">
        <v>139</v>
      </c>
      <c r="H48" s="5"/>
      <c r="I48" s="6">
        <v>0</v>
      </c>
      <c r="J48" s="6">
        <v>899</v>
      </c>
      <c r="K48" s="6">
        <v>0</v>
      </c>
      <c r="L48" s="6">
        <v>-899</v>
      </c>
      <c r="M48" s="5"/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5"/>
      <c r="T48" s="7">
        <v>39631</v>
      </c>
      <c r="U48" s="7">
        <v>29112.78</v>
      </c>
      <c r="V48" s="7">
        <v>0</v>
      </c>
      <c r="W48" s="7">
        <v>29112.78</v>
      </c>
      <c r="X48" s="7">
        <v>0</v>
      </c>
      <c r="Y48" s="7">
        <v>-10518.22</v>
      </c>
    </row>
    <row r="49" spans="1:25" ht="51" x14ac:dyDescent="0.2">
      <c r="A49" s="5" t="s">
        <v>162</v>
      </c>
      <c r="B49" s="5" t="s">
        <v>163</v>
      </c>
      <c r="C49" s="5" t="s">
        <v>16</v>
      </c>
      <c r="D49" s="5" t="s">
        <v>28</v>
      </c>
      <c r="E49" s="5" t="s">
        <v>88</v>
      </c>
      <c r="F49" s="5" t="s">
        <v>25</v>
      </c>
      <c r="G49" s="5" t="s">
        <v>164</v>
      </c>
      <c r="H49" s="5"/>
      <c r="I49" s="6">
        <v>0</v>
      </c>
      <c r="J49" s="6">
        <v>3593</v>
      </c>
      <c r="K49" s="6">
        <v>52</v>
      </c>
      <c r="L49" s="6">
        <v>-3541</v>
      </c>
      <c r="M49" s="5"/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5"/>
      <c r="T49" s="7">
        <v>31472.799999999999</v>
      </c>
      <c r="U49" s="7">
        <v>39681.4</v>
      </c>
      <c r="V49" s="7">
        <v>0</v>
      </c>
      <c r="W49" s="7">
        <v>39681.4</v>
      </c>
      <c r="X49" s="7">
        <v>0</v>
      </c>
      <c r="Y49" s="7">
        <v>8208.6</v>
      </c>
    </row>
    <row r="50" spans="1:25" ht="76.5" x14ac:dyDescent="0.2">
      <c r="A50" s="5" t="s">
        <v>165</v>
      </c>
      <c r="B50" s="5" t="s">
        <v>166</v>
      </c>
      <c r="C50" s="5" t="s">
        <v>16</v>
      </c>
      <c r="D50" s="5" t="s">
        <v>28</v>
      </c>
      <c r="E50" s="5" t="s">
        <v>88</v>
      </c>
      <c r="F50" s="5" t="s">
        <v>25</v>
      </c>
      <c r="G50" s="5" t="s">
        <v>164</v>
      </c>
      <c r="H50" s="5"/>
      <c r="I50" s="6">
        <v>0</v>
      </c>
      <c r="J50" s="6">
        <v>39673</v>
      </c>
      <c r="K50" s="6">
        <v>98</v>
      </c>
      <c r="L50" s="6">
        <v>-39575</v>
      </c>
      <c r="M50" s="5"/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5"/>
      <c r="T50" s="7">
        <v>35906</v>
      </c>
      <c r="U50" s="7">
        <v>217288.43</v>
      </c>
      <c r="V50" s="7">
        <v>0</v>
      </c>
      <c r="W50" s="7">
        <v>217288.43</v>
      </c>
      <c r="X50" s="7">
        <v>0</v>
      </c>
      <c r="Y50" s="7">
        <v>181382.43</v>
      </c>
    </row>
    <row r="51" spans="1:25" ht="76.5" x14ac:dyDescent="0.2">
      <c r="A51" s="5" t="s">
        <v>167</v>
      </c>
      <c r="B51" s="5" t="s">
        <v>168</v>
      </c>
      <c r="C51" s="5" t="s">
        <v>16</v>
      </c>
      <c r="D51" s="5" t="s">
        <v>169</v>
      </c>
      <c r="E51" s="5" t="s">
        <v>88</v>
      </c>
      <c r="F51" s="5" t="s">
        <v>25</v>
      </c>
      <c r="G51" s="5" t="s">
        <v>164</v>
      </c>
      <c r="H51" s="5"/>
      <c r="I51" s="6">
        <v>0</v>
      </c>
      <c r="J51" s="6">
        <v>7564</v>
      </c>
      <c r="K51" s="6">
        <v>0</v>
      </c>
      <c r="L51" s="6">
        <v>-7564</v>
      </c>
      <c r="M51" s="5"/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5"/>
      <c r="T51" s="7">
        <v>84121.12</v>
      </c>
      <c r="U51" s="7">
        <v>60826.66</v>
      </c>
      <c r="V51" s="7">
        <v>0</v>
      </c>
      <c r="W51" s="7">
        <v>60826.66</v>
      </c>
      <c r="X51" s="7">
        <v>0</v>
      </c>
      <c r="Y51" s="7">
        <v>-23294.46</v>
      </c>
    </row>
    <row r="52" spans="1:25" ht="51" x14ac:dyDescent="0.2">
      <c r="A52" s="5" t="s">
        <v>170</v>
      </c>
      <c r="B52" s="5" t="s">
        <v>171</v>
      </c>
      <c r="C52" s="5" t="s">
        <v>16</v>
      </c>
      <c r="D52" s="5" t="s">
        <v>28</v>
      </c>
      <c r="E52" s="5" t="s">
        <v>88</v>
      </c>
      <c r="F52" s="5" t="s">
        <v>25</v>
      </c>
      <c r="G52" s="5" t="s">
        <v>164</v>
      </c>
      <c r="H52" s="5"/>
      <c r="I52" s="6">
        <v>0</v>
      </c>
      <c r="J52" s="6">
        <v>86</v>
      </c>
      <c r="K52" s="6">
        <v>71</v>
      </c>
      <c r="L52" s="6">
        <v>-15</v>
      </c>
      <c r="M52" s="5"/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5"/>
      <c r="T52" s="7">
        <v>45571</v>
      </c>
      <c r="U52" s="7">
        <v>70587.199999999997</v>
      </c>
      <c r="V52" s="7">
        <v>0</v>
      </c>
      <c r="W52" s="7">
        <v>70587.199999999997</v>
      </c>
      <c r="X52" s="7">
        <v>0</v>
      </c>
      <c r="Y52" s="7">
        <v>25016.2</v>
      </c>
    </row>
    <row r="53" spans="1:25" ht="51" x14ac:dyDescent="0.2">
      <c r="A53" s="5" t="s">
        <v>172</v>
      </c>
      <c r="B53" s="5" t="s">
        <v>30</v>
      </c>
      <c r="C53" s="5" t="s">
        <v>16</v>
      </c>
      <c r="D53" s="5" t="s">
        <v>104</v>
      </c>
      <c r="E53" s="5" t="s">
        <v>88</v>
      </c>
      <c r="F53" s="5" t="s">
        <v>25</v>
      </c>
      <c r="G53" s="5" t="s">
        <v>164</v>
      </c>
      <c r="H53" s="5"/>
      <c r="I53" s="6">
        <v>0</v>
      </c>
      <c r="J53" s="6">
        <v>457</v>
      </c>
      <c r="K53" s="6">
        <v>0</v>
      </c>
      <c r="L53" s="6">
        <v>-457</v>
      </c>
      <c r="M53" s="5"/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5"/>
      <c r="T53" s="7">
        <v>32800</v>
      </c>
      <c r="U53" s="7">
        <v>21420.2</v>
      </c>
      <c r="V53" s="7">
        <v>0</v>
      </c>
      <c r="W53" s="7">
        <v>21420.2</v>
      </c>
      <c r="X53" s="7">
        <v>0</v>
      </c>
      <c r="Y53" s="7">
        <v>-11379.8</v>
      </c>
    </row>
    <row r="54" spans="1:25" ht="51" x14ac:dyDescent="0.2">
      <c r="A54" s="5" t="s">
        <v>173</v>
      </c>
      <c r="B54" s="5" t="s">
        <v>174</v>
      </c>
      <c r="C54" s="5" t="s">
        <v>16</v>
      </c>
      <c r="D54" s="5" t="s">
        <v>107</v>
      </c>
      <c r="E54" s="5" t="s">
        <v>88</v>
      </c>
      <c r="F54" s="5" t="s">
        <v>25</v>
      </c>
      <c r="G54" s="5" t="s">
        <v>164</v>
      </c>
      <c r="H54" s="5"/>
      <c r="I54" s="6">
        <v>0</v>
      </c>
      <c r="J54" s="6">
        <v>73840</v>
      </c>
      <c r="K54" s="6">
        <v>2</v>
      </c>
      <c r="L54" s="6">
        <v>-73838</v>
      </c>
      <c r="M54" s="5"/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5"/>
      <c r="T54" s="7">
        <v>93562</v>
      </c>
      <c r="U54" s="7">
        <v>181357.57</v>
      </c>
      <c r="V54" s="7">
        <v>0</v>
      </c>
      <c r="W54" s="7">
        <v>181857.57</v>
      </c>
      <c r="X54" s="7">
        <v>500</v>
      </c>
      <c r="Y54" s="7">
        <v>88295.57</v>
      </c>
    </row>
    <row r="55" spans="1:25" ht="51" x14ac:dyDescent="0.2">
      <c r="A55" s="5" t="s">
        <v>175</v>
      </c>
      <c r="B55" s="5" t="s">
        <v>29</v>
      </c>
      <c r="C55" s="5" t="s">
        <v>16</v>
      </c>
      <c r="D55" s="5" t="s">
        <v>104</v>
      </c>
      <c r="E55" s="5" t="s">
        <v>88</v>
      </c>
      <c r="F55" s="5" t="s">
        <v>25</v>
      </c>
      <c r="G55" s="5" t="s">
        <v>164</v>
      </c>
      <c r="H55" s="5"/>
      <c r="I55" s="6">
        <v>0</v>
      </c>
      <c r="J55" s="6">
        <v>1632</v>
      </c>
      <c r="K55" s="6">
        <v>2</v>
      </c>
      <c r="L55" s="6">
        <v>-1630</v>
      </c>
      <c r="M55" s="5"/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5"/>
      <c r="T55" s="7">
        <v>48347.11</v>
      </c>
      <c r="U55" s="7">
        <v>86225.56</v>
      </c>
      <c r="V55" s="7">
        <v>0</v>
      </c>
      <c r="W55" s="7">
        <v>86225.56</v>
      </c>
      <c r="X55" s="7">
        <v>0</v>
      </c>
      <c r="Y55" s="7">
        <v>37878.449999999997</v>
      </c>
    </row>
    <row r="56" spans="1:25" ht="51" x14ac:dyDescent="0.2">
      <c r="A56" s="5" t="s">
        <v>176</v>
      </c>
      <c r="B56" s="5" t="s">
        <v>177</v>
      </c>
      <c r="C56" s="5" t="s">
        <v>16</v>
      </c>
      <c r="D56" s="5" t="s">
        <v>104</v>
      </c>
      <c r="E56" s="5" t="s">
        <v>88</v>
      </c>
      <c r="F56" s="5" t="s">
        <v>25</v>
      </c>
      <c r="G56" s="5" t="s">
        <v>164</v>
      </c>
      <c r="H56" s="5"/>
      <c r="I56" s="6">
        <v>0</v>
      </c>
      <c r="J56" s="6">
        <v>2562</v>
      </c>
      <c r="K56" s="6">
        <v>0</v>
      </c>
      <c r="L56" s="6">
        <v>-2562</v>
      </c>
      <c r="M56" s="5"/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5"/>
      <c r="T56" s="7">
        <v>3443</v>
      </c>
      <c r="U56" s="7">
        <v>25301.19</v>
      </c>
      <c r="V56" s="7">
        <v>0</v>
      </c>
      <c r="W56" s="7">
        <v>25301.19</v>
      </c>
      <c r="X56" s="7">
        <v>0</v>
      </c>
      <c r="Y56" s="7">
        <v>21858.19</v>
      </c>
    </row>
    <row r="57" spans="1:25" ht="51" x14ac:dyDescent="0.2">
      <c r="A57" s="5" t="s">
        <v>178</v>
      </c>
      <c r="B57" s="5" t="s">
        <v>179</v>
      </c>
      <c r="C57" s="5" t="s">
        <v>16</v>
      </c>
      <c r="D57" s="5" t="s">
        <v>125</v>
      </c>
      <c r="E57" s="5" t="s">
        <v>88</v>
      </c>
      <c r="F57" s="5" t="s">
        <v>25</v>
      </c>
      <c r="G57" s="5" t="s">
        <v>164</v>
      </c>
      <c r="H57" s="5"/>
      <c r="I57" s="6">
        <v>0</v>
      </c>
      <c r="J57" s="6">
        <v>0</v>
      </c>
      <c r="K57" s="6">
        <v>0</v>
      </c>
      <c r="L57" s="6">
        <v>0</v>
      </c>
      <c r="M57" s="5"/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5"/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</row>
    <row r="58" spans="1:25" ht="51" x14ac:dyDescent="0.2">
      <c r="A58" s="5" t="s">
        <v>180</v>
      </c>
      <c r="B58" s="5" t="s">
        <v>181</v>
      </c>
      <c r="C58" s="5" t="s">
        <v>119</v>
      </c>
      <c r="D58" s="5" t="s">
        <v>32</v>
      </c>
      <c r="E58" s="5" t="s">
        <v>88</v>
      </c>
      <c r="F58" s="5" t="s">
        <v>32</v>
      </c>
      <c r="G58" s="5" t="s">
        <v>164</v>
      </c>
      <c r="H58" s="5"/>
      <c r="I58" s="6">
        <v>0</v>
      </c>
      <c r="J58" s="6">
        <v>0</v>
      </c>
      <c r="K58" s="6">
        <v>0</v>
      </c>
      <c r="L58" s="6">
        <v>0</v>
      </c>
      <c r="M58" s="5"/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5"/>
      <c r="T58" s="7">
        <v>120000</v>
      </c>
      <c r="U58" s="7">
        <v>104797.97</v>
      </c>
      <c r="V58" s="7">
        <v>2.9</v>
      </c>
      <c r="W58" s="7">
        <v>104800.87</v>
      </c>
      <c r="X58" s="7">
        <v>2.9</v>
      </c>
      <c r="Y58" s="7">
        <v>-15199.13</v>
      </c>
    </row>
    <row r="59" spans="1:25" ht="51" x14ac:dyDescent="0.2">
      <c r="A59" s="5" t="s">
        <v>182</v>
      </c>
      <c r="B59" s="5" t="s">
        <v>183</v>
      </c>
      <c r="C59" s="5" t="s">
        <v>119</v>
      </c>
      <c r="D59" s="5" t="s">
        <v>32</v>
      </c>
      <c r="E59" s="5" t="s">
        <v>123</v>
      </c>
      <c r="F59" s="5" t="s">
        <v>25</v>
      </c>
      <c r="G59" s="5" t="s">
        <v>164</v>
      </c>
      <c r="H59" s="5"/>
      <c r="I59" s="6">
        <v>0</v>
      </c>
      <c r="J59" s="6">
        <v>0</v>
      </c>
      <c r="K59" s="6">
        <v>0</v>
      </c>
      <c r="L59" s="6">
        <v>0</v>
      </c>
      <c r="M59" s="5"/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5"/>
      <c r="T59" s="7">
        <v>0</v>
      </c>
      <c r="U59" s="7">
        <v>1729.24</v>
      </c>
      <c r="V59" s="7">
        <v>0</v>
      </c>
      <c r="W59" s="7">
        <v>1729.24</v>
      </c>
      <c r="X59" s="7">
        <v>0</v>
      </c>
      <c r="Y59" s="7">
        <v>1729.24</v>
      </c>
    </row>
    <row r="60" spans="1:25" ht="51" x14ac:dyDescent="0.2">
      <c r="A60" s="5" t="s">
        <v>182</v>
      </c>
      <c r="B60" s="5" t="s">
        <v>183</v>
      </c>
      <c r="C60" s="5" t="s">
        <v>119</v>
      </c>
      <c r="D60" s="5" t="s">
        <v>32</v>
      </c>
      <c r="E60" s="5" t="s">
        <v>123</v>
      </c>
      <c r="F60" s="5" t="s">
        <v>32</v>
      </c>
      <c r="G60" s="5" t="s">
        <v>164</v>
      </c>
      <c r="H60" s="5"/>
      <c r="I60" s="6">
        <v>0</v>
      </c>
      <c r="J60" s="6">
        <v>0</v>
      </c>
      <c r="K60" s="6">
        <v>0</v>
      </c>
      <c r="L60" s="6">
        <v>0</v>
      </c>
      <c r="M60" s="5"/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5"/>
      <c r="T60" s="7">
        <v>7269.12</v>
      </c>
      <c r="U60" s="7">
        <v>35445.43</v>
      </c>
      <c r="V60" s="7">
        <v>0</v>
      </c>
      <c r="W60" s="7">
        <v>35445.43</v>
      </c>
      <c r="X60" s="7">
        <v>0</v>
      </c>
      <c r="Y60" s="7">
        <v>28176.31</v>
      </c>
    </row>
    <row r="61" spans="1:25" ht="51" x14ac:dyDescent="0.2">
      <c r="A61" s="5" t="s">
        <v>184</v>
      </c>
      <c r="B61" s="5" t="s">
        <v>185</v>
      </c>
      <c r="C61" s="5" t="s">
        <v>16</v>
      </c>
      <c r="D61" s="5" t="s">
        <v>22</v>
      </c>
      <c r="E61" s="5" t="s">
        <v>88</v>
      </c>
      <c r="F61" s="5" t="s">
        <v>25</v>
      </c>
      <c r="G61" s="5" t="s">
        <v>164</v>
      </c>
      <c r="H61" s="5"/>
      <c r="I61" s="6">
        <v>0</v>
      </c>
      <c r="J61" s="6">
        <v>5808</v>
      </c>
      <c r="K61" s="6">
        <v>1168</v>
      </c>
      <c r="L61" s="6">
        <v>-4640</v>
      </c>
      <c r="M61" s="5"/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5"/>
      <c r="T61" s="7">
        <v>25980</v>
      </c>
      <c r="U61" s="7">
        <v>47611.23</v>
      </c>
      <c r="V61" s="7">
        <v>0</v>
      </c>
      <c r="W61" s="7">
        <v>48111.23</v>
      </c>
      <c r="X61" s="7">
        <v>500</v>
      </c>
      <c r="Y61" s="7">
        <v>22131.23</v>
      </c>
    </row>
    <row r="62" spans="1:25" ht="63.75" x14ac:dyDescent="0.2">
      <c r="A62" s="5" t="s">
        <v>186</v>
      </c>
      <c r="B62" s="5" t="s">
        <v>187</v>
      </c>
      <c r="C62" s="5" t="s">
        <v>16</v>
      </c>
      <c r="D62" s="5" t="s">
        <v>22</v>
      </c>
      <c r="E62" s="5" t="s">
        <v>88</v>
      </c>
      <c r="F62" s="5" t="s">
        <v>25</v>
      </c>
      <c r="G62" s="5" t="s">
        <v>164</v>
      </c>
      <c r="H62" s="5"/>
      <c r="I62" s="6">
        <v>0</v>
      </c>
      <c r="J62" s="6">
        <v>181</v>
      </c>
      <c r="K62" s="6">
        <v>0</v>
      </c>
      <c r="L62" s="6">
        <v>-181</v>
      </c>
      <c r="M62" s="5"/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5"/>
      <c r="T62" s="7">
        <v>200</v>
      </c>
      <c r="U62" s="7">
        <v>2350.08</v>
      </c>
      <c r="V62" s="7">
        <v>0</v>
      </c>
      <c r="W62" s="7">
        <v>2350.08</v>
      </c>
      <c r="X62" s="7">
        <v>0</v>
      </c>
      <c r="Y62" s="7">
        <v>2150.08</v>
      </c>
    </row>
    <row r="63" spans="1:25" ht="51" x14ac:dyDescent="0.2">
      <c r="A63" s="5" t="s">
        <v>188</v>
      </c>
      <c r="B63" s="5" t="s">
        <v>39</v>
      </c>
      <c r="C63" s="5" t="s">
        <v>16</v>
      </c>
      <c r="D63" s="5" t="s">
        <v>22</v>
      </c>
      <c r="E63" s="5" t="s">
        <v>88</v>
      </c>
      <c r="F63" s="5" t="s">
        <v>25</v>
      </c>
      <c r="G63" s="5" t="s">
        <v>164</v>
      </c>
      <c r="H63" s="5"/>
      <c r="I63" s="6">
        <v>0</v>
      </c>
      <c r="J63" s="6">
        <v>146</v>
      </c>
      <c r="K63" s="6">
        <v>0</v>
      </c>
      <c r="L63" s="6">
        <v>-146</v>
      </c>
      <c r="M63" s="5"/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5"/>
      <c r="T63" s="7">
        <v>0</v>
      </c>
      <c r="U63" s="7">
        <v>13713.37</v>
      </c>
      <c r="V63" s="7">
        <v>0</v>
      </c>
      <c r="W63" s="7">
        <v>13751.04</v>
      </c>
      <c r="X63" s="7">
        <v>37.67</v>
      </c>
      <c r="Y63" s="7">
        <v>13751.04</v>
      </c>
    </row>
    <row r="64" spans="1:25" ht="51" x14ac:dyDescent="0.2">
      <c r="A64" s="5" t="s">
        <v>188</v>
      </c>
      <c r="B64" s="5" t="s">
        <v>39</v>
      </c>
      <c r="C64" s="5" t="s">
        <v>16</v>
      </c>
      <c r="D64" s="5" t="s">
        <v>22</v>
      </c>
      <c r="E64" s="5" t="s">
        <v>88</v>
      </c>
      <c r="F64" s="5" t="s">
        <v>21</v>
      </c>
      <c r="G64" s="5" t="s">
        <v>164</v>
      </c>
      <c r="H64" s="5"/>
      <c r="I64" s="6">
        <v>0</v>
      </c>
      <c r="J64" s="6">
        <v>1258</v>
      </c>
      <c r="K64" s="6">
        <v>10</v>
      </c>
      <c r="L64" s="6">
        <v>-1248</v>
      </c>
      <c r="M64" s="5"/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5"/>
      <c r="T64" s="7">
        <v>39869</v>
      </c>
      <c r="U64" s="7">
        <v>62931.53</v>
      </c>
      <c r="V64" s="7">
        <v>0</v>
      </c>
      <c r="W64" s="7">
        <v>62931.53</v>
      </c>
      <c r="X64" s="7">
        <v>0</v>
      </c>
      <c r="Y64" s="7">
        <v>23062.53</v>
      </c>
    </row>
    <row r="65" spans="1:25" ht="51" x14ac:dyDescent="0.2">
      <c r="A65" s="5" t="s">
        <v>189</v>
      </c>
      <c r="B65" s="5" t="s">
        <v>24</v>
      </c>
      <c r="C65" s="5" t="s">
        <v>16</v>
      </c>
      <c r="D65" s="5" t="s">
        <v>17</v>
      </c>
      <c r="E65" s="5" t="s">
        <v>88</v>
      </c>
      <c r="F65" s="5" t="s">
        <v>18</v>
      </c>
      <c r="G65" s="5" t="s">
        <v>20</v>
      </c>
      <c r="H65" s="5"/>
      <c r="I65" s="6">
        <v>0</v>
      </c>
      <c r="J65" s="6">
        <v>0</v>
      </c>
      <c r="K65" s="6">
        <v>0</v>
      </c>
      <c r="L65" s="6">
        <v>0</v>
      </c>
      <c r="M65" s="5"/>
      <c r="N65" s="6">
        <v>1165</v>
      </c>
      <c r="O65" s="6">
        <v>1036</v>
      </c>
      <c r="P65" s="6">
        <v>1036</v>
      </c>
      <c r="Q65" s="6">
        <v>0</v>
      </c>
      <c r="R65" s="6">
        <v>-129</v>
      </c>
      <c r="S65" s="5"/>
      <c r="T65" s="7">
        <v>104900</v>
      </c>
      <c r="U65" s="7">
        <v>108694.78</v>
      </c>
      <c r="V65" s="7">
        <v>0</v>
      </c>
      <c r="W65" s="7">
        <v>108694.78</v>
      </c>
      <c r="X65" s="7">
        <v>0</v>
      </c>
      <c r="Y65" s="7">
        <v>3794.78</v>
      </c>
    </row>
    <row r="66" spans="1:25" ht="51" x14ac:dyDescent="0.2">
      <c r="A66" s="5" t="s">
        <v>190</v>
      </c>
      <c r="B66" s="5" t="s">
        <v>191</v>
      </c>
      <c r="C66" s="5" t="s">
        <v>16</v>
      </c>
      <c r="D66" s="5" t="s">
        <v>17</v>
      </c>
      <c r="E66" s="5" t="s">
        <v>88</v>
      </c>
      <c r="F66" s="5" t="s">
        <v>18</v>
      </c>
      <c r="G66" s="5" t="s">
        <v>20</v>
      </c>
      <c r="H66" s="5"/>
      <c r="I66" s="6">
        <v>0</v>
      </c>
      <c r="J66" s="6">
        <v>0</v>
      </c>
      <c r="K66" s="6">
        <v>0</v>
      </c>
      <c r="L66" s="6">
        <v>0</v>
      </c>
      <c r="M66" s="5"/>
      <c r="N66" s="6">
        <v>2712</v>
      </c>
      <c r="O66" s="6">
        <v>2391</v>
      </c>
      <c r="P66" s="6">
        <v>2436</v>
      </c>
      <c r="Q66" s="6">
        <v>45</v>
      </c>
      <c r="R66" s="6">
        <v>-276</v>
      </c>
      <c r="S66" s="5"/>
      <c r="T66" s="7">
        <v>244260</v>
      </c>
      <c r="U66" s="7">
        <v>281718.15999999997</v>
      </c>
      <c r="V66" s="7">
        <v>0</v>
      </c>
      <c r="W66" s="7">
        <v>286984.75</v>
      </c>
      <c r="X66" s="7">
        <v>5266.59</v>
      </c>
      <c r="Y66" s="7">
        <v>42724.75</v>
      </c>
    </row>
    <row r="67" spans="1:25" ht="51" x14ac:dyDescent="0.2">
      <c r="A67" s="5" t="s">
        <v>192</v>
      </c>
      <c r="B67" s="5" t="s">
        <v>19</v>
      </c>
      <c r="C67" s="5" t="s">
        <v>16</v>
      </c>
      <c r="D67" s="5" t="s">
        <v>17</v>
      </c>
      <c r="E67" s="5" t="s">
        <v>88</v>
      </c>
      <c r="F67" s="5" t="s">
        <v>18</v>
      </c>
      <c r="G67" s="5" t="s">
        <v>20</v>
      </c>
      <c r="H67" s="5"/>
      <c r="I67" s="6">
        <v>0</v>
      </c>
      <c r="J67" s="6">
        <v>0</v>
      </c>
      <c r="K67" s="6">
        <v>0</v>
      </c>
      <c r="L67" s="6">
        <v>0</v>
      </c>
      <c r="M67" s="5"/>
      <c r="N67" s="6">
        <v>5083</v>
      </c>
      <c r="O67" s="6">
        <v>5773</v>
      </c>
      <c r="P67" s="6">
        <v>6213</v>
      </c>
      <c r="Q67" s="6">
        <v>440</v>
      </c>
      <c r="R67" s="6">
        <v>1130</v>
      </c>
      <c r="S67" s="5"/>
      <c r="T67" s="7">
        <v>460685</v>
      </c>
      <c r="U67" s="7">
        <v>647408.42000000004</v>
      </c>
      <c r="V67" s="7">
        <v>0</v>
      </c>
      <c r="W67" s="7">
        <v>698888.42</v>
      </c>
      <c r="X67" s="7">
        <v>51480</v>
      </c>
      <c r="Y67" s="7">
        <v>238203.42</v>
      </c>
    </row>
    <row r="68" spans="1:25" ht="51" x14ac:dyDescent="0.2">
      <c r="A68" s="5" t="s">
        <v>193</v>
      </c>
      <c r="B68" s="5" t="s">
        <v>15</v>
      </c>
      <c r="C68" s="5" t="s">
        <v>16</v>
      </c>
      <c r="D68" s="5" t="s">
        <v>17</v>
      </c>
      <c r="E68" s="5" t="s">
        <v>88</v>
      </c>
      <c r="F68" s="5" t="s">
        <v>18</v>
      </c>
      <c r="G68" s="5" t="s">
        <v>20</v>
      </c>
      <c r="H68" s="5"/>
      <c r="I68" s="6">
        <v>0</v>
      </c>
      <c r="J68" s="6">
        <v>0</v>
      </c>
      <c r="K68" s="6">
        <v>0</v>
      </c>
      <c r="L68" s="6">
        <v>0</v>
      </c>
      <c r="M68" s="5"/>
      <c r="N68" s="6">
        <v>9800</v>
      </c>
      <c r="O68" s="6">
        <v>11725.5</v>
      </c>
      <c r="P68" s="6">
        <v>11725.5</v>
      </c>
      <c r="Q68" s="6">
        <v>0</v>
      </c>
      <c r="R68" s="6">
        <v>1925.5</v>
      </c>
      <c r="S68" s="5"/>
      <c r="T68" s="7">
        <v>637930</v>
      </c>
      <c r="U68" s="7">
        <v>775033.51</v>
      </c>
      <c r="V68" s="7">
        <v>0</v>
      </c>
      <c r="W68" s="7">
        <v>775033.51</v>
      </c>
      <c r="X68" s="7">
        <v>0</v>
      </c>
      <c r="Y68" s="7">
        <v>137103.51</v>
      </c>
    </row>
    <row r="69" spans="1:25" ht="51" x14ac:dyDescent="0.2">
      <c r="A69" s="5" t="s">
        <v>194</v>
      </c>
      <c r="B69" s="5" t="s">
        <v>195</v>
      </c>
      <c r="C69" s="5" t="s">
        <v>16</v>
      </c>
      <c r="D69" s="5" t="s">
        <v>17</v>
      </c>
      <c r="E69" s="5" t="s">
        <v>88</v>
      </c>
      <c r="F69" s="5" t="s">
        <v>18</v>
      </c>
      <c r="G69" s="5" t="s">
        <v>20</v>
      </c>
      <c r="H69" s="5"/>
      <c r="I69" s="6">
        <v>0</v>
      </c>
      <c r="J69" s="6">
        <v>0</v>
      </c>
      <c r="K69" s="6">
        <v>0</v>
      </c>
      <c r="L69" s="6">
        <v>0</v>
      </c>
      <c r="M69" s="5"/>
      <c r="N69" s="6">
        <v>0</v>
      </c>
      <c r="O69" s="6">
        <v>120</v>
      </c>
      <c r="P69" s="6">
        <v>120</v>
      </c>
      <c r="Q69" s="6">
        <v>0</v>
      </c>
      <c r="R69" s="6">
        <v>120</v>
      </c>
      <c r="S69" s="5"/>
      <c r="T69" s="7">
        <v>0</v>
      </c>
      <c r="U69" s="7">
        <v>11092</v>
      </c>
      <c r="V69" s="7">
        <v>0</v>
      </c>
      <c r="W69" s="7">
        <v>11092</v>
      </c>
      <c r="X69" s="7">
        <v>0</v>
      </c>
      <c r="Y69" s="7">
        <v>11092</v>
      </c>
    </row>
    <row r="70" spans="1:25" ht="51" x14ac:dyDescent="0.2">
      <c r="A70" s="5" t="s">
        <v>196</v>
      </c>
      <c r="B70" s="5" t="s">
        <v>197</v>
      </c>
      <c r="C70" s="5" t="s">
        <v>16</v>
      </c>
      <c r="D70" s="5" t="s">
        <v>17</v>
      </c>
      <c r="E70" s="5" t="s">
        <v>88</v>
      </c>
      <c r="F70" s="5" t="s">
        <v>18</v>
      </c>
      <c r="G70" s="5" t="s">
        <v>20</v>
      </c>
      <c r="H70" s="5"/>
      <c r="I70" s="6">
        <v>0</v>
      </c>
      <c r="J70" s="6">
        <v>0</v>
      </c>
      <c r="K70" s="6">
        <v>0</v>
      </c>
      <c r="L70" s="6">
        <v>0</v>
      </c>
      <c r="M70" s="5"/>
      <c r="N70" s="6">
        <v>960</v>
      </c>
      <c r="O70" s="6">
        <v>0</v>
      </c>
      <c r="P70" s="6">
        <v>0</v>
      </c>
      <c r="Q70" s="6">
        <v>0</v>
      </c>
      <c r="R70" s="6">
        <v>-960</v>
      </c>
      <c r="S70" s="5"/>
      <c r="T70" s="7">
        <v>72000</v>
      </c>
      <c r="U70" s="7">
        <v>0</v>
      </c>
      <c r="V70" s="7">
        <v>0</v>
      </c>
      <c r="W70" s="7">
        <v>0</v>
      </c>
      <c r="X70" s="7">
        <v>0</v>
      </c>
      <c r="Y70" s="7">
        <v>-72000</v>
      </c>
    </row>
    <row r="71" spans="1:25" ht="51" x14ac:dyDescent="0.2">
      <c r="A71" s="5" t="s">
        <v>198</v>
      </c>
      <c r="B71" s="5" t="s">
        <v>199</v>
      </c>
      <c r="C71" s="5" t="s">
        <v>16</v>
      </c>
      <c r="D71" s="5" t="s">
        <v>72</v>
      </c>
      <c r="E71" s="5" t="s">
        <v>88</v>
      </c>
      <c r="F71" s="5" t="s">
        <v>18</v>
      </c>
      <c r="G71" s="5" t="s">
        <v>20</v>
      </c>
      <c r="H71" s="5"/>
      <c r="I71" s="6">
        <v>0</v>
      </c>
      <c r="J71" s="6">
        <v>0</v>
      </c>
      <c r="K71" s="6">
        <v>0</v>
      </c>
      <c r="L71" s="6">
        <v>0</v>
      </c>
      <c r="M71" s="5"/>
      <c r="N71" s="6">
        <v>1626</v>
      </c>
      <c r="O71" s="6">
        <v>214.5</v>
      </c>
      <c r="P71" s="6">
        <v>214.5</v>
      </c>
      <c r="Q71" s="6">
        <v>0</v>
      </c>
      <c r="R71" s="6">
        <v>-1411.5</v>
      </c>
      <c r="S71" s="5"/>
      <c r="T71" s="7">
        <v>146340</v>
      </c>
      <c r="U71" s="7">
        <v>15926.95</v>
      </c>
      <c r="V71" s="7">
        <v>0</v>
      </c>
      <c r="W71" s="7">
        <v>15926.95</v>
      </c>
      <c r="X71" s="7">
        <v>0</v>
      </c>
      <c r="Y71" s="7">
        <v>-130413.05</v>
      </c>
    </row>
    <row r="72" spans="1:25" ht="51" x14ac:dyDescent="0.2">
      <c r="A72" s="5" t="s">
        <v>200</v>
      </c>
      <c r="B72" s="5" t="s">
        <v>201</v>
      </c>
      <c r="C72" s="5" t="s">
        <v>16</v>
      </c>
      <c r="D72" s="5" t="s">
        <v>17</v>
      </c>
      <c r="E72" s="5" t="s">
        <v>88</v>
      </c>
      <c r="F72" s="5" t="s">
        <v>18</v>
      </c>
      <c r="G72" s="5" t="s">
        <v>20</v>
      </c>
      <c r="H72" s="5"/>
      <c r="I72" s="6">
        <v>0</v>
      </c>
      <c r="J72" s="6">
        <v>0</v>
      </c>
      <c r="K72" s="6">
        <v>0</v>
      </c>
      <c r="L72" s="6">
        <v>0</v>
      </c>
      <c r="M72" s="5"/>
      <c r="N72" s="6">
        <v>3225</v>
      </c>
      <c r="O72" s="6">
        <v>2456</v>
      </c>
      <c r="P72" s="6">
        <v>2456</v>
      </c>
      <c r="Q72" s="6">
        <v>0</v>
      </c>
      <c r="R72" s="6">
        <v>-769</v>
      </c>
      <c r="S72" s="5"/>
      <c r="T72" s="7">
        <v>96792</v>
      </c>
      <c r="U72" s="7">
        <v>76381.8</v>
      </c>
      <c r="V72" s="7">
        <v>0</v>
      </c>
      <c r="W72" s="7">
        <v>76381.8</v>
      </c>
      <c r="X72" s="7">
        <v>0</v>
      </c>
      <c r="Y72" s="7">
        <v>-20410.2</v>
      </c>
    </row>
    <row r="73" spans="1:25" ht="51" x14ac:dyDescent="0.2">
      <c r="A73" s="5" t="s">
        <v>202</v>
      </c>
      <c r="B73" s="5" t="s">
        <v>203</v>
      </c>
      <c r="C73" s="5" t="s">
        <v>16</v>
      </c>
      <c r="D73" s="5" t="s">
        <v>17</v>
      </c>
      <c r="E73" s="5" t="s">
        <v>88</v>
      </c>
      <c r="F73" s="5" t="s">
        <v>18</v>
      </c>
      <c r="G73" s="5" t="s">
        <v>20</v>
      </c>
      <c r="H73" s="5"/>
      <c r="I73" s="6">
        <v>0</v>
      </c>
      <c r="J73" s="6">
        <v>0</v>
      </c>
      <c r="K73" s="6">
        <v>0</v>
      </c>
      <c r="L73" s="6">
        <v>0</v>
      </c>
      <c r="M73" s="5"/>
      <c r="N73" s="6">
        <v>0</v>
      </c>
      <c r="O73" s="6">
        <v>36</v>
      </c>
      <c r="P73" s="6">
        <v>36</v>
      </c>
      <c r="Q73" s="6">
        <v>0</v>
      </c>
      <c r="R73" s="6">
        <v>36</v>
      </c>
      <c r="S73" s="5"/>
      <c r="T73" s="7">
        <v>0</v>
      </c>
      <c r="U73" s="7">
        <v>3506.82</v>
      </c>
      <c r="V73" s="7">
        <v>0</v>
      </c>
      <c r="W73" s="7">
        <v>3506.82</v>
      </c>
      <c r="X73" s="7">
        <v>0</v>
      </c>
      <c r="Y73" s="7">
        <v>3506.82</v>
      </c>
    </row>
    <row r="74" spans="1:25" ht="51" x14ac:dyDescent="0.2">
      <c r="A74" s="5" t="s">
        <v>204</v>
      </c>
      <c r="B74" s="5" t="s">
        <v>43</v>
      </c>
      <c r="C74" s="5" t="s">
        <v>16</v>
      </c>
      <c r="D74" s="5" t="s">
        <v>22</v>
      </c>
      <c r="E74" s="5" t="s">
        <v>88</v>
      </c>
      <c r="F74" s="5" t="s">
        <v>21</v>
      </c>
      <c r="G74" s="5" t="s">
        <v>20</v>
      </c>
      <c r="H74" s="5"/>
      <c r="I74" s="6">
        <v>0</v>
      </c>
      <c r="J74" s="6">
        <v>90</v>
      </c>
      <c r="K74" s="6">
        <v>0</v>
      </c>
      <c r="L74" s="6">
        <v>-90</v>
      </c>
      <c r="M74" s="5"/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5"/>
      <c r="T74" s="7">
        <v>89103</v>
      </c>
      <c r="U74" s="7">
        <v>37117.49</v>
      </c>
      <c r="V74" s="7">
        <v>0</v>
      </c>
      <c r="W74" s="7">
        <v>38634.589999999997</v>
      </c>
      <c r="X74" s="7">
        <v>1517.1</v>
      </c>
      <c r="Y74" s="7">
        <v>-50468.41</v>
      </c>
    </row>
    <row r="75" spans="1:25" ht="51" x14ac:dyDescent="0.2">
      <c r="A75" s="5" t="s">
        <v>205</v>
      </c>
      <c r="B75" s="5" t="s">
        <v>206</v>
      </c>
      <c r="C75" s="5" t="s">
        <v>16</v>
      </c>
      <c r="D75" s="5" t="s">
        <v>22</v>
      </c>
      <c r="E75" s="5" t="s">
        <v>88</v>
      </c>
      <c r="F75" s="5" t="s">
        <v>38</v>
      </c>
      <c r="G75" s="5" t="s">
        <v>20</v>
      </c>
      <c r="H75" s="5"/>
      <c r="I75" s="6">
        <v>0</v>
      </c>
      <c r="J75" s="6">
        <v>0</v>
      </c>
      <c r="K75" s="6">
        <v>0</v>
      </c>
      <c r="L75" s="6">
        <v>0</v>
      </c>
      <c r="M75" s="5"/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5"/>
      <c r="T75" s="7">
        <v>137</v>
      </c>
      <c r="U75" s="7">
        <v>0</v>
      </c>
      <c r="V75" s="7">
        <v>0</v>
      </c>
      <c r="W75" s="7">
        <v>0</v>
      </c>
      <c r="X75" s="7">
        <v>0</v>
      </c>
      <c r="Y75" s="7">
        <v>-137</v>
      </c>
    </row>
    <row r="76" spans="1:25" ht="51" x14ac:dyDescent="0.2">
      <c r="A76" s="5" t="s">
        <v>205</v>
      </c>
      <c r="B76" s="5" t="s">
        <v>206</v>
      </c>
      <c r="C76" s="5" t="s">
        <v>16</v>
      </c>
      <c r="D76" s="5" t="s">
        <v>22</v>
      </c>
      <c r="E76" s="5" t="s">
        <v>88</v>
      </c>
      <c r="F76" s="5" t="s">
        <v>21</v>
      </c>
      <c r="G76" s="5" t="s">
        <v>20</v>
      </c>
      <c r="H76" s="5"/>
      <c r="I76" s="6">
        <v>0</v>
      </c>
      <c r="J76" s="6">
        <v>0</v>
      </c>
      <c r="K76" s="6">
        <v>0</v>
      </c>
      <c r="L76" s="6">
        <v>0</v>
      </c>
      <c r="M76" s="5"/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5"/>
      <c r="T76" s="7">
        <v>226158</v>
      </c>
      <c r="U76" s="7">
        <v>123761.06</v>
      </c>
      <c r="V76" s="7">
        <v>0</v>
      </c>
      <c r="W76" s="7">
        <v>124075.06</v>
      </c>
      <c r="X76" s="7">
        <v>314</v>
      </c>
      <c r="Y76" s="7">
        <v>-102082.94</v>
      </c>
    </row>
    <row r="77" spans="1:25" ht="51" x14ac:dyDescent="0.2">
      <c r="A77" s="5" t="s">
        <v>207</v>
      </c>
      <c r="B77" s="5" t="s">
        <v>208</v>
      </c>
      <c r="C77" s="5" t="s">
        <v>16</v>
      </c>
      <c r="D77" s="5" t="s">
        <v>22</v>
      </c>
      <c r="E77" s="5" t="s">
        <v>88</v>
      </c>
      <c r="F77" s="5" t="s">
        <v>21</v>
      </c>
      <c r="G77" s="5" t="s">
        <v>20</v>
      </c>
      <c r="H77" s="5"/>
      <c r="I77" s="6">
        <v>0</v>
      </c>
      <c r="J77" s="6">
        <v>0</v>
      </c>
      <c r="K77" s="6">
        <v>0</v>
      </c>
      <c r="L77" s="6">
        <v>0</v>
      </c>
      <c r="M77" s="5"/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5"/>
      <c r="T77" s="7">
        <v>9686.83</v>
      </c>
      <c r="U77" s="7">
        <v>6575.38</v>
      </c>
      <c r="V77" s="7">
        <v>0</v>
      </c>
      <c r="W77" s="7">
        <v>6575.38</v>
      </c>
      <c r="X77" s="7">
        <v>0</v>
      </c>
      <c r="Y77" s="7">
        <v>-3111.45</v>
      </c>
    </row>
    <row r="78" spans="1:25" ht="51" x14ac:dyDescent="0.2">
      <c r="A78" s="5" t="s">
        <v>209</v>
      </c>
      <c r="B78" s="5" t="s">
        <v>210</v>
      </c>
      <c r="C78" s="5" t="s">
        <v>16</v>
      </c>
      <c r="D78" s="5" t="s">
        <v>22</v>
      </c>
      <c r="E78" s="5" t="s">
        <v>88</v>
      </c>
      <c r="F78" s="5" t="s">
        <v>21</v>
      </c>
      <c r="G78" s="5" t="s">
        <v>20</v>
      </c>
      <c r="H78" s="5"/>
      <c r="I78" s="6">
        <v>0</v>
      </c>
      <c r="J78" s="6">
        <v>0</v>
      </c>
      <c r="K78" s="6">
        <v>0</v>
      </c>
      <c r="L78" s="6">
        <v>0</v>
      </c>
      <c r="M78" s="5"/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5"/>
      <c r="T78" s="7">
        <v>9000</v>
      </c>
      <c r="U78" s="7">
        <v>416.48</v>
      </c>
      <c r="V78" s="7">
        <v>0</v>
      </c>
      <c r="W78" s="7">
        <v>416.48</v>
      </c>
      <c r="X78" s="7">
        <v>0</v>
      </c>
      <c r="Y78" s="7">
        <v>-8583.52</v>
      </c>
    </row>
    <row r="79" spans="1:25" ht="51" x14ac:dyDescent="0.2">
      <c r="A79" s="5" t="s">
        <v>211</v>
      </c>
      <c r="B79" s="5" t="s">
        <v>212</v>
      </c>
      <c r="C79" s="5" t="s">
        <v>16</v>
      </c>
      <c r="D79" s="5" t="s">
        <v>22</v>
      </c>
      <c r="E79" s="5" t="s">
        <v>88</v>
      </c>
      <c r="F79" s="5" t="s">
        <v>21</v>
      </c>
      <c r="G79" s="5" t="s">
        <v>20</v>
      </c>
      <c r="H79" s="5"/>
      <c r="I79" s="6">
        <v>0</v>
      </c>
      <c r="J79" s="6">
        <v>1439</v>
      </c>
      <c r="K79" s="6">
        <v>502</v>
      </c>
      <c r="L79" s="6">
        <v>-937</v>
      </c>
      <c r="M79" s="5"/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5"/>
      <c r="T79" s="7">
        <v>20000</v>
      </c>
      <c r="U79" s="7">
        <v>26515.55</v>
      </c>
      <c r="V79" s="7">
        <v>0</v>
      </c>
      <c r="W79" s="7">
        <v>27515.55</v>
      </c>
      <c r="X79" s="7">
        <v>1000</v>
      </c>
      <c r="Y79" s="7">
        <v>7515.55</v>
      </c>
    </row>
    <row r="80" spans="1:25" ht="51" x14ac:dyDescent="0.2">
      <c r="A80" s="5" t="s">
        <v>213</v>
      </c>
      <c r="B80" s="5" t="s">
        <v>21</v>
      </c>
      <c r="C80" s="5" t="s">
        <v>16</v>
      </c>
      <c r="D80" s="5" t="s">
        <v>22</v>
      </c>
      <c r="E80" s="5" t="s">
        <v>88</v>
      </c>
      <c r="F80" s="5" t="s">
        <v>21</v>
      </c>
      <c r="G80" s="5" t="s">
        <v>20</v>
      </c>
      <c r="H80" s="5"/>
      <c r="I80" s="6">
        <v>0</v>
      </c>
      <c r="J80" s="6">
        <v>3</v>
      </c>
      <c r="K80" s="6">
        <v>20</v>
      </c>
      <c r="L80" s="6">
        <v>17</v>
      </c>
      <c r="M80" s="5"/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5"/>
      <c r="T80" s="7">
        <v>82</v>
      </c>
      <c r="U80" s="7">
        <v>138914.74</v>
      </c>
      <c r="V80" s="7">
        <v>0</v>
      </c>
      <c r="W80" s="7">
        <v>136556.54</v>
      </c>
      <c r="X80" s="7">
        <v>-2358.1999999999998</v>
      </c>
      <c r="Y80" s="7">
        <v>136474.54</v>
      </c>
    </row>
    <row r="81" spans="1:25" ht="51" x14ac:dyDescent="0.2">
      <c r="A81" s="5" t="s">
        <v>214</v>
      </c>
      <c r="B81" s="5" t="s">
        <v>77</v>
      </c>
      <c r="C81" s="5" t="s">
        <v>16</v>
      </c>
      <c r="D81" s="5" t="s">
        <v>22</v>
      </c>
      <c r="E81" s="5" t="s">
        <v>88</v>
      </c>
      <c r="F81" s="5" t="s">
        <v>21</v>
      </c>
      <c r="G81" s="5" t="s">
        <v>20</v>
      </c>
      <c r="H81" s="5"/>
      <c r="I81" s="6">
        <v>0</v>
      </c>
      <c r="J81" s="6">
        <v>0</v>
      </c>
      <c r="K81" s="6">
        <v>0</v>
      </c>
      <c r="L81" s="6">
        <v>0</v>
      </c>
      <c r="M81" s="5"/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5"/>
      <c r="T81" s="7">
        <v>194365</v>
      </c>
      <c r="U81" s="7">
        <v>2939.31</v>
      </c>
      <c r="V81" s="7">
        <v>0</v>
      </c>
      <c r="W81" s="7">
        <v>2939.31</v>
      </c>
      <c r="X81" s="7">
        <v>0</v>
      </c>
      <c r="Y81" s="7">
        <v>-191425.69</v>
      </c>
    </row>
    <row r="82" spans="1:25" ht="51" x14ac:dyDescent="0.2">
      <c r="A82" s="5" t="s">
        <v>215</v>
      </c>
      <c r="B82" s="5" t="s">
        <v>216</v>
      </c>
      <c r="C82" s="5" t="s">
        <v>16</v>
      </c>
      <c r="D82" s="5" t="s">
        <v>22</v>
      </c>
      <c r="E82" s="5" t="s">
        <v>88</v>
      </c>
      <c r="F82" s="5" t="s">
        <v>21</v>
      </c>
      <c r="G82" s="5" t="s">
        <v>20</v>
      </c>
      <c r="H82" s="5"/>
      <c r="I82" s="6">
        <v>0</v>
      </c>
      <c r="J82" s="6">
        <v>0</v>
      </c>
      <c r="K82" s="6">
        <v>0</v>
      </c>
      <c r="L82" s="6">
        <v>0</v>
      </c>
      <c r="M82" s="5"/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5"/>
      <c r="T82" s="7">
        <v>0</v>
      </c>
      <c r="U82" s="7">
        <v>291.27</v>
      </c>
      <c r="V82" s="7">
        <v>0</v>
      </c>
      <c r="W82" s="7">
        <v>291.27</v>
      </c>
      <c r="X82" s="7">
        <v>0</v>
      </c>
      <c r="Y82" s="7">
        <v>291.27</v>
      </c>
    </row>
    <row r="83" spans="1:25" ht="51" x14ac:dyDescent="0.2">
      <c r="A83" s="5" t="s">
        <v>217</v>
      </c>
      <c r="B83" s="5" t="s">
        <v>218</v>
      </c>
      <c r="C83" s="5" t="s">
        <v>16</v>
      </c>
      <c r="D83" s="5" t="s">
        <v>22</v>
      </c>
      <c r="E83" s="5" t="s">
        <v>88</v>
      </c>
      <c r="F83" s="5" t="s">
        <v>21</v>
      </c>
      <c r="G83" s="5" t="s">
        <v>20</v>
      </c>
      <c r="H83" s="5"/>
      <c r="I83" s="6">
        <v>0</v>
      </c>
      <c r="J83" s="6">
        <v>0</v>
      </c>
      <c r="K83" s="6">
        <v>0</v>
      </c>
      <c r="L83" s="6">
        <v>0</v>
      </c>
      <c r="M83" s="5"/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5"/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0</v>
      </c>
    </row>
    <row r="84" spans="1:25" ht="51" x14ac:dyDescent="0.2">
      <c r="A84" s="5" t="s">
        <v>219</v>
      </c>
      <c r="B84" s="5" t="s">
        <v>220</v>
      </c>
      <c r="C84" s="5" t="s">
        <v>16</v>
      </c>
      <c r="D84" s="5" t="s">
        <v>22</v>
      </c>
      <c r="E84" s="5" t="s">
        <v>88</v>
      </c>
      <c r="F84" s="5" t="s">
        <v>21</v>
      </c>
      <c r="G84" s="5" t="s">
        <v>20</v>
      </c>
      <c r="H84" s="5"/>
      <c r="I84" s="6">
        <v>0</v>
      </c>
      <c r="J84" s="6">
        <v>0</v>
      </c>
      <c r="K84" s="6">
        <v>0</v>
      </c>
      <c r="L84" s="6">
        <v>0</v>
      </c>
      <c r="M84" s="5"/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5"/>
      <c r="T84" s="7">
        <v>255773.05</v>
      </c>
      <c r="U84" s="7">
        <v>168462</v>
      </c>
      <c r="V84" s="7">
        <v>0</v>
      </c>
      <c r="W84" s="7">
        <v>209884</v>
      </c>
      <c r="X84" s="7">
        <v>41422</v>
      </c>
      <c r="Y84" s="7">
        <v>-45889.05</v>
      </c>
    </row>
    <row r="85" spans="1:25" ht="51" x14ac:dyDescent="0.2">
      <c r="A85" s="5" t="s">
        <v>221</v>
      </c>
      <c r="B85" s="5" t="s">
        <v>42</v>
      </c>
      <c r="C85" s="5" t="s">
        <v>16</v>
      </c>
      <c r="D85" s="5" t="s">
        <v>42</v>
      </c>
      <c r="E85" s="5" t="s">
        <v>88</v>
      </c>
      <c r="F85" s="5" t="s">
        <v>21</v>
      </c>
      <c r="G85" s="5" t="s">
        <v>20</v>
      </c>
      <c r="H85" s="5"/>
      <c r="I85" s="6">
        <v>0</v>
      </c>
      <c r="J85" s="6">
        <v>0</v>
      </c>
      <c r="K85" s="6">
        <v>0</v>
      </c>
      <c r="L85" s="6">
        <v>0</v>
      </c>
      <c r="M85" s="5"/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5"/>
      <c r="T85" s="7">
        <v>60000</v>
      </c>
      <c r="U85" s="7">
        <v>0</v>
      </c>
      <c r="V85" s="7">
        <v>0</v>
      </c>
      <c r="W85" s="7">
        <v>0</v>
      </c>
      <c r="X85" s="7">
        <v>0</v>
      </c>
      <c r="Y85" s="7">
        <v>-60000</v>
      </c>
    </row>
    <row r="86" spans="1:25" ht="51" x14ac:dyDescent="0.2">
      <c r="A86" s="5" t="s">
        <v>222</v>
      </c>
      <c r="B86" s="5" t="s">
        <v>40</v>
      </c>
      <c r="C86" s="5" t="s">
        <v>16</v>
      </c>
      <c r="D86" s="5" t="s">
        <v>22</v>
      </c>
      <c r="E86" s="5" t="s">
        <v>88</v>
      </c>
      <c r="F86" s="5" t="s">
        <v>25</v>
      </c>
      <c r="G86" s="5" t="s">
        <v>20</v>
      </c>
      <c r="H86" s="5"/>
      <c r="I86" s="6">
        <v>0</v>
      </c>
      <c r="J86" s="6">
        <v>0</v>
      </c>
      <c r="K86" s="6">
        <v>0</v>
      </c>
      <c r="L86" s="6">
        <v>0</v>
      </c>
      <c r="M86" s="5"/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5"/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</row>
    <row r="87" spans="1:25" ht="51" x14ac:dyDescent="0.2">
      <c r="A87" s="5" t="s">
        <v>223</v>
      </c>
      <c r="B87" s="5" t="s">
        <v>49</v>
      </c>
      <c r="C87" s="5" t="s">
        <v>16</v>
      </c>
      <c r="D87" s="5" t="s">
        <v>125</v>
      </c>
      <c r="E87" s="5" t="s">
        <v>88</v>
      </c>
      <c r="F87" s="5" t="s">
        <v>18</v>
      </c>
      <c r="G87" s="5" t="s">
        <v>89</v>
      </c>
      <c r="H87" s="5"/>
      <c r="I87" s="6">
        <v>0</v>
      </c>
      <c r="J87" s="6">
        <v>0</v>
      </c>
      <c r="K87" s="6">
        <v>0</v>
      </c>
      <c r="L87" s="6">
        <v>0</v>
      </c>
      <c r="M87" s="5"/>
      <c r="N87" s="6">
        <v>0</v>
      </c>
      <c r="O87" s="6">
        <v>408</v>
      </c>
      <c r="P87" s="6">
        <v>408</v>
      </c>
      <c r="Q87" s="6">
        <v>0</v>
      </c>
      <c r="R87" s="6">
        <v>408</v>
      </c>
      <c r="S87" s="5"/>
      <c r="T87" s="7">
        <v>0</v>
      </c>
      <c r="U87" s="7">
        <v>39258.800000000003</v>
      </c>
      <c r="V87" s="7">
        <v>0</v>
      </c>
      <c r="W87" s="7">
        <v>39258.800000000003</v>
      </c>
      <c r="X87" s="7">
        <v>0</v>
      </c>
      <c r="Y87" s="7">
        <v>39258.800000000003</v>
      </c>
    </row>
    <row r="88" spans="1:25" ht="51" x14ac:dyDescent="0.2">
      <c r="A88" s="5" t="s">
        <v>223</v>
      </c>
      <c r="B88" s="5" t="s">
        <v>49</v>
      </c>
      <c r="C88" s="5" t="s">
        <v>16</v>
      </c>
      <c r="D88" s="5" t="s">
        <v>125</v>
      </c>
      <c r="E88" s="5" t="s">
        <v>88</v>
      </c>
      <c r="F88" s="5" t="s">
        <v>25</v>
      </c>
      <c r="G88" s="5" t="s">
        <v>89</v>
      </c>
      <c r="H88" s="5"/>
      <c r="I88" s="6">
        <v>0</v>
      </c>
      <c r="J88" s="6">
        <v>36</v>
      </c>
      <c r="K88" s="6">
        <v>0</v>
      </c>
      <c r="L88" s="6">
        <v>-36</v>
      </c>
      <c r="M88" s="5"/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5"/>
      <c r="T88" s="7">
        <v>0</v>
      </c>
      <c r="U88" s="7">
        <v>49817.35</v>
      </c>
      <c r="V88" s="7">
        <v>664.58</v>
      </c>
      <c r="W88" s="7">
        <v>50481.93</v>
      </c>
      <c r="X88" s="7">
        <v>664.58</v>
      </c>
      <c r="Y88" s="7">
        <v>50481.93</v>
      </c>
    </row>
    <row r="89" spans="1:25" ht="51" x14ac:dyDescent="0.2">
      <c r="A89" s="5" t="s">
        <v>224</v>
      </c>
      <c r="B89" s="5" t="s">
        <v>125</v>
      </c>
      <c r="C89" s="5" t="s">
        <v>225</v>
      </c>
      <c r="D89" s="5" t="s">
        <v>125</v>
      </c>
      <c r="E89" s="5" t="s">
        <v>88</v>
      </c>
      <c r="F89" s="5" t="s">
        <v>18</v>
      </c>
      <c r="G89" s="5" t="s">
        <v>89</v>
      </c>
      <c r="H89" s="5"/>
      <c r="I89" s="6">
        <v>0</v>
      </c>
      <c r="J89" s="6">
        <v>0</v>
      </c>
      <c r="K89" s="6">
        <v>0</v>
      </c>
      <c r="L89" s="6">
        <v>0</v>
      </c>
      <c r="M89" s="5"/>
      <c r="N89" s="6">
        <v>233</v>
      </c>
      <c r="O89" s="6">
        <v>543</v>
      </c>
      <c r="P89" s="6">
        <v>543</v>
      </c>
      <c r="Q89" s="6">
        <v>0</v>
      </c>
      <c r="R89" s="6">
        <v>310</v>
      </c>
      <c r="S89" s="5"/>
      <c r="T89" s="7">
        <v>21167.4</v>
      </c>
      <c r="U89" s="7">
        <v>46828.43</v>
      </c>
      <c r="V89" s="7">
        <v>0</v>
      </c>
      <c r="W89" s="7">
        <v>46828.43</v>
      </c>
      <c r="X89" s="7">
        <v>0</v>
      </c>
      <c r="Y89" s="7">
        <v>25661.03</v>
      </c>
    </row>
    <row r="90" spans="1:25" ht="51" x14ac:dyDescent="0.2">
      <c r="A90" s="5" t="s">
        <v>224</v>
      </c>
      <c r="B90" s="5" t="s">
        <v>125</v>
      </c>
      <c r="C90" s="5" t="s">
        <v>225</v>
      </c>
      <c r="D90" s="5" t="s">
        <v>125</v>
      </c>
      <c r="E90" s="5" t="s">
        <v>88</v>
      </c>
      <c r="F90" s="5" t="s">
        <v>25</v>
      </c>
      <c r="G90" s="5" t="s">
        <v>89</v>
      </c>
      <c r="H90" s="5"/>
      <c r="I90" s="6">
        <v>0</v>
      </c>
      <c r="J90" s="6">
        <v>83</v>
      </c>
      <c r="K90" s="6">
        <v>0</v>
      </c>
      <c r="L90" s="6">
        <v>-83</v>
      </c>
      <c r="M90" s="5"/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5"/>
      <c r="T90" s="7">
        <v>167250.29999999999</v>
      </c>
      <c r="U90" s="7">
        <v>70782.86</v>
      </c>
      <c r="V90" s="7">
        <v>0</v>
      </c>
      <c r="W90" s="7">
        <v>70782.86</v>
      </c>
      <c r="X90" s="7">
        <v>0</v>
      </c>
      <c r="Y90" s="7">
        <v>-96467.44</v>
      </c>
    </row>
    <row r="91" spans="1:25" ht="51" x14ac:dyDescent="0.2">
      <c r="A91" s="5" t="s">
        <v>224</v>
      </c>
      <c r="B91" s="5" t="s">
        <v>125</v>
      </c>
      <c r="C91" s="5" t="s">
        <v>225</v>
      </c>
      <c r="D91" s="5" t="s">
        <v>125</v>
      </c>
      <c r="E91" s="5" t="s">
        <v>88</v>
      </c>
      <c r="F91" s="5" t="s">
        <v>38</v>
      </c>
      <c r="G91" s="5" t="s">
        <v>89</v>
      </c>
      <c r="H91" s="5"/>
      <c r="I91" s="6">
        <v>0</v>
      </c>
      <c r="J91" s="6">
        <v>0</v>
      </c>
      <c r="K91" s="6">
        <v>0</v>
      </c>
      <c r="L91" s="6">
        <v>0</v>
      </c>
      <c r="M91" s="5"/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5"/>
      <c r="T91" s="7">
        <v>915</v>
      </c>
      <c r="U91" s="7">
        <v>0</v>
      </c>
      <c r="V91" s="7">
        <v>0</v>
      </c>
      <c r="W91" s="7">
        <v>0</v>
      </c>
      <c r="X91" s="7">
        <v>0</v>
      </c>
      <c r="Y91" s="7">
        <v>-915</v>
      </c>
    </row>
    <row r="92" spans="1:25" ht="51" x14ac:dyDescent="0.2">
      <c r="A92" s="5" t="s">
        <v>226</v>
      </c>
      <c r="B92" s="5" t="s">
        <v>125</v>
      </c>
      <c r="C92" s="5" t="s">
        <v>227</v>
      </c>
      <c r="D92" s="5" t="s">
        <v>125</v>
      </c>
      <c r="E92" s="5" t="s">
        <v>88</v>
      </c>
      <c r="F92" s="5" t="s">
        <v>18</v>
      </c>
      <c r="G92" s="5" t="s">
        <v>89</v>
      </c>
      <c r="H92" s="5"/>
      <c r="I92" s="6">
        <v>0</v>
      </c>
      <c r="J92" s="6">
        <v>0</v>
      </c>
      <c r="K92" s="6">
        <v>0</v>
      </c>
      <c r="L92" s="6">
        <v>0</v>
      </c>
      <c r="M92" s="5"/>
      <c r="N92" s="6">
        <v>46</v>
      </c>
      <c r="O92" s="6">
        <v>152</v>
      </c>
      <c r="P92" s="6">
        <v>152</v>
      </c>
      <c r="Q92" s="6">
        <v>0</v>
      </c>
      <c r="R92" s="6">
        <v>106</v>
      </c>
      <c r="S92" s="5"/>
      <c r="T92" s="7">
        <v>4140</v>
      </c>
      <c r="U92" s="7">
        <v>13585.64</v>
      </c>
      <c r="V92" s="7">
        <v>0</v>
      </c>
      <c r="W92" s="7">
        <v>13585.64</v>
      </c>
      <c r="X92" s="7">
        <v>0</v>
      </c>
      <c r="Y92" s="7">
        <v>9445.64</v>
      </c>
    </row>
    <row r="93" spans="1:25" ht="51" x14ac:dyDescent="0.2">
      <c r="A93" s="5" t="s">
        <v>226</v>
      </c>
      <c r="B93" s="5" t="s">
        <v>125</v>
      </c>
      <c r="C93" s="5" t="s">
        <v>227</v>
      </c>
      <c r="D93" s="5" t="s">
        <v>125</v>
      </c>
      <c r="E93" s="5" t="s">
        <v>88</v>
      </c>
      <c r="F93" s="5" t="s">
        <v>25</v>
      </c>
      <c r="G93" s="5" t="s">
        <v>89</v>
      </c>
      <c r="H93" s="5"/>
      <c r="I93" s="6">
        <v>0</v>
      </c>
      <c r="J93" s="6">
        <v>2</v>
      </c>
      <c r="K93" s="6">
        <v>0</v>
      </c>
      <c r="L93" s="6">
        <v>-2</v>
      </c>
      <c r="M93" s="5"/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5"/>
      <c r="T93" s="7">
        <v>10732.1</v>
      </c>
      <c r="U93" s="7">
        <v>2114.62</v>
      </c>
      <c r="V93" s="7">
        <v>0</v>
      </c>
      <c r="W93" s="7">
        <v>2114.62</v>
      </c>
      <c r="X93" s="7">
        <v>0</v>
      </c>
      <c r="Y93" s="7">
        <v>-8617.48</v>
      </c>
    </row>
    <row r="94" spans="1:25" ht="51" x14ac:dyDescent="0.2">
      <c r="A94" s="5" t="s">
        <v>228</v>
      </c>
      <c r="B94" s="5" t="s">
        <v>125</v>
      </c>
      <c r="C94" s="5" t="s">
        <v>229</v>
      </c>
      <c r="D94" s="5" t="s">
        <v>125</v>
      </c>
      <c r="E94" s="5" t="s">
        <v>88</v>
      </c>
      <c r="F94" s="5" t="s">
        <v>18</v>
      </c>
      <c r="G94" s="5" t="s">
        <v>89</v>
      </c>
      <c r="H94" s="5"/>
      <c r="I94" s="6">
        <v>0</v>
      </c>
      <c r="J94" s="6">
        <v>0</v>
      </c>
      <c r="K94" s="6">
        <v>0</v>
      </c>
      <c r="L94" s="6">
        <v>0</v>
      </c>
      <c r="M94" s="5"/>
      <c r="N94" s="6">
        <v>50</v>
      </c>
      <c r="O94" s="6">
        <v>122</v>
      </c>
      <c r="P94" s="6">
        <v>122</v>
      </c>
      <c r="Q94" s="6">
        <v>0</v>
      </c>
      <c r="R94" s="6">
        <v>72</v>
      </c>
      <c r="S94" s="5"/>
      <c r="T94" s="7">
        <v>4500</v>
      </c>
      <c r="U94" s="7">
        <v>12179.4</v>
      </c>
      <c r="V94" s="7">
        <v>0</v>
      </c>
      <c r="W94" s="7">
        <v>12179.4</v>
      </c>
      <c r="X94" s="7">
        <v>0</v>
      </c>
      <c r="Y94" s="7">
        <v>7679.4</v>
      </c>
    </row>
    <row r="95" spans="1:25" ht="51" x14ac:dyDescent="0.2">
      <c r="A95" s="5" t="s">
        <v>228</v>
      </c>
      <c r="B95" s="5" t="s">
        <v>125</v>
      </c>
      <c r="C95" s="5" t="s">
        <v>229</v>
      </c>
      <c r="D95" s="5" t="s">
        <v>125</v>
      </c>
      <c r="E95" s="5" t="s">
        <v>88</v>
      </c>
      <c r="F95" s="5" t="s">
        <v>25</v>
      </c>
      <c r="G95" s="5" t="s">
        <v>89</v>
      </c>
      <c r="H95" s="5"/>
      <c r="I95" s="6">
        <v>0</v>
      </c>
      <c r="J95" s="6">
        <v>2</v>
      </c>
      <c r="K95" s="6">
        <v>0</v>
      </c>
      <c r="L95" s="6">
        <v>-2</v>
      </c>
      <c r="M95" s="5"/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5"/>
      <c r="T95" s="7">
        <v>14272.23</v>
      </c>
      <c r="U95" s="7">
        <v>1708.2</v>
      </c>
      <c r="V95" s="7">
        <v>0</v>
      </c>
      <c r="W95" s="7">
        <v>1708.2</v>
      </c>
      <c r="X95" s="7">
        <v>0</v>
      </c>
      <c r="Y95" s="7">
        <v>-12564.03</v>
      </c>
    </row>
    <row r="96" spans="1:25" ht="51" x14ac:dyDescent="0.2">
      <c r="A96" s="5" t="s">
        <v>230</v>
      </c>
      <c r="B96" s="5" t="s">
        <v>125</v>
      </c>
      <c r="C96" s="5" t="s">
        <v>231</v>
      </c>
      <c r="D96" s="5" t="s">
        <v>125</v>
      </c>
      <c r="E96" s="5" t="s">
        <v>88</v>
      </c>
      <c r="F96" s="5" t="s">
        <v>18</v>
      </c>
      <c r="G96" s="5" t="s">
        <v>89</v>
      </c>
      <c r="H96" s="5"/>
      <c r="I96" s="6">
        <v>0</v>
      </c>
      <c r="J96" s="6">
        <v>0</v>
      </c>
      <c r="K96" s="6">
        <v>0</v>
      </c>
      <c r="L96" s="6">
        <v>0</v>
      </c>
      <c r="M96" s="5"/>
      <c r="N96" s="6">
        <v>68</v>
      </c>
      <c r="O96" s="6">
        <v>421</v>
      </c>
      <c r="P96" s="6">
        <v>444</v>
      </c>
      <c r="Q96" s="6">
        <v>23</v>
      </c>
      <c r="R96" s="6">
        <v>376</v>
      </c>
      <c r="S96" s="5"/>
      <c r="T96" s="7">
        <v>6120</v>
      </c>
      <c r="U96" s="7">
        <v>40533.949999999997</v>
      </c>
      <c r="V96" s="7">
        <v>0</v>
      </c>
      <c r="W96" s="7">
        <v>42990.59</v>
      </c>
      <c r="X96" s="7">
        <v>2456.64</v>
      </c>
      <c r="Y96" s="7">
        <v>36870.589999999997</v>
      </c>
    </row>
    <row r="97" spans="1:25" ht="51" x14ac:dyDescent="0.2">
      <c r="A97" s="5" t="s">
        <v>230</v>
      </c>
      <c r="B97" s="5" t="s">
        <v>125</v>
      </c>
      <c r="C97" s="5" t="s">
        <v>231</v>
      </c>
      <c r="D97" s="5" t="s">
        <v>125</v>
      </c>
      <c r="E97" s="5" t="s">
        <v>88</v>
      </c>
      <c r="F97" s="5" t="s">
        <v>25</v>
      </c>
      <c r="G97" s="5" t="s">
        <v>89</v>
      </c>
      <c r="H97" s="5"/>
      <c r="I97" s="6">
        <v>0</v>
      </c>
      <c r="J97" s="6">
        <v>16</v>
      </c>
      <c r="K97" s="6">
        <v>0</v>
      </c>
      <c r="L97" s="6">
        <v>-16</v>
      </c>
      <c r="M97" s="5"/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5"/>
      <c r="T97" s="7">
        <v>52231.5</v>
      </c>
      <c r="U97" s="7">
        <v>54763.43</v>
      </c>
      <c r="V97" s="7">
        <v>0</v>
      </c>
      <c r="W97" s="7">
        <v>54632.03</v>
      </c>
      <c r="X97" s="7">
        <v>-131.4</v>
      </c>
      <c r="Y97" s="7">
        <v>2400.5300000000002</v>
      </c>
    </row>
    <row r="98" spans="1:25" ht="51" x14ac:dyDescent="0.2">
      <c r="A98" s="5" t="s">
        <v>232</v>
      </c>
      <c r="B98" s="5" t="s">
        <v>125</v>
      </c>
      <c r="C98" s="5" t="s">
        <v>233</v>
      </c>
      <c r="D98" s="5" t="s">
        <v>125</v>
      </c>
      <c r="E98" s="5" t="s">
        <v>88</v>
      </c>
      <c r="F98" s="5" t="s">
        <v>18</v>
      </c>
      <c r="G98" s="5" t="s">
        <v>89</v>
      </c>
      <c r="H98" s="5"/>
      <c r="I98" s="6">
        <v>0</v>
      </c>
      <c r="J98" s="6">
        <v>0</v>
      </c>
      <c r="K98" s="6">
        <v>0</v>
      </c>
      <c r="L98" s="6">
        <v>0</v>
      </c>
      <c r="M98" s="5"/>
      <c r="N98" s="6">
        <v>17</v>
      </c>
      <c r="O98" s="6">
        <v>68</v>
      </c>
      <c r="P98" s="6">
        <v>68</v>
      </c>
      <c r="Q98" s="6">
        <v>0</v>
      </c>
      <c r="R98" s="6">
        <v>51</v>
      </c>
      <c r="S98" s="5"/>
      <c r="T98" s="7">
        <v>1530</v>
      </c>
      <c r="U98" s="7">
        <v>6806.29</v>
      </c>
      <c r="V98" s="7">
        <v>0</v>
      </c>
      <c r="W98" s="7">
        <v>6806.29</v>
      </c>
      <c r="X98" s="7">
        <v>0</v>
      </c>
      <c r="Y98" s="7">
        <v>5276.29</v>
      </c>
    </row>
    <row r="99" spans="1:25" ht="51" x14ac:dyDescent="0.2">
      <c r="A99" s="5" t="s">
        <v>232</v>
      </c>
      <c r="B99" s="5" t="s">
        <v>125</v>
      </c>
      <c r="C99" s="5" t="s">
        <v>233</v>
      </c>
      <c r="D99" s="5" t="s">
        <v>125</v>
      </c>
      <c r="E99" s="5" t="s">
        <v>88</v>
      </c>
      <c r="F99" s="5" t="s">
        <v>25</v>
      </c>
      <c r="G99" s="5" t="s">
        <v>89</v>
      </c>
      <c r="H99" s="5"/>
      <c r="I99" s="6">
        <v>0</v>
      </c>
      <c r="J99" s="6">
        <v>0</v>
      </c>
      <c r="K99" s="6">
        <v>0</v>
      </c>
      <c r="L99" s="6">
        <v>0</v>
      </c>
      <c r="M99" s="5"/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5"/>
      <c r="T99" s="7">
        <v>23965.17</v>
      </c>
      <c r="U99" s="7">
        <v>0</v>
      </c>
      <c r="V99" s="7">
        <v>0</v>
      </c>
      <c r="W99" s="7">
        <v>0</v>
      </c>
      <c r="X99" s="7">
        <v>0</v>
      </c>
      <c r="Y99" s="7">
        <v>-23965.17</v>
      </c>
    </row>
    <row r="100" spans="1:25" ht="51" x14ac:dyDescent="0.2">
      <c r="A100" s="5" t="s">
        <v>234</v>
      </c>
      <c r="B100" s="5" t="s">
        <v>125</v>
      </c>
      <c r="C100" s="5" t="s">
        <v>235</v>
      </c>
      <c r="D100" s="5" t="s">
        <v>125</v>
      </c>
      <c r="E100" s="5" t="s">
        <v>88</v>
      </c>
      <c r="F100" s="5" t="s">
        <v>18</v>
      </c>
      <c r="G100" s="5" t="s">
        <v>89</v>
      </c>
      <c r="H100" s="5"/>
      <c r="I100" s="6">
        <v>0</v>
      </c>
      <c r="J100" s="6">
        <v>0</v>
      </c>
      <c r="K100" s="6">
        <v>0</v>
      </c>
      <c r="L100" s="6">
        <v>0</v>
      </c>
      <c r="M100" s="5"/>
      <c r="N100" s="6">
        <v>3</v>
      </c>
      <c r="O100" s="6">
        <v>29</v>
      </c>
      <c r="P100" s="6">
        <v>29</v>
      </c>
      <c r="Q100" s="6">
        <v>0</v>
      </c>
      <c r="R100" s="6">
        <v>26</v>
      </c>
      <c r="S100" s="5"/>
      <c r="T100" s="7">
        <v>270</v>
      </c>
      <c r="U100" s="7">
        <v>2264.04</v>
      </c>
      <c r="V100" s="7">
        <v>0</v>
      </c>
      <c r="W100" s="7">
        <v>2264.04</v>
      </c>
      <c r="X100" s="7">
        <v>0</v>
      </c>
      <c r="Y100" s="7">
        <v>1994.04</v>
      </c>
    </row>
    <row r="101" spans="1:25" ht="51" x14ac:dyDescent="0.2">
      <c r="A101" s="5" t="s">
        <v>234</v>
      </c>
      <c r="B101" s="5" t="s">
        <v>125</v>
      </c>
      <c r="C101" s="5" t="s">
        <v>235</v>
      </c>
      <c r="D101" s="5" t="s">
        <v>125</v>
      </c>
      <c r="E101" s="5" t="s">
        <v>88</v>
      </c>
      <c r="F101" s="5" t="s">
        <v>25</v>
      </c>
      <c r="G101" s="5" t="s">
        <v>89</v>
      </c>
      <c r="H101" s="5"/>
      <c r="I101" s="6">
        <v>0</v>
      </c>
      <c r="J101" s="6">
        <v>1</v>
      </c>
      <c r="K101" s="6">
        <v>0</v>
      </c>
      <c r="L101" s="6">
        <v>-1</v>
      </c>
      <c r="M101" s="5"/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5"/>
      <c r="T101" s="7">
        <v>6977.34</v>
      </c>
      <c r="U101" s="7">
        <v>3932.45</v>
      </c>
      <c r="V101" s="7">
        <v>0</v>
      </c>
      <c r="W101" s="7">
        <v>3932.45</v>
      </c>
      <c r="X101" s="7">
        <v>0</v>
      </c>
      <c r="Y101" s="7">
        <v>-3044.89</v>
      </c>
    </row>
    <row r="102" spans="1:25" ht="51" x14ac:dyDescent="0.2">
      <c r="A102" s="5" t="s">
        <v>236</v>
      </c>
      <c r="B102" s="5" t="s">
        <v>125</v>
      </c>
      <c r="C102" s="5" t="s">
        <v>237</v>
      </c>
      <c r="D102" s="5" t="s">
        <v>125</v>
      </c>
      <c r="E102" s="5" t="s">
        <v>88</v>
      </c>
      <c r="F102" s="5" t="s">
        <v>18</v>
      </c>
      <c r="G102" s="5" t="s">
        <v>89</v>
      </c>
      <c r="H102" s="5"/>
      <c r="I102" s="6">
        <v>0</v>
      </c>
      <c r="J102" s="6">
        <v>0</v>
      </c>
      <c r="K102" s="6">
        <v>0</v>
      </c>
      <c r="L102" s="6">
        <v>0</v>
      </c>
      <c r="M102" s="5"/>
      <c r="N102" s="6">
        <v>110</v>
      </c>
      <c r="O102" s="6">
        <v>329</v>
      </c>
      <c r="P102" s="6">
        <v>345</v>
      </c>
      <c r="Q102" s="6">
        <v>16</v>
      </c>
      <c r="R102" s="6">
        <v>235</v>
      </c>
      <c r="S102" s="5"/>
      <c r="T102" s="7">
        <v>9900</v>
      </c>
      <c r="U102" s="7">
        <v>28379.79</v>
      </c>
      <c r="V102" s="7">
        <v>0</v>
      </c>
      <c r="W102" s="7">
        <v>30059.79</v>
      </c>
      <c r="X102" s="7">
        <v>1680</v>
      </c>
      <c r="Y102" s="7">
        <v>20159.79</v>
      </c>
    </row>
    <row r="103" spans="1:25" ht="51" x14ac:dyDescent="0.2">
      <c r="A103" s="5" t="s">
        <v>236</v>
      </c>
      <c r="B103" s="5" t="s">
        <v>125</v>
      </c>
      <c r="C103" s="5" t="s">
        <v>237</v>
      </c>
      <c r="D103" s="5" t="s">
        <v>125</v>
      </c>
      <c r="E103" s="5" t="s">
        <v>88</v>
      </c>
      <c r="F103" s="5" t="s">
        <v>25</v>
      </c>
      <c r="G103" s="5" t="s">
        <v>89</v>
      </c>
      <c r="H103" s="5"/>
      <c r="I103" s="6">
        <v>0</v>
      </c>
      <c r="J103" s="6">
        <v>16</v>
      </c>
      <c r="K103" s="6">
        <v>0</v>
      </c>
      <c r="L103" s="6">
        <v>-16</v>
      </c>
      <c r="M103" s="5"/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5"/>
      <c r="T103" s="7">
        <v>49926.53</v>
      </c>
      <c r="U103" s="7">
        <v>32453.55</v>
      </c>
      <c r="V103" s="7">
        <v>0</v>
      </c>
      <c r="W103" s="7">
        <v>32453.55</v>
      </c>
      <c r="X103" s="7">
        <v>0</v>
      </c>
      <c r="Y103" s="7">
        <v>-17472.98</v>
      </c>
    </row>
    <row r="104" spans="1:25" ht="51" x14ac:dyDescent="0.2">
      <c r="A104" s="5" t="s">
        <v>238</v>
      </c>
      <c r="B104" s="5" t="s">
        <v>125</v>
      </c>
      <c r="C104" s="5" t="s">
        <v>239</v>
      </c>
      <c r="D104" s="5" t="s">
        <v>125</v>
      </c>
      <c r="E104" s="5" t="s">
        <v>88</v>
      </c>
      <c r="F104" s="5" t="s">
        <v>18</v>
      </c>
      <c r="G104" s="5" t="s">
        <v>89</v>
      </c>
      <c r="H104" s="5"/>
      <c r="I104" s="6">
        <v>0</v>
      </c>
      <c r="J104" s="6">
        <v>0</v>
      </c>
      <c r="K104" s="6">
        <v>0</v>
      </c>
      <c r="L104" s="6">
        <v>0</v>
      </c>
      <c r="M104" s="5"/>
      <c r="N104" s="6">
        <v>67</v>
      </c>
      <c r="O104" s="6">
        <v>285</v>
      </c>
      <c r="P104" s="6">
        <v>293</v>
      </c>
      <c r="Q104" s="6">
        <v>8</v>
      </c>
      <c r="R104" s="6">
        <v>226</v>
      </c>
      <c r="S104" s="5"/>
      <c r="T104" s="7">
        <v>6030</v>
      </c>
      <c r="U104" s="7">
        <v>24882.68</v>
      </c>
      <c r="V104" s="7">
        <v>0</v>
      </c>
      <c r="W104" s="7">
        <v>25722.68</v>
      </c>
      <c r="X104" s="7">
        <v>840</v>
      </c>
      <c r="Y104" s="7">
        <v>19692.68</v>
      </c>
    </row>
    <row r="105" spans="1:25" ht="51" x14ac:dyDescent="0.2">
      <c r="A105" s="5" t="s">
        <v>238</v>
      </c>
      <c r="B105" s="5" t="s">
        <v>125</v>
      </c>
      <c r="C105" s="5" t="s">
        <v>239</v>
      </c>
      <c r="D105" s="5" t="s">
        <v>125</v>
      </c>
      <c r="E105" s="5" t="s">
        <v>88</v>
      </c>
      <c r="F105" s="5" t="s">
        <v>25</v>
      </c>
      <c r="G105" s="5" t="s">
        <v>89</v>
      </c>
      <c r="H105" s="5"/>
      <c r="I105" s="6">
        <v>0</v>
      </c>
      <c r="J105" s="6">
        <v>2</v>
      </c>
      <c r="K105" s="6">
        <v>0</v>
      </c>
      <c r="L105" s="6">
        <v>-2</v>
      </c>
      <c r="M105" s="5"/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5"/>
      <c r="T105" s="7">
        <v>30412.53</v>
      </c>
      <c r="U105" s="7">
        <v>21121.08</v>
      </c>
      <c r="V105" s="7">
        <v>4907.29</v>
      </c>
      <c r="W105" s="7">
        <v>26028.39</v>
      </c>
      <c r="X105" s="7">
        <v>4907.3100000000004</v>
      </c>
      <c r="Y105" s="7">
        <v>-4384.1400000000003</v>
      </c>
    </row>
    <row r="106" spans="1:25" ht="63.75" x14ac:dyDescent="0.2">
      <c r="A106" s="5" t="s">
        <v>240</v>
      </c>
      <c r="B106" s="5" t="s">
        <v>241</v>
      </c>
      <c r="C106" s="5" t="s">
        <v>225</v>
      </c>
      <c r="D106" s="5" t="s">
        <v>125</v>
      </c>
      <c r="E106" s="5" t="s">
        <v>88</v>
      </c>
      <c r="F106" s="5" t="s">
        <v>18</v>
      </c>
      <c r="G106" s="5" t="s">
        <v>139</v>
      </c>
      <c r="H106" s="5"/>
      <c r="I106" s="6">
        <v>0</v>
      </c>
      <c r="J106" s="6">
        <v>0</v>
      </c>
      <c r="K106" s="6">
        <v>0</v>
      </c>
      <c r="L106" s="6">
        <v>0</v>
      </c>
      <c r="M106" s="5"/>
      <c r="N106" s="6">
        <v>670</v>
      </c>
      <c r="O106" s="6">
        <v>928</v>
      </c>
      <c r="P106" s="6">
        <v>928</v>
      </c>
      <c r="Q106" s="6">
        <v>0</v>
      </c>
      <c r="R106" s="6">
        <v>258</v>
      </c>
      <c r="S106" s="5"/>
      <c r="T106" s="7">
        <v>60300</v>
      </c>
      <c r="U106" s="7">
        <v>78853.95</v>
      </c>
      <c r="V106" s="7">
        <v>0</v>
      </c>
      <c r="W106" s="7">
        <v>78853.95</v>
      </c>
      <c r="X106" s="7">
        <v>0</v>
      </c>
      <c r="Y106" s="7">
        <v>18553.95</v>
      </c>
    </row>
    <row r="107" spans="1:25" ht="63.75" x14ac:dyDescent="0.2">
      <c r="A107" s="5" t="s">
        <v>240</v>
      </c>
      <c r="B107" s="5" t="s">
        <v>241</v>
      </c>
      <c r="C107" s="5" t="s">
        <v>225</v>
      </c>
      <c r="D107" s="5" t="s">
        <v>125</v>
      </c>
      <c r="E107" s="5" t="s">
        <v>88</v>
      </c>
      <c r="F107" s="5" t="s">
        <v>25</v>
      </c>
      <c r="G107" s="5" t="s">
        <v>139</v>
      </c>
      <c r="H107" s="5"/>
      <c r="I107" s="6">
        <v>0</v>
      </c>
      <c r="J107" s="6">
        <v>0</v>
      </c>
      <c r="K107" s="6">
        <v>0</v>
      </c>
      <c r="L107" s="6">
        <v>0</v>
      </c>
      <c r="M107" s="5"/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5"/>
      <c r="T107" s="7">
        <v>325</v>
      </c>
      <c r="U107" s="7">
        <v>0</v>
      </c>
      <c r="V107" s="7">
        <v>0</v>
      </c>
      <c r="W107" s="7">
        <v>0</v>
      </c>
      <c r="X107" s="7">
        <v>0</v>
      </c>
      <c r="Y107" s="7">
        <v>-325</v>
      </c>
    </row>
    <row r="108" spans="1:25" ht="63.75" x14ac:dyDescent="0.2">
      <c r="A108" s="5" t="s">
        <v>242</v>
      </c>
      <c r="B108" s="5" t="s">
        <v>241</v>
      </c>
      <c r="C108" s="5" t="s">
        <v>122</v>
      </c>
      <c r="D108" s="5" t="s">
        <v>125</v>
      </c>
      <c r="E108" s="5" t="s">
        <v>88</v>
      </c>
      <c r="F108" s="5" t="s">
        <v>18</v>
      </c>
      <c r="G108" s="5" t="s">
        <v>139</v>
      </c>
      <c r="H108" s="5"/>
      <c r="I108" s="6">
        <v>0</v>
      </c>
      <c r="J108" s="6">
        <v>0</v>
      </c>
      <c r="K108" s="6">
        <v>0</v>
      </c>
      <c r="L108" s="6">
        <v>0</v>
      </c>
      <c r="M108" s="5"/>
      <c r="N108" s="6">
        <v>8</v>
      </c>
      <c r="O108" s="6">
        <v>25</v>
      </c>
      <c r="P108" s="6">
        <v>42</v>
      </c>
      <c r="Q108" s="6">
        <v>17</v>
      </c>
      <c r="R108" s="6">
        <v>34</v>
      </c>
      <c r="S108" s="5"/>
      <c r="T108" s="7">
        <v>720</v>
      </c>
      <c r="U108" s="7">
        <v>2335.63</v>
      </c>
      <c r="V108" s="7">
        <v>0</v>
      </c>
      <c r="W108" s="7">
        <v>4120.63</v>
      </c>
      <c r="X108" s="7">
        <v>1785</v>
      </c>
      <c r="Y108" s="7">
        <v>3400.63</v>
      </c>
    </row>
    <row r="109" spans="1:25" ht="63.75" x14ac:dyDescent="0.2">
      <c r="A109" s="5" t="s">
        <v>242</v>
      </c>
      <c r="B109" s="5" t="s">
        <v>241</v>
      </c>
      <c r="C109" s="5" t="s">
        <v>122</v>
      </c>
      <c r="D109" s="5" t="s">
        <v>125</v>
      </c>
      <c r="E109" s="5" t="s">
        <v>88</v>
      </c>
      <c r="F109" s="5" t="s">
        <v>25</v>
      </c>
      <c r="G109" s="5" t="s">
        <v>139</v>
      </c>
      <c r="H109" s="5"/>
      <c r="I109" s="6">
        <v>0</v>
      </c>
      <c r="J109" s="6">
        <v>0</v>
      </c>
      <c r="K109" s="6">
        <v>0</v>
      </c>
      <c r="L109" s="6">
        <v>0</v>
      </c>
      <c r="M109" s="5"/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5"/>
      <c r="T109" s="7">
        <v>0</v>
      </c>
      <c r="U109" s="7">
        <v>0</v>
      </c>
      <c r="V109" s="7">
        <v>0</v>
      </c>
      <c r="W109" s="7">
        <v>1135.3499999999999</v>
      </c>
      <c r="X109" s="7">
        <v>1135.3499999999999</v>
      </c>
      <c r="Y109" s="7">
        <v>1135.3499999999999</v>
      </c>
    </row>
    <row r="110" spans="1:25" ht="63.75" x14ac:dyDescent="0.2">
      <c r="A110" s="5" t="s">
        <v>243</v>
      </c>
      <c r="B110" s="5" t="s">
        <v>241</v>
      </c>
      <c r="C110" s="5" t="s">
        <v>227</v>
      </c>
      <c r="D110" s="5" t="s">
        <v>125</v>
      </c>
      <c r="E110" s="5" t="s">
        <v>88</v>
      </c>
      <c r="F110" s="5" t="s">
        <v>18</v>
      </c>
      <c r="G110" s="5" t="s">
        <v>139</v>
      </c>
      <c r="H110" s="5"/>
      <c r="I110" s="6">
        <v>0</v>
      </c>
      <c r="J110" s="6">
        <v>0</v>
      </c>
      <c r="K110" s="6">
        <v>0</v>
      </c>
      <c r="L110" s="6">
        <v>0</v>
      </c>
      <c r="M110" s="5"/>
      <c r="N110" s="6">
        <v>77</v>
      </c>
      <c r="O110" s="6">
        <v>250</v>
      </c>
      <c r="P110" s="6">
        <v>250</v>
      </c>
      <c r="Q110" s="6">
        <v>0</v>
      </c>
      <c r="R110" s="6">
        <v>173</v>
      </c>
      <c r="S110" s="5"/>
      <c r="T110" s="7">
        <v>6930</v>
      </c>
      <c r="U110" s="7">
        <v>21716.42</v>
      </c>
      <c r="V110" s="7">
        <v>0</v>
      </c>
      <c r="W110" s="7">
        <v>21716.42</v>
      </c>
      <c r="X110" s="7">
        <v>0</v>
      </c>
      <c r="Y110" s="7">
        <v>14786.42</v>
      </c>
    </row>
    <row r="111" spans="1:25" ht="63.75" x14ac:dyDescent="0.2">
      <c r="A111" s="5" t="s">
        <v>244</v>
      </c>
      <c r="B111" s="5" t="s">
        <v>241</v>
      </c>
      <c r="C111" s="5" t="s">
        <v>245</v>
      </c>
      <c r="D111" s="5" t="s">
        <v>125</v>
      </c>
      <c r="E111" s="5" t="s">
        <v>88</v>
      </c>
      <c r="F111" s="5" t="s">
        <v>18</v>
      </c>
      <c r="G111" s="5" t="s">
        <v>139</v>
      </c>
      <c r="H111" s="5"/>
      <c r="I111" s="6">
        <v>0</v>
      </c>
      <c r="J111" s="6">
        <v>0</v>
      </c>
      <c r="K111" s="6">
        <v>0</v>
      </c>
      <c r="L111" s="6">
        <v>0</v>
      </c>
      <c r="M111" s="5"/>
      <c r="N111" s="6">
        <v>59</v>
      </c>
      <c r="O111" s="6">
        <v>63</v>
      </c>
      <c r="P111" s="6">
        <v>63</v>
      </c>
      <c r="Q111" s="6">
        <v>0</v>
      </c>
      <c r="R111" s="6">
        <v>4</v>
      </c>
      <c r="S111" s="5"/>
      <c r="T111" s="7">
        <v>5310</v>
      </c>
      <c r="U111" s="7">
        <v>4786.84</v>
      </c>
      <c r="V111" s="7">
        <v>0</v>
      </c>
      <c r="W111" s="7">
        <v>4786.84</v>
      </c>
      <c r="X111" s="7">
        <v>0</v>
      </c>
      <c r="Y111" s="7">
        <v>-523.16</v>
      </c>
    </row>
    <row r="112" spans="1:25" ht="63.75" x14ac:dyDescent="0.2">
      <c r="A112" s="5" t="s">
        <v>246</v>
      </c>
      <c r="B112" s="5" t="s">
        <v>241</v>
      </c>
      <c r="C112" s="5" t="s">
        <v>229</v>
      </c>
      <c r="D112" s="5" t="s">
        <v>125</v>
      </c>
      <c r="E112" s="5" t="s">
        <v>88</v>
      </c>
      <c r="F112" s="5" t="s">
        <v>18</v>
      </c>
      <c r="G112" s="5" t="s">
        <v>139</v>
      </c>
      <c r="H112" s="5"/>
      <c r="I112" s="6">
        <v>0</v>
      </c>
      <c r="J112" s="6">
        <v>0</v>
      </c>
      <c r="K112" s="6">
        <v>0</v>
      </c>
      <c r="L112" s="6">
        <v>0</v>
      </c>
      <c r="M112" s="5"/>
      <c r="N112" s="6">
        <v>100</v>
      </c>
      <c r="O112" s="6">
        <v>214</v>
      </c>
      <c r="P112" s="6">
        <v>214</v>
      </c>
      <c r="Q112" s="6">
        <v>0</v>
      </c>
      <c r="R112" s="6">
        <v>114</v>
      </c>
      <c r="S112" s="5"/>
      <c r="T112" s="7">
        <v>9000</v>
      </c>
      <c r="U112" s="7">
        <v>18076.419999999998</v>
      </c>
      <c r="V112" s="7">
        <v>0</v>
      </c>
      <c r="W112" s="7">
        <v>18076.419999999998</v>
      </c>
      <c r="X112" s="7">
        <v>0</v>
      </c>
      <c r="Y112" s="7">
        <v>9076.42</v>
      </c>
    </row>
    <row r="113" spans="1:25" ht="63.75" x14ac:dyDescent="0.2">
      <c r="A113" s="5" t="s">
        <v>247</v>
      </c>
      <c r="B113" s="5" t="s">
        <v>241</v>
      </c>
      <c r="C113" s="5" t="s">
        <v>231</v>
      </c>
      <c r="D113" s="5" t="s">
        <v>125</v>
      </c>
      <c r="E113" s="5" t="s">
        <v>88</v>
      </c>
      <c r="F113" s="5" t="s">
        <v>18</v>
      </c>
      <c r="G113" s="5" t="s">
        <v>139</v>
      </c>
      <c r="H113" s="5"/>
      <c r="I113" s="6">
        <v>0</v>
      </c>
      <c r="J113" s="6">
        <v>0</v>
      </c>
      <c r="K113" s="6">
        <v>0</v>
      </c>
      <c r="L113" s="6">
        <v>0</v>
      </c>
      <c r="M113" s="5"/>
      <c r="N113" s="6">
        <v>36</v>
      </c>
      <c r="O113" s="6">
        <v>366</v>
      </c>
      <c r="P113" s="6">
        <v>366</v>
      </c>
      <c r="Q113" s="6">
        <v>0</v>
      </c>
      <c r="R113" s="6">
        <v>330</v>
      </c>
      <c r="S113" s="5"/>
      <c r="T113" s="7">
        <v>3240</v>
      </c>
      <c r="U113" s="7">
        <v>32386.38</v>
      </c>
      <c r="V113" s="7">
        <v>0</v>
      </c>
      <c r="W113" s="7">
        <v>32386.38</v>
      </c>
      <c r="X113" s="7">
        <v>0</v>
      </c>
      <c r="Y113" s="7">
        <v>29146.38</v>
      </c>
    </row>
    <row r="114" spans="1:25" ht="63.75" x14ac:dyDescent="0.2">
      <c r="A114" s="5" t="s">
        <v>248</v>
      </c>
      <c r="B114" s="5" t="s">
        <v>241</v>
      </c>
      <c r="C114" s="5" t="s">
        <v>233</v>
      </c>
      <c r="D114" s="5" t="s">
        <v>125</v>
      </c>
      <c r="E114" s="5" t="s">
        <v>88</v>
      </c>
      <c r="F114" s="5" t="s">
        <v>18</v>
      </c>
      <c r="G114" s="5" t="s">
        <v>139</v>
      </c>
      <c r="H114" s="5"/>
      <c r="I114" s="6">
        <v>0</v>
      </c>
      <c r="J114" s="6">
        <v>0</v>
      </c>
      <c r="K114" s="6">
        <v>0</v>
      </c>
      <c r="L114" s="6">
        <v>0</v>
      </c>
      <c r="M114" s="5"/>
      <c r="N114" s="6">
        <v>32</v>
      </c>
      <c r="O114" s="6">
        <v>0</v>
      </c>
      <c r="P114" s="6">
        <v>0</v>
      </c>
      <c r="Q114" s="6">
        <v>0</v>
      </c>
      <c r="R114" s="6">
        <v>-32</v>
      </c>
      <c r="S114" s="5"/>
      <c r="T114" s="7">
        <v>2880</v>
      </c>
      <c r="U114" s="7">
        <v>0</v>
      </c>
      <c r="V114" s="7">
        <v>0</v>
      </c>
      <c r="W114" s="7">
        <v>0</v>
      </c>
      <c r="X114" s="7">
        <v>0</v>
      </c>
      <c r="Y114" s="7">
        <v>-2880</v>
      </c>
    </row>
    <row r="115" spans="1:25" ht="63.75" x14ac:dyDescent="0.2">
      <c r="A115" s="5" t="s">
        <v>249</v>
      </c>
      <c r="B115" s="5" t="s">
        <v>241</v>
      </c>
      <c r="C115" s="5" t="s">
        <v>235</v>
      </c>
      <c r="D115" s="5" t="s">
        <v>125</v>
      </c>
      <c r="E115" s="5" t="s">
        <v>88</v>
      </c>
      <c r="F115" s="5" t="s">
        <v>18</v>
      </c>
      <c r="G115" s="5" t="s">
        <v>139</v>
      </c>
      <c r="H115" s="5"/>
      <c r="I115" s="6">
        <v>0</v>
      </c>
      <c r="J115" s="6">
        <v>0</v>
      </c>
      <c r="K115" s="6">
        <v>0</v>
      </c>
      <c r="L115" s="6">
        <v>0</v>
      </c>
      <c r="M115" s="5"/>
      <c r="N115" s="6">
        <v>32</v>
      </c>
      <c r="O115" s="6">
        <v>40</v>
      </c>
      <c r="P115" s="6">
        <v>40</v>
      </c>
      <c r="Q115" s="6">
        <v>0</v>
      </c>
      <c r="R115" s="6">
        <v>8</v>
      </c>
      <c r="S115" s="5"/>
      <c r="T115" s="7">
        <v>2880</v>
      </c>
      <c r="U115" s="7">
        <v>2476.37</v>
      </c>
      <c r="V115" s="7">
        <v>0</v>
      </c>
      <c r="W115" s="7">
        <v>2476.37</v>
      </c>
      <c r="X115" s="7">
        <v>0</v>
      </c>
      <c r="Y115" s="7">
        <v>-403.63</v>
      </c>
    </row>
    <row r="116" spans="1:25" ht="63.75" x14ac:dyDescent="0.2">
      <c r="A116" s="5" t="s">
        <v>250</v>
      </c>
      <c r="B116" s="5" t="s">
        <v>241</v>
      </c>
      <c r="C116" s="5" t="s">
        <v>237</v>
      </c>
      <c r="D116" s="5" t="s">
        <v>125</v>
      </c>
      <c r="E116" s="5" t="s">
        <v>88</v>
      </c>
      <c r="F116" s="5" t="s">
        <v>18</v>
      </c>
      <c r="G116" s="5" t="s">
        <v>139</v>
      </c>
      <c r="H116" s="5"/>
      <c r="I116" s="6">
        <v>0</v>
      </c>
      <c r="J116" s="6">
        <v>0</v>
      </c>
      <c r="K116" s="6">
        <v>0</v>
      </c>
      <c r="L116" s="6">
        <v>0</v>
      </c>
      <c r="M116" s="5"/>
      <c r="N116" s="6">
        <v>682</v>
      </c>
      <c r="O116" s="6">
        <v>1197</v>
      </c>
      <c r="P116" s="6">
        <v>1197</v>
      </c>
      <c r="Q116" s="6">
        <v>0</v>
      </c>
      <c r="R116" s="6">
        <v>515</v>
      </c>
      <c r="S116" s="5"/>
      <c r="T116" s="7">
        <v>61380</v>
      </c>
      <c r="U116" s="7">
        <v>105463.92</v>
      </c>
      <c r="V116" s="7">
        <v>0</v>
      </c>
      <c r="W116" s="7">
        <v>105463.92</v>
      </c>
      <c r="X116" s="7">
        <v>0</v>
      </c>
      <c r="Y116" s="7">
        <v>44083.92</v>
      </c>
    </row>
    <row r="117" spans="1:25" ht="63.75" x14ac:dyDescent="0.2">
      <c r="A117" s="5" t="s">
        <v>251</v>
      </c>
      <c r="B117" s="5" t="s">
        <v>241</v>
      </c>
      <c r="C117" s="5" t="s">
        <v>239</v>
      </c>
      <c r="D117" s="5" t="s">
        <v>125</v>
      </c>
      <c r="E117" s="5" t="s">
        <v>88</v>
      </c>
      <c r="F117" s="5" t="s">
        <v>18</v>
      </c>
      <c r="G117" s="5" t="s">
        <v>139</v>
      </c>
      <c r="H117" s="5"/>
      <c r="I117" s="6">
        <v>0</v>
      </c>
      <c r="J117" s="6">
        <v>0</v>
      </c>
      <c r="K117" s="6">
        <v>0</v>
      </c>
      <c r="L117" s="6">
        <v>0</v>
      </c>
      <c r="M117" s="5"/>
      <c r="N117" s="6">
        <v>36</v>
      </c>
      <c r="O117" s="6">
        <v>252</v>
      </c>
      <c r="P117" s="6">
        <v>252</v>
      </c>
      <c r="Q117" s="6">
        <v>0</v>
      </c>
      <c r="R117" s="6">
        <v>216</v>
      </c>
      <c r="S117" s="5"/>
      <c r="T117" s="7">
        <v>3240</v>
      </c>
      <c r="U117" s="7">
        <v>20289.09</v>
      </c>
      <c r="V117" s="7">
        <v>0</v>
      </c>
      <c r="W117" s="7">
        <v>20289.09</v>
      </c>
      <c r="X117" s="7">
        <v>0</v>
      </c>
      <c r="Y117" s="7">
        <v>17049.09</v>
      </c>
    </row>
    <row r="118" spans="1:25" ht="51" x14ac:dyDescent="0.2">
      <c r="A118" s="5" t="s">
        <v>252</v>
      </c>
      <c r="B118" s="5" t="s">
        <v>253</v>
      </c>
      <c r="C118" s="5" t="s">
        <v>225</v>
      </c>
      <c r="D118" s="5" t="s">
        <v>125</v>
      </c>
      <c r="E118" s="5" t="s">
        <v>88</v>
      </c>
      <c r="F118" s="5" t="s">
        <v>25</v>
      </c>
      <c r="G118" s="5" t="s">
        <v>139</v>
      </c>
      <c r="H118" s="5"/>
      <c r="I118" s="6">
        <v>0</v>
      </c>
      <c r="J118" s="6">
        <v>2</v>
      </c>
      <c r="K118" s="6">
        <v>0</v>
      </c>
      <c r="L118" s="6">
        <v>-2</v>
      </c>
      <c r="M118" s="5"/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5"/>
      <c r="T118" s="7">
        <v>102492</v>
      </c>
      <c r="U118" s="7">
        <v>179032.94</v>
      </c>
      <c r="V118" s="7">
        <v>0</v>
      </c>
      <c r="W118" s="7">
        <v>179045.16</v>
      </c>
      <c r="X118" s="7">
        <v>12.22</v>
      </c>
      <c r="Y118" s="7">
        <v>76553.16</v>
      </c>
    </row>
    <row r="119" spans="1:25" ht="51" x14ac:dyDescent="0.2">
      <c r="A119" s="5" t="s">
        <v>254</v>
      </c>
      <c r="B119" s="5" t="s">
        <v>253</v>
      </c>
      <c r="C119" s="5" t="s">
        <v>227</v>
      </c>
      <c r="D119" s="5" t="s">
        <v>125</v>
      </c>
      <c r="E119" s="5" t="s">
        <v>88</v>
      </c>
      <c r="F119" s="5" t="s">
        <v>25</v>
      </c>
      <c r="G119" s="5" t="s">
        <v>139</v>
      </c>
      <c r="H119" s="5"/>
      <c r="I119" s="6">
        <v>0</v>
      </c>
      <c r="J119" s="6">
        <v>3</v>
      </c>
      <c r="K119" s="6">
        <v>0</v>
      </c>
      <c r="L119" s="6">
        <v>-3</v>
      </c>
      <c r="M119" s="5"/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5"/>
      <c r="T119" s="7">
        <v>45087</v>
      </c>
      <c r="U119" s="7">
        <v>47229.46</v>
      </c>
      <c r="V119" s="7">
        <v>0</v>
      </c>
      <c r="W119" s="7">
        <v>47229.46</v>
      </c>
      <c r="X119" s="7">
        <v>0</v>
      </c>
      <c r="Y119" s="7">
        <v>2142.46</v>
      </c>
    </row>
    <row r="120" spans="1:25" ht="51" x14ac:dyDescent="0.2">
      <c r="A120" s="5" t="s">
        <v>255</v>
      </c>
      <c r="B120" s="5" t="s">
        <v>253</v>
      </c>
      <c r="C120" s="5" t="s">
        <v>245</v>
      </c>
      <c r="D120" s="5" t="s">
        <v>125</v>
      </c>
      <c r="E120" s="5" t="s">
        <v>88</v>
      </c>
      <c r="F120" s="5" t="s">
        <v>25</v>
      </c>
      <c r="G120" s="5" t="s">
        <v>139</v>
      </c>
      <c r="H120" s="5"/>
      <c r="I120" s="6">
        <v>0</v>
      </c>
      <c r="J120" s="6">
        <v>0</v>
      </c>
      <c r="K120" s="6">
        <v>0</v>
      </c>
      <c r="L120" s="6">
        <v>0</v>
      </c>
      <c r="M120" s="5"/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5"/>
      <c r="T120" s="7">
        <v>80554</v>
      </c>
      <c r="U120" s="7">
        <v>49050.53</v>
      </c>
      <c r="V120" s="7">
        <v>0</v>
      </c>
      <c r="W120" s="7">
        <v>49050.53</v>
      </c>
      <c r="X120" s="7">
        <v>0</v>
      </c>
      <c r="Y120" s="7">
        <v>-31503.47</v>
      </c>
    </row>
    <row r="121" spans="1:25" ht="51" x14ac:dyDescent="0.2">
      <c r="A121" s="5" t="s">
        <v>256</v>
      </c>
      <c r="B121" s="5" t="s">
        <v>253</v>
      </c>
      <c r="C121" s="5" t="s">
        <v>229</v>
      </c>
      <c r="D121" s="5" t="s">
        <v>125</v>
      </c>
      <c r="E121" s="5" t="s">
        <v>88</v>
      </c>
      <c r="F121" s="5" t="s">
        <v>25</v>
      </c>
      <c r="G121" s="5" t="s">
        <v>139</v>
      </c>
      <c r="H121" s="5"/>
      <c r="I121" s="6">
        <v>0</v>
      </c>
      <c r="J121" s="6">
        <v>1</v>
      </c>
      <c r="K121" s="6">
        <v>0</v>
      </c>
      <c r="L121" s="6">
        <v>-1</v>
      </c>
      <c r="M121" s="5"/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5"/>
      <c r="T121" s="7">
        <v>44369</v>
      </c>
      <c r="U121" s="7">
        <v>45449.14</v>
      </c>
      <c r="V121" s="7">
        <v>0</v>
      </c>
      <c r="W121" s="7">
        <v>45449.14</v>
      </c>
      <c r="X121" s="7">
        <v>0</v>
      </c>
      <c r="Y121" s="7">
        <v>1080.1400000000001</v>
      </c>
    </row>
    <row r="122" spans="1:25" ht="51" x14ac:dyDescent="0.2">
      <c r="A122" s="5" t="s">
        <v>257</v>
      </c>
      <c r="B122" s="5" t="s">
        <v>253</v>
      </c>
      <c r="C122" s="5" t="s">
        <v>231</v>
      </c>
      <c r="D122" s="5" t="s">
        <v>125</v>
      </c>
      <c r="E122" s="5" t="s">
        <v>88</v>
      </c>
      <c r="F122" s="5" t="s">
        <v>25</v>
      </c>
      <c r="G122" s="5" t="s">
        <v>139</v>
      </c>
      <c r="H122" s="5"/>
      <c r="I122" s="6">
        <v>0</v>
      </c>
      <c r="J122" s="6">
        <v>1</v>
      </c>
      <c r="K122" s="6">
        <v>0</v>
      </c>
      <c r="L122" s="6">
        <v>-1</v>
      </c>
      <c r="M122" s="5"/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5"/>
      <c r="T122" s="7">
        <v>40066</v>
      </c>
      <c r="U122" s="7">
        <v>64799.24</v>
      </c>
      <c r="V122" s="7">
        <v>0</v>
      </c>
      <c r="W122" s="7">
        <v>64799.24</v>
      </c>
      <c r="X122" s="7">
        <v>0</v>
      </c>
      <c r="Y122" s="7">
        <v>24733.24</v>
      </c>
    </row>
    <row r="123" spans="1:25" ht="51" x14ac:dyDescent="0.2">
      <c r="A123" s="5" t="s">
        <v>258</v>
      </c>
      <c r="B123" s="5" t="s">
        <v>253</v>
      </c>
      <c r="C123" s="5" t="s">
        <v>233</v>
      </c>
      <c r="D123" s="5" t="s">
        <v>125</v>
      </c>
      <c r="E123" s="5" t="s">
        <v>88</v>
      </c>
      <c r="F123" s="5" t="s">
        <v>25</v>
      </c>
      <c r="G123" s="5" t="s">
        <v>139</v>
      </c>
      <c r="H123" s="5"/>
      <c r="I123" s="6">
        <v>0</v>
      </c>
      <c r="J123" s="6">
        <v>0</v>
      </c>
      <c r="K123" s="6">
        <v>0</v>
      </c>
      <c r="L123" s="6">
        <v>0</v>
      </c>
      <c r="M123" s="5"/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5"/>
      <c r="T123" s="7">
        <v>9937.1299999999992</v>
      </c>
      <c r="U123" s="7">
        <v>3557.68</v>
      </c>
      <c r="V123" s="7">
        <v>0</v>
      </c>
      <c r="W123" s="7">
        <v>3557.68</v>
      </c>
      <c r="X123" s="7">
        <v>0</v>
      </c>
      <c r="Y123" s="7">
        <v>-6379.45</v>
      </c>
    </row>
    <row r="124" spans="1:25" ht="51" x14ac:dyDescent="0.2">
      <c r="A124" s="5" t="s">
        <v>259</v>
      </c>
      <c r="B124" s="5" t="s">
        <v>253</v>
      </c>
      <c r="C124" s="5" t="s">
        <v>235</v>
      </c>
      <c r="D124" s="5" t="s">
        <v>125</v>
      </c>
      <c r="E124" s="5" t="s">
        <v>88</v>
      </c>
      <c r="F124" s="5" t="s">
        <v>25</v>
      </c>
      <c r="G124" s="5" t="s">
        <v>139</v>
      </c>
      <c r="H124" s="5"/>
      <c r="I124" s="6">
        <v>0</v>
      </c>
      <c r="J124" s="6">
        <v>0</v>
      </c>
      <c r="K124" s="6">
        <v>0</v>
      </c>
      <c r="L124" s="6">
        <v>0</v>
      </c>
      <c r="M124" s="5"/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5"/>
      <c r="T124" s="7">
        <v>9937</v>
      </c>
      <c r="U124" s="7">
        <v>3224.77</v>
      </c>
      <c r="V124" s="7">
        <v>0</v>
      </c>
      <c r="W124" s="7">
        <v>3224.77</v>
      </c>
      <c r="X124" s="7">
        <v>0</v>
      </c>
      <c r="Y124" s="7">
        <v>-6712.23</v>
      </c>
    </row>
    <row r="125" spans="1:25" ht="51" x14ac:dyDescent="0.2">
      <c r="A125" s="5" t="s">
        <v>260</v>
      </c>
      <c r="B125" s="5" t="s">
        <v>253</v>
      </c>
      <c r="C125" s="5" t="s">
        <v>237</v>
      </c>
      <c r="D125" s="5" t="s">
        <v>125</v>
      </c>
      <c r="E125" s="5" t="s">
        <v>88</v>
      </c>
      <c r="F125" s="5" t="s">
        <v>25</v>
      </c>
      <c r="G125" s="5" t="s">
        <v>139</v>
      </c>
      <c r="H125" s="5"/>
      <c r="I125" s="6">
        <v>0</v>
      </c>
      <c r="J125" s="6">
        <v>1</v>
      </c>
      <c r="K125" s="6">
        <v>0</v>
      </c>
      <c r="L125" s="6">
        <v>-1</v>
      </c>
      <c r="M125" s="5"/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5"/>
      <c r="T125" s="7">
        <v>55527</v>
      </c>
      <c r="U125" s="7">
        <v>72692.710000000006</v>
      </c>
      <c r="V125" s="7">
        <v>0</v>
      </c>
      <c r="W125" s="7">
        <v>72692.710000000006</v>
      </c>
      <c r="X125" s="7">
        <v>0</v>
      </c>
      <c r="Y125" s="7">
        <v>17165.71</v>
      </c>
    </row>
    <row r="126" spans="1:25" ht="51" x14ac:dyDescent="0.2">
      <c r="A126" s="5" t="s">
        <v>261</v>
      </c>
      <c r="B126" s="5" t="s">
        <v>253</v>
      </c>
      <c r="C126" s="5" t="s">
        <v>239</v>
      </c>
      <c r="D126" s="5" t="s">
        <v>125</v>
      </c>
      <c r="E126" s="5" t="s">
        <v>88</v>
      </c>
      <c r="F126" s="5" t="s">
        <v>25</v>
      </c>
      <c r="G126" s="5" t="s">
        <v>139</v>
      </c>
      <c r="H126" s="5"/>
      <c r="I126" s="6">
        <v>0</v>
      </c>
      <c r="J126" s="6">
        <v>0</v>
      </c>
      <c r="K126" s="6">
        <v>0</v>
      </c>
      <c r="L126" s="6">
        <v>0</v>
      </c>
      <c r="M126" s="5"/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5"/>
      <c r="T126" s="7">
        <v>40696</v>
      </c>
      <c r="U126" s="7">
        <v>49673.58</v>
      </c>
      <c r="V126" s="7">
        <v>0</v>
      </c>
      <c r="W126" s="7">
        <v>49673.58</v>
      </c>
      <c r="X126" s="7">
        <v>0</v>
      </c>
      <c r="Y126" s="7">
        <v>8977.58</v>
      </c>
    </row>
    <row r="127" spans="1:25" ht="63.75" x14ac:dyDescent="0.2">
      <c r="A127" s="5" t="s">
        <v>262</v>
      </c>
      <c r="B127" s="5" t="s">
        <v>263</v>
      </c>
      <c r="C127" s="5" t="s">
        <v>225</v>
      </c>
      <c r="D127" s="5" t="s">
        <v>125</v>
      </c>
      <c r="E127" s="5" t="s">
        <v>88</v>
      </c>
      <c r="F127" s="5" t="s">
        <v>25</v>
      </c>
      <c r="G127" s="5" t="s">
        <v>139</v>
      </c>
      <c r="H127" s="5"/>
      <c r="I127" s="6">
        <v>0</v>
      </c>
      <c r="J127" s="6">
        <v>0</v>
      </c>
      <c r="K127" s="6">
        <v>0</v>
      </c>
      <c r="L127" s="6">
        <v>0</v>
      </c>
      <c r="M127" s="5"/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5"/>
      <c r="T127" s="7">
        <v>32664</v>
      </c>
      <c r="U127" s="7">
        <v>21715.63</v>
      </c>
      <c r="V127" s="7">
        <v>0</v>
      </c>
      <c r="W127" s="7">
        <v>21715.63</v>
      </c>
      <c r="X127" s="7">
        <v>0</v>
      </c>
      <c r="Y127" s="7">
        <v>-10948.37</v>
      </c>
    </row>
    <row r="128" spans="1:25" ht="63.75" x14ac:dyDescent="0.2">
      <c r="A128" s="5" t="s">
        <v>264</v>
      </c>
      <c r="B128" s="5" t="s">
        <v>263</v>
      </c>
      <c r="C128" s="5" t="s">
        <v>227</v>
      </c>
      <c r="D128" s="5" t="s">
        <v>125</v>
      </c>
      <c r="E128" s="5" t="s">
        <v>88</v>
      </c>
      <c r="F128" s="5" t="s">
        <v>25</v>
      </c>
      <c r="G128" s="5" t="s">
        <v>139</v>
      </c>
      <c r="H128" s="5"/>
      <c r="I128" s="6">
        <v>0</v>
      </c>
      <c r="J128" s="6">
        <v>-1</v>
      </c>
      <c r="K128" s="6">
        <v>0</v>
      </c>
      <c r="L128" s="6">
        <v>1</v>
      </c>
      <c r="M128" s="5"/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5"/>
      <c r="T128" s="7">
        <v>36000</v>
      </c>
      <c r="U128" s="7">
        <v>279458.39</v>
      </c>
      <c r="V128" s="7">
        <v>0</v>
      </c>
      <c r="W128" s="7">
        <v>279458.39</v>
      </c>
      <c r="X128" s="7">
        <v>0</v>
      </c>
      <c r="Y128" s="7">
        <v>243458.39</v>
      </c>
    </row>
    <row r="129" spans="1:25" ht="63.75" x14ac:dyDescent="0.2">
      <c r="A129" s="5" t="s">
        <v>265</v>
      </c>
      <c r="B129" s="5" t="s">
        <v>263</v>
      </c>
      <c r="C129" s="5" t="s">
        <v>245</v>
      </c>
      <c r="D129" s="5" t="s">
        <v>125</v>
      </c>
      <c r="E129" s="5" t="s">
        <v>88</v>
      </c>
      <c r="F129" s="5" t="s">
        <v>25</v>
      </c>
      <c r="G129" s="5" t="s">
        <v>139</v>
      </c>
      <c r="H129" s="5"/>
      <c r="I129" s="6">
        <v>0</v>
      </c>
      <c r="J129" s="6">
        <v>1</v>
      </c>
      <c r="K129" s="6">
        <v>0</v>
      </c>
      <c r="L129" s="6">
        <v>-1</v>
      </c>
      <c r="M129" s="5"/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5"/>
      <c r="T129" s="7">
        <v>5400</v>
      </c>
      <c r="U129" s="7">
        <v>261</v>
      </c>
      <c r="V129" s="7">
        <v>0</v>
      </c>
      <c r="W129" s="7">
        <v>1100</v>
      </c>
      <c r="X129" s="7">
        <v>839</v>
      </c>
      <c r="Y129" s="7">
        <v>-4300</v>
      </c>
    </row>
    <row r="130" spans="1:25" ht="63.75" x14ac:dyDescent="0.2">
      <c r="A130" s="5" t="s">
        <v>266</v>
      </c>
      <c r="B130" s="5" t="s">
        <v>263</v>
      </c>
      <c r="C130" s="5" t="s">
        <v>229</v>
      </c>
      <c r="D130" s="5" t="s">
        <v>125</v>
      </c>
      <c r="E130" s="5" t="s">
        <v>88</v>
      </c>
      <c r="F130" s="5" t="s">
        <v>25</v>
      </c>
      <c r="G130" s="5" t="s">
        <v>139</v>
      </c>
      <c r="H130" s="5"/>
      <c r="I130" s="6">
        <v>0</v>
      </c>
      <c r="J130" s="6">
        <v>0</v>
      </c>
      <c r="K130" s="6">
        <v>0</v>
      </c>
      <c r="L130" s="6">
        <v>0</v>
      </c>
      <c r="M130" s="5"/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5"/>
      <c r="T130" s="7">
        <v>68450</v>
      </c>
      <c r="U130" s="7">
        <v>0</v>
      </c>
      <c r="V130" s="7">
        <v>0</v>
      </c>
      <c r="W130" s="7">
        <v>0</v>
      </c>
      <c r="X130" s="7">
        <v>0</v>
      </c>
      <c r="Y130" s="7">
        <v>-68450</v>
      </c>
    </row>
    <row r="131" spans="1:25" ht="63.75" x14ac:dyDescent="0.2">
      <c r="A131" s="5" t="s">
        <v>267</v>
      </c>
      <c r="B131" s="5" t="s">
        <v>263</v>
      </c>
      <c r="C131" s="5" t="s">
        <v>231</v>
      </c>
      <c r="D131" s="5" t="s">
        <v>125</v>
      </c>
      <c r="E131" s="5" t="s">
        <v>88</v>
      </c>
      <c r="F131" s="5" t="s">
        <v>25</v>
      </c>
      <c r="G131" s="5" t="s">
        <v>139</v>
      </c>
      <c r="H131" s="5"/>
      <c r="I131" s="6">
        <v>0</v>
      </c>
      <c r="J131" s="6">
        <v>0</v>
      </c>
      <c r="K131" s="6">
        <v>0</v>
      </c>
      <c r="L131" s="6">
        <v>0</v>
      </c>
      <c r="M131" s="5"/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5"/>
      <c r="T131" s="7">
        <v>63963</v>
      </c>
      <c r="U131" s="7">
        <v>78622.59</v>
      </c>
      <c r="V131" s="7">
        <v>0</v>
      </c>
      <c r="W131" s="7">
        <v>78622.59</v>
      </c>
      <c r="X131" s="7">
        <v>0</v>
      </c>
      <c r="Y131" s="7">
        <v>14659.59</v>
      </c>
    </row>
    <row r="132" spans="1:25" ht="63.75" x14ac:dyDescent="0.2">
      <c r="A132" s="5" t="s">
        <v>268</v>
      </c>
      <c r="B132" s="5" t="s">
        <v>263</v>
      </c>
      <c r="C132" s="5" t="s">
        <v>233</v>
      </c>
      <c r="D132" s="5" t="s">
        <v>125</v>
      </c>
      <c r="E132" s="5" t="s">
        <v>88</v>
      </c>
      <c r="F132" s="5" t="s">
        <v>25</v>
      </c>
      <c r="G132" s="5" t="s">
        <v>139</v>
      </c>
      <c r="H132" s="5"/>
      <c r="I132" s="6">
        <v>0</v>
      </c>
      <c r="J132" s="6">
        <v>3</v>
      </c>
      <c r="K132" s="6">
        <v>0</v>
      </c>
      <c r="L132" s="6">
        <v>-3</v>
      </c>
      <c r="M132" s="5"/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5"/>
      <c r="T132" s="7">
        <v>1370</v>
      </c>
      <c r="U132" s="7">
        <v>1621.48</v>
      </c>
      <c r="V132" s="7">
        <v>0</v>
      </c>
      <c r="W132" s="7">
        <v>1621.48</v>
      </c>
      <c r="X132" s="7">
        <v>0</v>
      </c>
      <c r="Y132" s="7">
        <v>251.48</v>
      </c>
    </row>
    <row r="133" spans="1:25" ht="63.75" x14ac:dyDescent="0.2">
      <c r="A133" s="5" t="s">
        <v>269</v>
      </c>
      <c r="B133" s="5" t="s">
        <v>263</v>
      </c>
      <c r="C133" s="5" t="s">
        <v>235</v>
      </c>
      <c r="D133" s="5" t="s">
        <v>125</v>
      </c>
      <c r="E133" s="5" t="s">
        <v>88</v>
      </c>
      <c r="F133" s="5" t="s">
        <v>25</v>
      </c>
      <c r="G133" s="5" t="s">
        <v>139</v>
      </c>
      <c r="H133" s="5"/>
      <c r="I133" s="6">
        <v>0</v>
      </c>
      <c r="J133" s="6">
        <v>4</v>
      </c>
      <c r="K133" s="6">
        <v>0</v>
      </c>
      <c r="L133" s="6">
        <v>-4</v>
      </c>
      <c r="M133" s="5"/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5"/>
      <c r="T133" s="7">
        <v>1410</v>
      </c>
      <c r="U133" s="7">
        <v>2006.52</v>
      </c>
      <c r="V133" s="7">
        <v>0</v>
      </c>
      <c r="W133" s="7">
        <v>2006.52</v>
      </c>
      <c r="X133" s="7">
        <v>0</v>
      </c>
      <c r="Y133" s="7">
        <v>596.52</v>
      </c>
    </row>
    <row r="134" spans="1:25" ht="63.75" x14ac:dyDescent="0.2">
      <c r="A134" s="5" t="s">
        <v>270</v>
      </c>
      <c r="B134" s="5" t="s">
        <v>263</v>
      </c>
      <c r="C134" s="5" t="s">
        <v>237</v>
      </c>
      <c r="D134" s="5" t="s">
        <v>125</v>
      </c>
      <c r="E134" s="5" t="s">
        <v>88</v>
      </c>
      <c r="F134" s="5" t="s">
        <v>25</v>
      </c>
      <c r="G134" s="5" t="s">
        <v>139</v>
      </c>
      <c r="H134" s="5"/>
      <c r="I134" s="6">
        <v>0</v>
      </c>
      <c r="J134" s="6">
        <v>2</v>
      </c>
      <c r="K134" s="6">
        <v>0</v>
      </c>
      <c r="L134" s="6">
        <v>-2</v>
      </c>
      <c r="M134" s="5"/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5"/>
      <c r="T134" s="7">
        <v>0</v>
      </c>
      <c r="U134" s="7">
        <v>1005.48</v>
      </c>
      <c r="V134" s="7">
        <v>195.5</v>
      </c>
      <c r="W134" s="7">
        <v>1200.98</v>
      </c>
      <c r="X134" s="7">
        <v>195.5</v>
      </c>
      <c r="Y134" s="7">
        <v>1200.98</v>
      </c>
    </row>
    <row r="135" spans="1:25" ht="63.75" x14ac:dyDescent="0.2">
      <c r="A135" s="5" t="s">
        <v>271</v>
      </c>
      <c r="B135" s="5" t="s">
        <v>263</v>
      </c>
      <c r="C135" s="5" t="s">
        <v>239</v>
      </c>
      <c r="D135" s="5" t="s">
        <v>125</v>
      </c>
      <c r="E135" s="5" t="s">
        <v>88</v>
      </c>
      <c r="F135" s="5" t="s">
        <v>25</v>
      </c>
      <c r="G135" s="5" t="s">
        <v>139</v>
      </c>
      <c r="H135" s="5"/>
      <c r="I135" s="6">
        <v>0</v>
      </c>
      <c r="J135" s="6">
        <v>1</v>
      </c>
      <c r="K135" s="6">
        <v>0</v>
      </c>
      <c r="L135" s="6">
        <v>-1</v>
      </c>
      <c r="M135" s="5"/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5"/>
      <c r="T135" s="7">
        <v>46449</v>
      </c>
      <c r="U135" s="7">
        <v>18494.97</v>
      </c>
      <c r="V135" s="7">
        <v>0</v>
      </c>
      <c r="W135" s="7">
        <v>18494.97</v>
      </c>
      <c r="X135" s="7">
        <v>0</v>
      </c>
      <c r="Y135" s="7">
        <v>-27954.03</v>
      </c>
    </row>
    <row r="136" spans="1:25" ht="76.5" x14ac:dyDescent="0.2">
      <c r="A136" s="5" t="s">
        <v>272</v>
      </c>
      <c r="B136" s="5" t="s">
        <v>273</v>
      </c>
      <c r="C136" s="5" t="s">
        <v>16</v>
      </c>
      <c r="D136" s="5" t="s">
        <v>125</v>
      </c>
      <c r="E136" s="5" t="s">
        <v>88</v>
      </c>
      <c r="F136" s="5" t="s">
        <v>25</v>
      </c>
      <c r="G136" s="5" t="s">
        <v>139</v>
      </c>
      <c r="H136" s="5"/>
      <c r="I136" s="6">
        <v>0</v>
      </c>
      <c r="J136" s="6">
        <v>0</v>
      </c>
      <c r="K136" s="6">
        <v>0</v>
      </c>
      <c r="L136" s="6">
        <v>0</v>
      </c>
      <c r="M136" s="5"/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5"/>
      <c r="T136" s="7">
        <v>0</v>
      </c>
      <c r="U136" s="7">
        <v>9340.4</v>
      </c>
      <c r="V136" s="7">
        <v>0</v>
      </c>
      <c r="W136" s="7">
        <v>9340.4</v>
      </c>
      <c r="X136" s="7">
        <v>0</v>
      </c>
      <c r="Y136" s="7">
        <v>9340.4</v>
      </c>
    </row>
    <row r="137" spans="1:25" ht="76.5" x14ac:dyDescent="0.2">
      <c r="A137" s="5" t="s">
        <v>274</v>
      </c>
      <c r="B137" s="5" t="s">
        <v>273</v>
      </c>
      <c r="C137" s="5" t="s">
        <v>225</v>
      </c>
      <c r="D137" s="5" t="s">
        <v>125</v>
      </c>
      <c r="E137" s="5" t="s">
        <v>88</v>
      </c>
      <c r="F137" s="5" t="s">
        <v>25</v>
      </c>
      <c r="G137" s="5" t="s">
        <v>139</v>
      </c>
      <c r="H137" s="5"/>
      <c r="I137" s="6">
        <v>0</v>
      </c>
      <c r="J137" s="6">
        <v>0</v>
      </c>
      <c r="K137" s="6">
        <v>0</v>
      </c>
      <c r="L137" s="6">
        <v>0</v>
      </c>
      <c r="M137" s="5"/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5"/>
      <c r="T137" s="7">
        <v>43395</v>
      </c>
      <c r="U137" s="7">
        <v>57487.75</v>
      </c>
      <c r="V137" s="7">
        <v>0</v>
      </c>
      <c r="W137" s="7">
        <v>57487.75</v>
      </c>
      <c r="X137" s="7">
        <v>0</v>
      </c>
      <c r="Y137" s="7">
        <v>14092.75</v>
      </c>
    </row>
    <row r="138" spans="1:25" ht="76.5" x14ac:dyDescent="0.2">
      <c r="A138" s="5" t="s">
        <v>275</v>
      </c>
      <c r="B138" s="5" t="s">
        <v>273</v>
      </c>
      <c r="C138" s="5" t="s">
        <v>122</v>
      </c>
      <c r="D138" s="5" t="s">
        <v>125</v>
      </c>
      <c r="E138" s="5" t="s">
        <v>88</v>
      </c>
      <c r="F138" s="5" t="s">
        <v>25</v>
      </c>
      <c r="G138" s="5" t="s">
        <v>139</v>
      </c>
      <c r="H138" s="5"/>
      <c r="I138" s="6">
        <v>0</v>
      </c>
      <c r="J138" s="6">
        <v>3</v>
      </c>
      <c r="K138" s="6">
        <v>0</v>
      </c>
      <c r="L138" s="6">
        <v>-3</v>
      </c>
      <c r="M138" s="5"/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5"/>
      <c r="T138" s="7">
        <v>586.91999999999996</v>
      </c>
      <c r="U138" s="7">
        <v>5475</v>
      </c>
      <c r="V138" s="7">
        <v>0</v>
      </c>
      <c r="W138" s="7">
        <v>5475.01</v>
      </c>
      <c r="X138" s="7">
        <v>0.01</v>
      </c>
      <c r="Y138" s="7">
        <v>4888.09</v>
      </c>
    </row>
    <row r="139" spans="1:25" ht="76.5" x14ac:dyDescent="0.2">
      <c r="A139" s="5" t="s">
        <v>276</v>
      </c>
      <c r="B139" s="5" t="s">
        <v>273</v>
      </c>
      <c r="C139" s="5" t="s">
        <v>227</v>
      </c>
      <c r="D139" s="5" t="s">
        <v>125</v>
      </c>
      <c r="E139" s="5" t="s">
        <v>88</v>
      </c>
      <c r="F139" s="5" t="s">
        <v>25</v>
      </c>
      <c r="G139" s="5" t="s">
        <v>139</v>
      </c>
      <c r="H139" s="5"/>
      <c r="I139" s="6">
        <v>0</v>
      </c>
      <c r="J139" s="6">
        <v>0</v>
      </c>
      <c r="K139" s="6">
        <v>0</v>
      </c>
      <c r="L139" s="6">
        <v>0</v>
      </c>
      <c r="M139" s="5"/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5"/>
      <c r="T139" s="7">
        <v>1785</v>
      </c>
      <c r="U139" s="7">
        <v>2712.15</v>
      </c>
      <c r="V139" s="7">
        <v>1554.9</v>
      </c>
      <c r="W139" s="7">
        <v>4267.05</v>
      </c>
      <c r="X139" s="7">
        <v>1554.9</v>
      </c>
      <c r="Y139" s="7">
        <v>2482.0500000000002</v>
      </c>
    </row>
    <row r="140" spans="1:25" ht="76.5" x14ac:dyDescent="0.2">
      <c r="A140" s="5" t="s">
        <v>277</v>
      </c>
      <c r="B140" s="5" t="s">
        <v>273</v>
      </c>
      <c r="C140" s="5" t="s">
        <v>245</v>
      </c>
      <c r="D140" s="5" t="s">
        <v>125</v>
      </c>
      <c r="E140" s="5" t="s">
        <v>88</v>
      </c>
      <c r="F140" s="5" t="s">
        <v>25</v>
      </c>
      <c r="G140" s="5" t="s">
        <v>139</v>
      </c>
      <c r="H140" s="5"/>
      <c r="I140" s="6">
        <v>0</v>
      </c>
      <c r="J140" s="6">
        <v>0</v>
      </c>
      <c r="K140" s="6">
        <v>0</v>
      </c>
      <c r="L140" s="6">
        <v>0</v>
      </c>
      <c r="M140" s="5"/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5"/>
      <c r="T140" s="7">
        <v>1100</v>
      </c>
      <c r="U140" s="7">
        <v>5446.36</v>
      </c>
      <c r="V140" s="7">
        <v>0</v>
      </c>
      <c r="W140" s="7">
        <v>5446.36</v>
      </c>
      <c r="X140" s="7">
        <v>0</v>
      </c>
      <c r="Y140" s="7">
        <v>4346.3599999999997</v>
      </c>
    </row>
    <row r="141" spans="1:25" ht="76.5" x14ac:dyDescent="0.2">
      <c r="A141" s="5" t="s">
        <v>278</v>
      </c>
      <c r="B141" s="5" t="s">
        <v>273</v>
      </c>
      <c r="C141" s="5" t="s">
        <v>229</v>
      </c>
      <c r="D141" s="5" t="s">
        <v>125</v>
      </c>
      <c r="E141" s="5" t="s">
        <v>88</v>
      </c>
      <c r="F141" s="5" t="s">
        <v>25</v>
      </c>
      <c r="G141" s="5" t="s">
        <v>139</v>
      </c>
      <c r="H141" s="5"/>
      <c r="I141" s="6">
        <v>0</v>
      </c>
      <c r="J141" s="6">
        <v>0</v>
      </c>
      <c r="K141" s="6">
        <v>0</v>
      </c>
      <c r="L141" s="6">
        <v>0</v>
      </c>
      <c r="M141" s="5"/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5"/>
      <c r="T141" s="7">
        <v>900</v>
      </c>
      <c r="U141" s="7">
        <v>3197.26</v>
      </c>
      <c r="V141" s="7">
        <v>0</v>
      </c>
      <c r="W141" s="7">
        <v>3197.26</v>
      </c>
      <c r="X141" s="7">
        <v>0</v>
      </c>
      <c r="Y141" s="7">
        <v>2297.2600000000002</v>
      </c>
    </row>
    <row r="142" spans="1:25" ht="76.5" x14ac:dyDescent="0.2">
      <c r="A142" s="5" t="s">
        <v>279</v>
      </c>
      <c r="B142" s="5" t="s">
        <v>273</v>
      </c>
      <c r="C142" s="5" t="s">
        <v>231</v>
      </c>
      <c r="D142" s="5" t="s">
        <v>125</v>
      </c>
      <c r="E142" s="5" t="s">
        <v>88</v>
      </c>
      <c r="F142" s="5" t="s">
        <v>25</v>
      </c>
      <c r="G142" s="5" t="s">
        <v>139</v>
      </c>
      <c r="H142" s="5"/>
      <c r="I142" s="6">
        <v>0</v>
      </c>
      <c r="J142" s="6">
        <v>0</v>
      </c>
      <c r="K142" s="6">
        <v>0</v>
      </c>
      <c r="L142" s="6">
        <v>0</v>
      </c>
      <c r="M142" s="5"/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5"/>
      <c r="T142" s="7">
        <v>1368</v>
      </c>
      <c r="U142" s="7">
        <v>0</v>
      </c>
      <c r="V142" s="7">
        <v>0</v>
      </c>
      <c r="W142" s="7">
        <v>0</v>
      </c>
      <c r="X142" s="7">
        <v>0</v>
      </c>
      <c r="Y142" s="7">
        <v>-1368</v>
      </c>
    </row>
    <row r="143" spans="1:25" ht="76.5" x14ac:dyDescent="0.2">
      <c r="A143" s="5" t="s">
        <v>280</v>
      </c>
      <c r="B143" s="5" t="s">
        <v>273</v>
      </c>
      <c r="C143" s="5" t="s">
        <v>233</v>
      </c>
      <c r="D143" s="5" t="s">
        <v>125</v>
      </c>
      <c r="E143" s="5" t="s">
        <v>88</v>
      </c>
      <c r="F143" s="5" t="s">
        <v>25</v>
      </c>
      <c r="G143" s="5" t="s">
        <v>139</v>
      </c>
      <c r="H143" s="5"/>
      <c r="I143" s="6">
        <v>0</v>
      </c>
      <c r="J143" s="6">
        <v>0</v>
      </c>
      <c r="K143" s="6">
        <v>0</v>
      </c>
      <c r="L143" s="6">
        <v>0</v>
      </c>
      <c r="M143" s="5"/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5"/>
      <c r="T143" s="7">
        <v>630</v>
      </c>
      <c r="U143" s="7">
        <v>0</v>
      </c>
      <c r="V143" s="7">
        <v>0</v>
      </c>
      <c r="W143" s="7">
        <v>0</v>
      </c>
      <c r="X143" s="7">
        <v>0</v>
      </c>
      <c r="Y143" s="7">
        <v>-630</v>
      </c>
    </row>
    <row r="144" spans="1:25" ht="76.5" x14ac:dyDescent="0.2">
      <c r="A144" s="5" t="s">
        <v>281</v>
      </c>
      <c r="B144" s="5" t="s">
        <v>273</v>
      </c>
      <c r="C144" s="5" t="s">
        <v>235</v>
      </c>
      <c r="D144" s="5" t="s">
        <v>125</v>
      </c>
      <c r="E144" s="5" t="s">
        <v>88</v>
      </c>
      <c r="F144" s="5" t="s">
        <v>25</v>
      </c>
      <c r="G144" s="5" t="s">
        <v>139</v>
      </c>
      <c r="H144" s="5"/>
      <c r="I144" s="6">
        <v>0</v>
      </c>
      <c r="J144" s="6">
        <v>0</v>
      </c>
      <c r="K144" s="6">
        <v>0</v>
      </c>
      <c r="L144" s="6">
        <v>0</v>
      </c>
      <c r="M144" s="5"/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5"/>
      <c r="T144" s="7">
        <v>1050</v>
      </c>
      <c r="U144" s="7">
        <v>0</v>
      </c>
      <c r="V144" s="7">
        <v>0</v>
      </c>
      <c r="W144" s="7">
        <v>0</v>
      </c>
      <c r="X144" s="7">
        <v>0</v>
      </c>
      <c r="Y144" s="7">
        <v>-1050</v>
      </c>
    </row>
    <row r="145" spans="1:25" ht="76.5" x14ac:dyDescent="0.2">
      <c r="A145" s="5" t="s">
        <v>282</v>
      </c>
      <c r="B145" s="5" t="s">
        <v>273</v>
      </c>
      <c r="C145" s="5" t="s">
        <v>237</v>
      </c>
      <c r="D145" s="5" t="s">
        <v>125</v>
      </c>
      <c r="E145" s="5" t="s">
        <v>88</v>
      </c>
      <c r="F145" s="5" t="s">
        <v>25</v>
      </c>
      <c r="G145" s="5" t="s">
        <v>139</v>
      </c>
      <c r="H145" s="5"/>
      <c r="I145" s="6">
        <v>0</v>
      </c>
      <c r="J145" s="6">
        <v>7</v>
      </c>
      <c r="K145" s="6">
        <v>0</v>
      </c>
      <c r="L145" s="6">
        <v>-7</v>
      </c>
      <c r="M145" s="5"/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5"/>
      <c r="T145" s="7">
        <v>4600</v>
      </c>
      <c r="U145" s="7">
        <v>6383.49</v>
      </c>
      <c r="V145" s="7">
        <v>744.6</v>
      </c>
      <c r="W145" s="7">
        <v>7128.09</v>
      </c>
      <c r="X145" s="7">
        <v>744.6</v>
      </c>
      <c r="Y145" s="7">
        <v>2528.09</v>
      </c>
    </row>
    <row r="146" spans="1:25" ht="76.5" x14ac:dyDescent="0.2">
      <c r="A146" s="5" t="s">
        <v>283</v>
      </c>
      <c r="B146" s="5" t="s">
        <v>273</v>
      </c>
      <c r="C146" s="5" t="s">
        <v>239</v>
      </c>
      <c r="D146" s="5" t="s">
        <v>125</v>
      </c>
      <c r="E146" s="5" t="s">
        <v>88</v>
      </c>
      <c r="F146" s="5" t="s">
        <v>25</v>
      </c>
      <c r="G146" s="5" t="s">
        <v>139</v>
      </c>
      <c r="H146" s="5"/>
      <c r="I146" s="6">
        <v>0</v>
      </c>
      <c r="J146" s="6">
        <v>0</v>
      </c>
      <c r="K146" s="6">
        <v>0</v>
      </c>
      <c r="L146" s="6">
        <v>0</v>
      </c>
      <c r="M146" s="5"/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5"/>
      <c r="T146" s="7">
        <v>1660</v>
      </c>
      <c r="U146" s="7">
        <v>3279.94</v>
      </c>
      <c r="V146" s="7">
        <v>0</v>
      </c>
      <c r="W146" s="7">
        <v>3279.94</v>
      </c>
      <c r="X146" s="7">
        <v>0</v>
      </c>
      <c r="Y146" s="7">
        <v>1619.94</v>
      </c>
    </row>
    <row r="147" spans="1:25" ht="63.75" x14ac:dyDescent="0.2">
      <c r="A147" s="5" t="s">
        <v>284</v>
      </c>
      <c r="B147" s="5" t="s">
        <v>285</v>
      </c>
      <c r="C147" s="5" t="s">
        <v>225</v>
      </c>
      <c r="D147" s="5" t="s">
        <v>125</v>
      </c>
      <c r="E147" s="5" t="s">
        <v>88</v>
      </c>
      <c r="F147" s="5" t="s">
        <v>25</v>
      </c>
      <c r="G147" s="5" t="s">
        <v>139</v>
      </c>
      <c r="H147" s="5"/>
      <c r="I147" s="6">
        <v>0</v>
      </c>
      <c r="J147" s="6">
        <v>0</v>
      </c>
      <c r="K147" s="6">
        <v>0</v>
      </c>
      <c r="L147" s="6">
        <v>0</v>
      </c>
      <c r="M147" s="5"/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5"/>
      <c r="T147" s="7">
        <v>4380</v>
      </c>
      <c r="U147" s="7">
        <v>875.91</v>
      </c>
      <c r="V147" s="7">
        <v>0</v>
      </c>
      <c r="W147" s="7">
        <v>875.91</v>
      </c>
      <c r="X147" s="7">
        <v>0</v>
      </c>
      <c r="Y147" s="7">
        <v>-3504.09</v>
      </c>
    </row>
    <row r="148" spans="1:25" ht="63.75" x14ac:dyDescent="0.2">
      <c r="A148" s="5" t="s">
        <v>286</v>
      </c>
      <c r="B148" s="5" t="s">
        <v>285</v>
      </c>
      <c r="C148" s="5" t="s">
        <v>227</v>
      </c>
      <c r="D148" s="5" t="s">
        <v>125</v>
      </c>
      <c r="E148" s="5" t="s">
        <v>88</v>
      </c>
      <c r="F148" s="5" t="s">
        <v>18</v>
      </c>
      <c r="G148" s="5" t="s">
        <v>139</v>
      </c>
      <c r="H148" s="5"/>
      <c r="I148" s="6">
        <v>0</v>
      </c>
      <c r="J148" s="6">
        <v>0</v>
      </c>
      <c r="K148" s="6">
        <v>0</v>
      </c>
      <c r="L148" s="6">
        <v>0</v>
      </c>
      <c r="M148" s="5"/>
      <c r="N148" s="6">
        <v>197</v>
      </c>
      <c r="O148" s="6">
        <v>417.5</v>
      </c>
      <c r="P148" s="6">
        <v>417.5</v>
      </c>
      <c r="Q148" s="6">
        <v>0</v>
      </c>
      <c r="R148" s="6">
        <v>220.5</v>
      </c>
      <c r="S148" s="5"/>
      <c r="T148" s="7">
        <v>17730</v>
      </c>
      <c r="U148" s="7">
        <v>39608.19</v>
      </c>
      <c r="V148" s="7">
        <v>0</v>
      </c>
      <c r="W148" s="7">
        <v>39608.19</v>
      </c>
      <c r="X148" s="7">
        <v>0</v>
      </c>
      <c r="Y148" s="7">
        <v>21878.19</v>
      </c>
    </row>
    <row r="149" spans="1:25" ht="63.75" x14ac:dyDescent="0.2">
      <c r="A149" s="5" t="s">
        <v>286</v>
      </c>
      <c r="B149" s="5" t="s">
        <v>285</v>
      </c>
      <c r="C149" s="5" t="s">
        <v>227</v>
      </c>
      <c r="D149" s="5" t="s">
        <v>125</v>
      </c>
      <c r="E149" s="5" t="s">
        <v>88</v>
      </c>
      <c r="F149" s="5" t="s">
        <v>25</v>
      </c>
      <c r="G149" s="5" t="s">
        <v>139</v>
      </c>
      <c r="H149" s="5"/>
      <c r="I149" s="6">
        <v>0</v>
      </c>
      <c r="J149" s="6">
        <v>0</v>
      </c>
      <c r="K149" s="6">
        <v>0</v>
      </c>
      <c r="L149" s="6">
        <v>0</v>
      </c>
      <c r="M149" s="5"/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5"/>
      <c r="T149" s="7">
        <v>163379.25</v>
      </c>
      <c r="U149" s="7">
        <v>74407.570000000007</v>
      </c>
      <c r="V149" s="7">
        <v>0</v>
      </c>
      <c r="W149" s="7">
        <v>74407.570000000007</v>
      </c>
      <c r="X149" s="7">
        <v>0</v>
      </c>
      <c r="Y149" s="7">
        <v>-88971.68</v>
      </c>
    </row>
    <row r="150" spans="1:25" ht="63.75" x14ac:dyDescent="0.2">
      <c r="A150" s="5" t="s">
        <v>287</v>
      </c>
      <c r="B150" s="5" t="s">
        <v>285</v>
      </c>
      <c r="C150" s="5" t="s">
        <v>245</v>
      </c>
      <c r="D150" s="5" t="s">
        <v>125</v>
      </c>
      <c r="E150" s="5" t="s">
        <v>88</v>
      </c>
      <c r="F150" s="5" t="s">
        <v>25</v>
      </c>
      <c r="G150" s="5" t="s">
        <v>139</v>
      </c>
      <c r="H150" s="5"/>
      <c r="I150" s="6">
        <v>0</v>
      </c>
      <c r="J150" s="6">
        <v>0</v>
      </c>
      <c r="K150" s="6">
        <v>0</v>
      </c>
      <c r="L150" s="6">
        <v>0</v>
      </c>
      <c r="M150" s="5"/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5"/>
      <c r="T150" s="7">
        <v>3500</v>
      </c>
      <c r="U150" s="7">
        <v>9351.2999999999993</v>
      </c>
      <c r="V150" s="7">
        <v>0</v>
      </c>
      <c r="W150" s="7">
        <v>9351.2999999999993</v>
      </c>
      <c r="X150" s="7">
        <v>0</v>
      </c>
      <c r="Y150" s="7">
        <v>5851.3</v>
      </c>
    </row>
    <row r="151" spans="1:25" ht="63.75" x14ac:dyDescent="0.2">
      <c r="A151" s="5" t="s">
        <v>288</v>
      </c>
      <c r="B151" s="5" t="s">
        <v>285</v>
      </c>
      <c r="C151" s="5" t="s">
        <v>229</v>
      </c>
      <c r="D151" s="5" t="s">
        <v>125</v>
      </c>
      <c r="E151" s="5" t="s">
        <v>88</v>
      </c>
      <c r="F151" s="5" t="s">
        <v>18</v>
      </c>
      <c r="G151" s="5" t="s">
        <v>139</v>
      </c>
      <c r="H151" s="5"/>
      <c r="I151" s="6">
        <v>0</v>
      </c>
      <c r="J151" s="6">
        <v>0</v>
      </c>
      <c r="K151" s="6">
        <v>0</v>
      </c>
      <c r="L151" s="6">
        <v>0</v>
      </c>
      <c r="M151" s="5"/>
      <c r="N151" s="6">
        <v>196</v>
      </c>
      <c r="O151" s="6">
        <v>1129.5</v>
      </c>
      <c r="P151" s="6">
        <v>1129.5</v>
      </c>
      <c r="Q151" s="6">
        <v>0</v>
      </c>
      <c r="R151" s="6">
        <v>933.5</v>
      </c>
      <c r="S151" s="5"/>
      <c r="T151" s="7">
        <v>17640</v>
      </c>
      <c r="U151" s="7">
        <v>102499.96</v>
      </c>
      <c r="V151" s="7">
        <v>0</v>
      </c>
      <c r="W151" s="7">
        <v>102499.96</v>
      </c>
      <c r="X151" s="7">
        <v>0</v>
      </c>
      <c r="Y151" s="7">
        <v>84859.96</v>
      </c>
    </row>
    <row r="152" spans="1:25" ht="63.75" x14ac:dyDescent="0.2">
      <c r="A152" s="5" t="s">
        <v>288</v>
      </c>
      <c r="B152" s="5" t="s">
        <v>285</v>
      </c>
      <c r="C152" s="5" t="s">
        <v>229</v>
      </c>
      <c r="D152" s="5" t="s">
        <v>125</v>
      </c>
      <c r="E152" s="5" t="s">
        <v>88</v>
      </c>
      <c r="F152" s="5" t="s">
        <v>25</v>
      </c>
      <c r="G152" s="5" t="s">
        <v>139</v>
      </c>
      <c r="H152" s="5"/>
      <c r="I152" s="6">
        <v>0</v>
      </c>
      <c r="J152" s="6">
        <v>0</v>
      </c>
      <c r="K152" s="6">
        <v>0</v>
      </c>
      <c r="L152" s="6">
        <v>0</v>
      </c>
      <c r="M152" s="5"/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5"/>
      <c r="T152" s="7">
        <v>255258.9</v>
      </c>
      <c r="U152" s="7">
        <v>164451.34</v>
      </c>
      <c r="V152" s="7">
        <v>0</v>
      </c>
      <c r="W152" s="7">
        <v>165136.78</v>
      </c>
      <c r="X152" s="7">
        <v>685.44</v>
      </c>
      <c r="Y152" s="7">
        <v>-90122.12</v>
      </c>
    </row>
    <row r="153" spans="1:25" ht="63.75" x14ac:dyDescent="0.2">
      <c r="A153" s="5" t="s">
        <v>289</v>
      </c>
      <c r="B153" s="5" t="s">
        <v>285</v>
      </c>
      <c r="C153" s="5" t="s">
        <v>231</v>
      </c>
      <c r="D153" s="5" t="s">
        <v>125</v>
      </c>
      <c r="E153" s="5" t="s">
        <v>88</v>
      </c>
      <c r="F153" s="5" t="s">
        <v>18</v>
      </c>
      <c r="G153" s="5" t="s">
        <v>139</v>
      </c>
      <c r="H153" s="5"/>
      <c r="I153" s="6">
        <v>0</v>
      </c>
      <c r="J153" s="6">
        <v>0</v>
      </c>
      <c r="K153" s="6">
        <v>0</v>
      </c>
      <c r="L153" s="6">
        <v>0</v>
      </c>
      <c r="M153" s="5"/>
      <c r="N153" s="6">
        <v>245</v>
      </c>
      <c r="O153" s="6">
        <v>428</v>
      </c>
      <c r="P153" s="6">
        <v>428</v>
      </c>
      <c r="Q153" s="6">
        <v>0</v>
      </c>
      <c r="R153" s="6">
        <v>183</v>
      </c>
      <c r="S153" s="5"/>
      <c r="T153" s="7">
        <v>22050</v>
      </c>
      <c r="U153" s="7">
        <v>42173.64</v>
      </c>
      <c r="V153" s="7">
        <v>0</v>
      </c>
      <c r="W153" s="7">
        <v>42173.64</v>
      </c>
      <c r="X153" s="7">
        <v>0</v>
      </c>
      <c r="Y153" s="7">
        <v>20123.64</v>
      </c>
    </row>
    <row r="154" spans="1:25" ht="63.75" x14ac:dyDescent="0.2">
      <c r="A154" s="5" t="s">
        <v>289</v>
      </c>
      <c r="B154" s="5" t="s">
        <v>285</v>
      </c>
      <c r="C154" s="5" t="s">
        <v>231</v>
      </c>
      <c r="D154" s="5" t="s">
        <v>125</v>
      </c>
      <c r="E154" s="5" t="s">
        <v>88</v>
      </c>
      <c r="F154" s="5" t="s">
        <v>25</v>
      </c>
      <c r="G154" s="5" t="s">
        <v>139</v>
      </c>
      <c r="H154" s="5"/>
      <c r="I154" s="6">
        <v>0</v>
      </c>
      <c r="J154" s="6">
        <v>0</v>
      </c>
      <c r="K154" s="6">
        <v>0</v>
      </c>
      <c r="L154" s="6">
        <v>0</v>
      </c>
      <c r="M154" s="5"/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5"/>
      <c r="T154" s="7">
        <v>173715.41</v>
      </c>
      <c r="U154" s="7">
        <v>105009.3</v>
      </c>
      <c r="V154" s="7">
        <v>0</v>
      </c>
      <c r="W154" s="7">
        <v>105009.3</v>
      </c>
      <c r="X154" s="7">
        <v>0</v>
      </c>
      <c r="Y154" s="7">
        <v>-68706.11</v>
      </c>
    </row>
    <row r="155" spans="1:25" ht="63.75" x14ac:dyDescent="0.2">
      <c r="A155" s="5" t="s">
        <v>290</v>
      </c>
      <c r="B155" s="5" t="s">
        <v>285</v>
      </c>
      <c r="C155" s="5" t="s">
        <v>233</v>
      </c>
      <c r="D155" s="5" t="s">
        <v>125</v>
      </c>
      <c r="E155" s="5" t="s">
        <v>88</v>
      </c>
      <c r="F155" s="5" t="s">
        <v>25</v>
      </c>
      <c r="G155" s="5" t="s">
        <v>139</v>
      </c>
      <c r="H155" s="5"/>
      <c r="I155" s="6">
        <v>0</v>
      </c>
      <c r="J155" s="6">
        <v>0</v>
      </c>
      <c r="K155" s="6">
        <v>0</v>
      </c>
      <c r="L155" s="6">
        <v>0</v>
      </c>
      <c r="M155" s="5"/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5"/>
      <c r="T155" s="7">
        <v>1170</v>
      </c>
      <c r="U155" s="7">
        <v>0</v>
      </c>
      <c r="V155" s="7">
        <v>0</v>
      </c>
      <c r="W155" s="7">
        <v>0</v>
      </c>
      <c r="X155" s="7">
        <v>0</v>
      </c>
      <c r="Y155" s="7">
        <v>-1170</v>
      </c>
    </row>
    <row r="156" spans="1:25" ht="63.75" x14ac:dyDescent="0.2">
      <c r="A156" s="5" t="s">
        <v>291</v>
      </c>
      <c r="B156" s="5" t="s">
        <v>285</v>
      </c>
      <c r="C156" s="5" t="s">
        <v>235</v>
      </c>
      <c r="D156" s="5" t="s">
        <v>125</v>
      </c>
      <c r="E156" s="5" t="s">
        <v>88</v>
      </c>
      <c r="F156" s="5" t="s">
        <v>25</v>
      </c>
      <c r="G156" s="5" t="s">
        <v>139</v>
      </c>
      <c r="H156" s="5"/>
      <c r="I156" s="6">
        <v>0</v>
      </c>
      <c r="J156" s="6">
        <v>0</v>
      </c>
      <c r="K156" s="6">
        <v>0</v>
      </c>
      <c r="L156" s="6">
        <v>0</v>
      </c>
      <c r="M156" s="5"/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5"/>
      <c r="T156" s="7">
        <v>1640</v>
      </c>
      <c r="U156" s="7">
        <v>0</v>
      </c>
      <c r="V156" s="7">
        <v>0</v>
      </c>
      <c r="W156" s="7">
        <v>0</v>
      </c>
      <c r="X156" s="7">
        <v>0</v>
      </c>
      <c r="Y156" s="7">
        <v>-1640</v>
      </c>
    </row>
    <row r="157" spans="1:25" ht="63.75" x14ac:dyDescent="0.2">
      <c r="A157" s="5" t="s">
        <v>292</v>
      </c>
      <c r="B157" s="5" t="s">
        <v>285</v>
      </c>
      <c r="C157" s="5" t="s">
        <v>237</v>
      </c>
      <c r="D157" s="5" t="s">
        <v>125</v>
      </c>
      <c r="E157" s="5" t="s">
        <v>88</v>
      </c>
      <c r="F157" s="5" t="s">
        <v>18</v>
      </c>
      <c r="G157" s="5" t="s">
        <v>139</v>
      </c>
      <c r="H157" s="5"/>
      <c r="I157" s="6">
        <v>0</v>
      </c>
      <c r="J157" s="6">
        <v>0</v>
      </c>
      <c r="K157" s="6">
        <v>0</v>
      </c>
      <c r="L157" s="6">
        <v>0</v>
      </c>
      <c r="M157" s="5"/>
      <c r="N157" s="6">
        <v>70</v>
      </c>
      <c r="O157" s="6">
        <v>159</v>
      </c>
      <c r="P157" s="6">
        <v>159</v>
      </c>
      <c r="Q157" s="6">
        <v>0</v>
      </c>
      <c r="R157" s="6">
        <v>89</v>
      </c>
      <c r="S157" s="5"/>
      <c r="T157" s="7">
        <v>6300</v>
      </c>
      <c r="U157" s="7">
        <v>13399.5</v>
      </c>
      <c r="V157" s="7">
        <v>0</v>
      </c>
      <c r="W157" s="7">
        <v>13399.5</v>
      </c>
      <c r="X157" s="7">
        <v>0</v>
      </c>
      <c r="Y157" s="7">
        <v>7099.5</v>
      </c>
    </row>
    <row r="158" spans="1:25" ht="63.75" x14ac:dyDescent="0.2">
      <c r="A158" s="5" t="s">
        <v>292</v>
      </c>
      <c r="B158" s="5" t="s">
        <v>285</v>
      </c>
      <c r="C158" s="5" t="s">
        <v>237</v>
      </c>
      <c r="D158" s="5" t="s">
        <v>125</v>
      </c>
      <c r="E158" s="5" t="s">
        <v>88</v>
      </c>
      <c r="F158" s="5" t="s">
        <v>25</v>
      </c>
      <c r="G158" s="5" t="s">
        <v>139</v>
      </c>
      <c r="H158" s="5"/>
      <c r="I158" s="6">
        <v>0</v>
      </c>
      <c r="J158" s="6">
        <v>0</v>
      </c>
      <c r="K158" s="6">
        <v>0</v>
      </c>
      <c r="L158" s="6">
        <v>0</v>
      </c>
      <c r="M158" s="5"/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5"/>
      <c r="T158" s="7">
        <v>28389.88</v>
      </c>
      <c r="U158" s="7">
        <v>25479.49</v>
      </c>
      <c r="V158" s="7">
        <v>6578.76</v>
      </c>
      <c r="W158" s="7">
        <v>25479.49</v>
      </c>
      <c r="X158" s="7">
        <v>0</v>
      </c>
      <c r="Y158" s="7">
        <v>-2910.39</v>
      </c>
    </row>
    <row r="159" spans="1:25" ht="63.75" x14ac:dyDescent="0.2">
      <c r="A159" s="5" t="s">
        <v>293</v>
      </c>
      <c r="B159" s="5" t="s">
        <v>285</v>
      </c>
      <c r="C159" s="5" t="s">
        <v>239</v>
      </c>
      <c r="D159" s="5" t="s">
        <v>125</v>
      </c>
      <c r="E159" s="5" t="s">
        <v>88</v>
      </c>
      <c r="F159" s="5" t="s">
        <v>18</v>
      </c>
      <c r="G159" s="5" t="s">
        <v>139</v>
      </c>
      <c r="H159" s="5"/>
      <c r="I159" s="6">
        <v>0</v>
      </c>
      <c r="J159" s="6">
        <v>0</v>
      </c>
      <c r="K159" s="6">
        <v>0</v>
      </c>
      <c r="L159" s="6">
        <v>0</v>
      </c>
      <c r="M159" s="5"/>
      <c r="N159" s="6">
        <v>147</v>
      </c>
      <c r="O159" s="6">
        <v>473</v>
      </c>
      <c r="P159" s="6">
        <v>473</v>
      </c>
      <c r="Q159" s="6">
        <v>0</v>
      </c>
      <c r="R159" s="6">
        <v>326</v>
      </c>
      <c r="S159" s="5"/>
      <c r="T159" s="7">
        <v>13230</v>
      </c>
      <c r="U159" s="7">
        <v>43412.34</v>
      </c>
      <c r="V159" s="7">
        <v>0</v>
      </c>
      <c r="W159" s="7">
        <v>43412.34</v>
      </c>
      <c r="X159" s="7">
        <v>0</v>
      </c>
      <c r="Y159" s="7">
        <v>30182.34</v>
      </c>
    </row>
    <row r="160" spans="1:25" ht="63.75" x14ac:dyDescent="0.2">
      <c r="A160" s="5" t="s">
        <v>293</v>
      </c>
      <c r="B160" s="5" t="s">
        <v>285</v>
      </c>
      <c r="C160" s="5" t="s">
        <v>239</v>
      </c>
      <c r="D160" s="5" t="s">
        <v>125</v>
      </c>
      <c r="E160" s="5" t="s">
        <v>88</v>
      </c>
      <c r="F160" s="5" t="s">
        <v>25</v>
      </c>
      <c r="G160" s="5" t="s">
        <v>139</v>
      </c>
      <c r="H160" s="5"/>
      <c r="I160" s="6">
        <v>0</v>
      </c>
      <c r="J160" s="6">
        <v>0</v>
      </c>
      <c r="K160" s="6">
        <v>0</v>
      </c>
      <c r="L160" s="6">
        <v>0</v>
      </c>
      <c r="M160" s="5"/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5"/>
      <c r="T160" s="7">
        <v>116405.96</v>
      </c>
      <c r="U160" s="7">
        <v>73333.5</v>
      </c>
      <c r="V160" s="7">
        <v>0</v>
      </c>
      <c r="W160" s="7">
        <v>73333.5</v>
      </c>
      <c r="X160" s="7">
        <v>0</v>
      </c>
      <c r="Y160" s="7">
        <v>-43072.46</v>
      </c>
    </row>
    <row r="161" spans="1:25" ht="51" x14ac:dyDescent="0.2">
      <c r="A161" s="5" t="s">
        <v>294</v>
      </c>
      <c r="B161" s="5" t="s">
        <v>27</v>
      </c>
      <c r="C161" s="5" t="s">
        <v>225</v>
      </c>
      <c r="D161" s="5" t="s">
        <v>125</v>
      </c>
      <c r="E161" s="5" t="s">
        <v>88</v>
      </c>
      <c r="F161" s="5" t="s">
        <v>18</v>
      </c>
      <c r="G161" s="5" t="s">
        <v>164</v>
      </c>
      <c r="H161" s="5"/>
      <c r="I161" s="6">
        <v>0</v>
      </c>
      <c r="J161" s="6">
        <v>0</v>
      </c>
      <c r="K161" s="6">
        <v>0</v>
      </c>
      <c r="L161" s="6">
        <v>0</v>
      </c>
      <c r="M161" s="5"/>
      <c r="N161" s="6">
        <v>460</v>
      </c>
      <c r="O161" s="6">
        <v>662</v>
      </c>
      <c r="P161" s="6">
        <v>662</v>
      </c>
      <c r="Q161" s="6">
        <v>0</v>
      </c>
      <c r="R161" s="6">
        <v>202</v>
      </c>
      <c r="S161" s="5"/>
      <c r="T161" s="7">
        <v>41400</v>
      </c>
      <c r="U161" s="7">
        <v>56422.25</v>
      </c>
      <c r="V161" s="7">
        <v>0</v>
      </c>
      <c r="W161" s="7">
        <v>56422.25</v>
      </c>
      <c r="X161" s="7">
        <v>0</v>
      </c>
      <c r="Y161" s="7">
        <v>15022.25</v>
      </c>
    </row>
    <row r="162" spans="1:25" ht="51" x14ac:dyDescent="0.2">
      <c r="A162" s="5" t="s">
        <v>294</v>
      </c>
      <c r="B162" s="5" t="s">
        <v>27</v>
      </c>
      <c r="C162" s="5" t="s">
        <v>225</v>
      </c>
      <c r="D162" s="5" t="s">
        <v>125</v>
      </c>
      <c r="E162" s="5" t="s">
        <v>88</v>
      </c>
      <c r="F162" s="5" t="s">
        <v>25</v>
      </c>
      <c r="G162" s="5" t="s">
        <v>164</v>
      </c>
      <c r="H162" s="5"/>
      <c r="I162" s="6">
        <v>0</v>
      </c>
      <c r="J162" s="6">
        <v>10</v>
      </c>
      <c r="K162" s="6">
        <v>0</v>
      </c>
      <c r="L162" s="6">
        <v>-10</v>
      </c>
      <c r="M162" s="5"/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5"/>
      <c r="T162" s="7">
        <v>300810</v>
      </c>
      <c r="U162" s="7">
        <v>25773.91</v>
      </c>
      <c r="V162" s="7">
        <v>31.06</v>
      </c>
      <c r="W162" s="7">
        <v>25804.98</v>
      </c>
      <c r="X162" s="7">
        <v>31.07</v>
      </c>
      <c r="Y162" s="7">
        <v>-275005.02</v>
      </c>
    </row>
    <row r="163" spans="1:25" ht="51" x14ac:dyDescent="0.2">
      <c r="A163" s="5" t="s">
        <v>295</v>
      </c>
      <c r="B163" s="5" t="s">
        <v>27</v>
      </c>
      <c r="C163" s="5" t="s">
        <v>122</v>
      </c>
      <c r="D163" s="5" t="s">
        <v>125</v>
      </c>
      <c r="E163" s="5" t="s">
        <v>88</v>
      </c>
      <c r="F163" s="5" t="s">
        <v>18</v>
      </c>
      <c r="G163" s="5" t="s">
        <v>164</v>
      </c>
      <c r="H163" s="5"/>
      <c r="I163" s="6">
        <v>0</v>
      </c>
      <c r="J163" s="6">
        <v>0</v>
      </c>
      <c r="K163" s="6">
        <v>0</v>
      </c>
      <c r="L163" s="6">
        <v>0</v>
      </c>
      <c r="M163" s="5"/>
      <c r="N163" s="6">
        <v>8</v>
      </c>
      <c r="O163" s="6">
        <v>24</v>
      </c>
      <c r="P163" s="6">
        <v>24</v>
      </c>
      <c r="Q163" s="6">
        <v>0</v>
      </c>
      <c r="R163" s="6">
        <v>16</v>
      </c>
      <c r="S163" s="5"/>
      <c r="T163" s="7">
        <v>720</v>
      </c>
      <c r="U163" s="7">
        <v>1389.03</v>
      </c>
      <c r="V163" s="7">
        <v>0</v>
      </c>
      <c r="W163" s="7">
        <v>1389.03</v>
      </c>
      <c r="X163" s="7">
        <v>0</v>
      </c>
      <c r="Y163" s="7">
        <v>669.03</v>
      </c>
    </row>
    <row r="164" spans="1:25" ht="51" x14ac:dyDescent="0.2">
      <c r="A164" s="5" t="s">
        <v>296</v>
      </c>
      <c r="B164" s="5" t="s">
        <v>27</v>
      </c>
      <c r="C164" s="5" t="s">
        <v>227</v>
      </c>
      <c r="D164" s="5" t="s">
        <v>125</v>
      </c>
      <c r="E164" s="5" t="s">
        <v>88</v>
      </c>
      <c r="F164" s="5" t="s">
        <v>18</v>
      </c>
      <c r="G164" s="5" t="s">
        <v>164</v>
      </c>
      <c r="H164" s="5"/>
      <c r="I164" s="6">
        <v>0</v>
      </c>
      <c r="J164" s="6">
        <v>0</v>
      </c>
      <c r="K164" s="6">
        <v>0</v>
      </c>
      <c r="L164" s="6">
        <v>0</v>
      </c>
      <c r="M164" s="5"/>
      <c r="N164" s="6">
        <v>222</v>
      </c>
      <c r="O164" s="6">
        <v>402.5</v>
      </c>
      <c r="P164" s="6">
        <v>402.5</v>
      </c>
      <c r="Q164" s="6">
        <v>0</v>
      </c>
      <c r="R164" s="6">
        <v>180.5</v>
      </c>
      <c r="S164" s="5"/>
      <c r="T164" s="7">
        <v>19980</v>
      </c>
      <c r="U164" s="7">
        <v>31901.35</v>
      </c>
      <c r="V164" s="7">
        <v>0</v>
      </c>
      <c r="W164" s="7">
        <v>31901.35</v>
      </c>
      <c r="X164" s="7">
        <v>0</v>
      </c>
      <c r="Y164" s="7">
        <v>11921.35</v>
      </c>
    </row>
    <row r="165" spans="1:25" ht="51" x14ac:dyDescent="0.2">
      <c r="A165" s="5" t="s">
        <v>296</v>
      </c>
      <c r="B165" s="5" t="s">
        <v>27</v>
      </c>
      <c r="C165" s="5" t="s">
        <v>227</v>
      </c>
      <c r="D165" s="5" t="s">
        <v>125</v>
      </c>
      <c r="E165" s="5" t="s">
        <v>88</v>
      </c>
      <c r="F165" s="5" t="s">
        <v>25</v>
      </c>
      <c r="G165" s="5" t="s">
        <v>164</v>
      </c>
      <c r="H165" s="5"/>
      <c r="I165" s="6">
        <v>0</v>
      </c>
      <c r="J165" s="6">
        <v>39</v>
      </c>
      <c r="K165" s="6">
        <v>0</v>
      </c>
      <c r="L165" s="6">
        <v>-39</v>
      </c>
      <c r="M165" s="5"/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5"/>
      <c r="T165" s="7">
        <v>371954</v>
      </c>
      <c r="U165" s="7">
        <v>287210.90000000002</v>
      </c>
      <c r="V165" s="7">
        <v>0</v>
      </c>
      <c r="W165" s="7">
        <v>287667.84999999998</v>
      </c>
      <c r="X165" s="7">
        <v>456.95</v>
      </c>
      <c r="Y165" s="7">
        <v>-84286.15</v>
      </c>
    </row>
    <row r="166" spans="1:25" ht="51" x14ac:dyDescent="0.2">
      <c r="A166" s="5" t="s">
        <v>297</v>
      </c>
      <c r="B166" s="5" t="s">
        <v>27</v>
      </c>
      <c r="C166" s="5" t="s">
        <v>245</v>
      </c>
      <c r="D166" s="5" t="s">
        <v>125</v>
      </c>
      <c r="E166" s="5" t="s">
        <v>88</v>
      </c>
      <c r="F166" s="5" t="s">
        <v>18</v>
      </c>
      <c r="G166" s="5" t="s">
        <v>164</v>
      </c>
      <c r="H166" s="5"/>
      <c r="I166" s="6">
        <v>0</v>
      </c>
      <c r="J166" s="6">
        <v>0</v>
      </c>
      <c r="K166" s="6">
        <v>0</v>
      </c>
      <c r="L166" s="6">
        <v>0</v>
      </c>
      <c r="M166" s="5"/>
      <c r="N166" s="6">
        <v>100</v>
      </c>
      <c r="O166" s="6">
        <v>136</v>
      </c>
      <c r="P166" s="6">
        <v>136</v>
      </c>
      <c r="Q166" s="6">
        <v>0</v>
      </c>
      <c r="R166" s="6">
        <v>36</v>
      </c>
      <c r="S166" s="5"/>
      <c r="T166" s="7">
        <v>9000</v>
      </c>
      <c r="U166" s="7">
        <v>10743.61</v>
      </c>
      <c r="V166" s="7">
        <v>0</v>
      </c>
      <c r="W166" s="7">
        <v>10743.61</v>
      </c>
      <c r="X166" s="7">
        <v>0</v>
      </c>
      <c r="Y166" s="7">
        <v>1743.61</v>
      </c>
    </row>
    <row r="167" spans="1:25" ht="51" x14ac:dyDescent="0.2">
      <c r="A167" s="5" t="s">
        <v>297</v>
      </c>
      <c r="B167" s="5" t="s">
        <v>27</v>
      </c>
      <c r="C167" s="5" t="s">
        <v>245</v>
      </c>
      <c r="D167" s="5" t="s">
        <v>125</v>
      </c>
      <c r="E167" s="5" t="s">
        <v>88</v>
      </c>
      <c r="F167" s="5" t="s">
        <v>25</v>
      </c>
      <c r="G167" s="5" t="s">
        <v>164</v>
      </c>
      <c r="H167" s="5"/>
      <c r="I167" s="6">
        <v>0</v>
      </c>
      <c r="J167" s="6">
        <v>0</v>
      </c>
      <c r="K167" s="6">
        <v>0</v>
      </c>
      <c r="L167" s="6">
        <v>0</v>
      </c>
      <c r="M167" s="5"/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5"/>
      <c r="T167" s="7">
        <v>183873</v>
      </c>
      <c r="U167" s="7">
        <v>154148.68</v>
      </c>
      <c r="V167" s="7">
        <v>0</v>
      </c>
      <c r="W167" s="7">
        <v>154148.68</v>
      </c>
      <c r="X167" s="7">
        <v>0</v>
      </c>
      <c r="Y167" s="7">
        <v>-29724.32</v>
      </c>
    </row>
    <row r="168" spans="1:25" ht="51" x14ac:dyDescent="0.2">
      <c r="A168" s="5" t="s">
        <v>298</v>
      </c>
      <c r="B168" s="5" t="s">
        <v>27</v>
      </c>
      <c r="C168" s="5" t="s">
        <v>229</v>
      </c>
      <c r="D168" s="5" t="s">
        <v>125</v>
      </c>
      <c r="E168" s="5" t="s">
        <v>88</v>
      </c>
      <c r="F168" s="5" t="s">
        <v>18</v>
      </c>
      <c r="G168" s="5" t="s">
        <v>164</v>
      </c>
      <c r="H168" s="5"/>
      <c r="I168" s="6">
        <v>0</v>
      </c>
      <c r="J168" s="6">
        <v>0</v>
      </c>
      <c r="K168" s="6">
        <v>0</v>
      </c>
      <c r="L168" s="6">
        <v>0</v>
      </c>
      <c r="M168" s="5"/>
      <c r="N168" s="6">
        <v>140</v>
      </c>
      <c r="O168" s="6">
        <v>234</v>
      </c>
      <c r="P168" s="6">
        <v>234</v>
      </c>
      <c r="Q168" s="6">
        <v>0</v>
      </c>
      <c r="R168" s="6">
        <v>94</v>
      </c>
      <c r="S168" s="5"/>
      <c r="T168" s="7">
        <v>12600</v>
      </c>
      <c r="U168" s="7">
        <v>20012.54</v>
      </c>
      <c r="V168" s="7">
        <v>0</v>
      </c>
      <c r="W168" s="7">
        <v>20220.25</v>
      </c>
      <c r="X168" s="7">
        <v>207.71</v>
      </c>
      <c r="Y168" s="7">
        <v>7620.25</v>
      </c>
    </row>
    <row r="169" spans="1:25" ht="51" x14ac:dyDescent="0.2">
      <c r="A169" s="5" t="s">
        <v>298</v>
      </c>
      <c r="B169" s="5" t="s">
        <v>27</v>
      </c>
      <c r="C169" s="5" t="s">
        <v>229</v>
      </c>
      <c r="D169" s="5" t="s">
        <v>125</v>
      </c>
      <c r="E169" s="5" t="s">
        <v>88</v>
      </c>
      <c r="F169" s="5" t="s">
        <v>25</v>
      </c>
      <c r="G169" s="5" t="s">
        <v>164</v>
      </c>
      <c r="H169" s="5"/>
      <c r="I169" s="6">
        <v>0</v>
      </c>
      <c r="J169" s="6">
        <v>25</v>
      </c>
      <c r="K169" s="6">
        <v>0</v>
      </c>
      <c r="L169" s="6">
        <v>-25</v>
      </c>
      <c r="M169" s="5"/>
      <c r="N169" s="6">
        <v>0</v>
      </c>
      <c r="O169" s="6">
        <v>0</v>
      </c>
      <c r="P169" s="6">
        <v>0</v>
      </c>
      <c r="Q169" s="6">
        <v>0</v>
      </c>
      <c r="R169" s="6">
        <v>0</v>
      </c>
      <c r="S169" s="5"/>
      <c r="T169" s="7">
        <v>282002</v>
      </c>
      <c r="U169" s="7">
        <v>204127.96</v>
      </c>
      <c r="V169" s="7">
        <v>0</v>
      </c>
      <c r="W169" s="7">
        <v>204531.71</v>
      </c>
      <c r="X169" s="7">
        <v>403.75</v>
      </c>
      <c r="Y169" s="7">
        <v>-77470.289999999994</v>
      </c>
    </row>
    <row r="170" spans="1:25" ht="51" x14ac:dyDescent="0.2">
      <c r="A170" s="5" t="s">
        <v>299</v>
      </c>
      <c r="B170" s="5" t="s">
        <v>27</v>
      </c>
      <c r="C170" s="5" t="s">
        <v>231</v>
      </c>
      <c r="D170" s="5" t="s">
        <v>125</v>
      </c>
      <c r="E170" s="5" t="s">
        <v>88</v>
      </c>
      <c r="F170" s="5" t="s">
        <v>18</v>
      </c>
      <c r="G170" s="5" t="s">
        <v>164</v>
      </c>
      <c r="H170" s="5"/>
      <c r="I170" s="6">
        <v>0</v>
      </c>
      <c r="J170" s="6">
        <v>0</v>
      </c>
      <c r="K170" s="6">
        <v>0</v>
      </c>
      <c r="L170" s="6">
        <v>0</v>
      </c>
      <c r="M170" s="5"/>
      <c r="N170" s="6">
        <v>126</v>
      </c>
      <c r="O170" s="6">
        <v>573</v>
      </c>
      <c r="P170" s="6">
        <v>573</v>
      </c>
      <c r="Q170" s="6">
        <v>0</v>
      </c>
      <c r="R170" s="6">
        <v>447</v>
      </c>
      <c r="S170" s="5"/>
      <c r="T170" s="7">
        <v>11340</v>
      </c>
      <c r="U170" s="7">
        <v>41578.57</v>
      </c>
      <c r="V170" s="7">
        <v>0</v>
      </c>
      <c r="W170" s="7">
        <v>41578.57</v>
      </c>
      <c r="X170" s="7">
        <v>0</v>
      </c>
      <c r="Y170" s="7">
        <v>30238.57</v>
      </c>
    </row>
    <row r="171" spans="1:25" ht="51" x14ac:dyDescent="0.2">
      <c r="A171" s="5" t="s">
        <v>299</v>
      </c>
      <c r="B171" s="5" t="s">
        <v>27</v>
      </c>
      <c r="C171" s="5" t="s">
        <v>231</v>
      </c>
      <c r="D171" s="5" t="s">
        <v>125</v>
      </c>
      <c r="E171" s="5" t="s">
        <v>88</v>
      </c>
      <c r="F171" s="5" t="s">
        <v>25</v>
      </c>
      <c r="G171" s="5" t="s">
        <v>164</v>
      </c>
      <c r="H171" s="5"/>
      <c r="I171" s="6">
        <v>0</v>
      </c>
      <c r="J171" s="6">
        <v>0</v>
      </c>
      <c r="K171" s="6">
        <v>0</v>
      </c>
      <c r="L171" s="6">
        <v>0</v>
      </c>
      <c r="M171" s="5"/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5"/>
      <c r="T171" s="7">
        <v>282002</v>
      </c>
      <c r="U171" s="7">
        <v>166809.82999999999</v>
      </c>
      <c r="V171" s="7">
        <v>6337.94</v>
      </c>
      <c r="W171" s="7">
        <v>174311.28</v>
      </c>
      <c r="X171" s="7">
        <v>7501.45</v>
      </c>
      <c r="Y171" s="7">
        <v>-107690.72</v>
      </c>
    </row>
    <row r="172" spans="1:25" ht="51" x14ac:dyDescent="0.2">
      <c r="A172" s="5" t="s">
        <v>300</v>
      </c>
      <c r="B172" s="5" t="s">
        <v>27</v>
      </c>
      <c r="C172" s="5" t="s">
        <v>233</v>
      </c>
      <c r="D172" s="5" t="s">
        <v>125</v>
      </c>
      <c r="E172" s="5" t="s">
        <v>88</v>
      </c>
      <c r="F172" s="5" t="s">
        <v>18</v>
      </c>
      <c r="G172" s="5" t="s">
        <v>164</v>
      </c>
      <c r="H172" s="5"/>
      <c r="I172" s="6">
        <v>0</v>
      </c>
      <c r="J172" s="6">
        <v>0</v>
      </c>
      <c r="K172" s="6">
        <v>0</v>
      </c>
      <c r="L172" s="6">
        <v>0</v>
      </c>
      <c r="M172" s="5"/>
      <c r="N172" s="6">
        <v>27</v>
      </c>
      <c r="O172" s="6">
        <v>149</v>
      </c>
      <c r="P172" s="6">
        <v>173</v>
      </c>
      <c r="Q172" s="6">
        <v>24</v>
      </c>
      <c r="R172" s="6">
        <v>146</v>
      </c>
      <c r="S172" s="5"/>
      <c r="T172" s="7">
        <v>2430</v>
      </c>
      <c r="U172" s="7">
        <v>13416.4</v>
      </c>
      <c r="V172" s="7">
        <v>0</v>
      </c>
      <c r="W172" s="7">
        <v>15577.43</v>
      </c>
      <c r="X172" s="7">
        <v>2161.0300000000002</v>
      </c>
      <c r="Y172" s="7">
        <v>13147.43</v>
      </c>
    </row>
    <row r="173" spans="1:25" ht="51" x14ac:dyDescent="0.2">
      <c r="A173" s="5" t="s">
        <v>300</v>
      </c>
      <c r="B173" s="5" t="s">
        <v>27</v>
      </c>
      <c r="C173" s="5" t="s">
        <v>233</v>
      </c>
      <c r="D173" s="5" t="s">
        <v>125</v>
      </c>
      <c r="E173" s="5" t="s">
        <v>88</v>
      </c>
      <c r="F173" s="5" t="s">
        <v>25</v>
      </c>
      <c r="G173" s="5" t="s">
        <v>164</v>
      </c>
      <c r="H173" s="5"/>
      <c r="I173" s="6">
        <v>0</v>
      </c>
      <c r="J173" s="6">
        <v>0</v>
      </c>
      <c r="K173" s="6">
        <v>0</v>
      </c>
      <c r="L173" s="6">
        <v>0</v>
      </c>
      <c r="M173" s="5"/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5"/>
      <c r="T173" s="7">
        <v>69286.13</v>
      </c>
      <c r="U173" s="7">
        <v>50146.84</v>
      </c>
      <c r="V173" s="7">
        <v>0</v>
      </c>
      <c r="W173" s="7">
        <v>50146.84</v>
      </c>
      <c r="X173" s="7">
        <v>0</v>
      </c>
      <c r="Y173" s="7">
        <v>-19139.29</v>
      </c>
    </row>
    <row r="174" spans="1:25" ht="51" x14ac:dyDescent="0.2">
      <c r="A174" s="5" t="s">
        <v>301</v>
      </c>
      <c r="B174" s="5" t="s">
        <v>27</v>
      </c>
      <c r="C174" s="5" t="s">
        <v>235</v>
      </c>
      <c r="D174" s="5" t="s">
        <v>125</v>
      </c>
      <c r="E174" s="5" t="s">
        <v>88</v>
      </c>
      <c r="F174" s="5" t="s">
        <v>18</v>
      </c>
      <c r="G174" s="5" t="s">
        <v>164</v>
      </c>
      <c r="H174" s="5"/>
      <c r="I174" s="6">
        <v>0</v>
      </c>
      <c r="J174" s="6">
        <v>0</v>
      </c>
      <c r="K174" s="6">
        <v>0</v>
      </c>
      <c r="L174" s="6">
        <v>0</v>
      </c>
      <c r="M174" s="5"/>
      <c r="N174" s="6">
        <v>27</v>
      </c>
      <c r="O174" s="6">
        <v>134</v>
      </c>
      <c r="P174" s="6">
        <v>158</v>
      </c>
      <c r="Q174" s="6">
        <v>24</v>
      </c>
      <c r="R174" s="6">
        <v>131</v>
      </c>
      <c r="S174" s="5"/>
      <c r="T174" s="7">
        <v>2430</v>
      </c>
      <c r="U174" s="7">
        <v>11832.87</v>
      </c>
      <c r="V174" s="7">
        <v>0</v>
      </c>
      <c r="W174" s="7">
        <v>13952.19</v>
      </c>
      <c r="X174" s="7">
        <v>2119.3200000000002</v>
      </c>
      <c r="Y174" s="7">
        <v>11522.19</v>
      </c>
    </row>
    <row r="175" spans="1:25" ht="51" x14ac:dyDescent="0.2">
      <c r="A175" s="5" t="s">
        <v>301</v>
      </c>
      <c r="B175" s="5" t="s">
        <v>27</v>
      </c>
      <c r="C175" s="5" t="s">
        <v>235</v>
      </c>
      <c r="D175" s="5" t="s">
        <v>125</v>
      </c>
      <c r="E175" s="5" t="s">
        <v>88</v>
      </c>
      <c r="F175" s="5" t="s">
        <v>25</v>
      </c>
      <c r="G175" s="5" t="s">
        <v>164</v>
      </c>
      <c r="H175" s="5"/>
      <c r="I175" s="6">
        <v>0</v>
      </c>
      <c r="J175" s="6">
        <v>0</v>
      </c>
      <c r="K175" s="6">
        <v>0</v>
      </c>
      <c r="L175" s="6">
        <v>0</v>
      </c>
      <c r="M175" s="5"/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5"/>
      <c r="T175" s="7">
        <v>69286</v>
      </c>
      <c r="U175" s="7">
        <v>49652.28</v>
      </c>
      <c r="V175" s="7">
        <v>0</v>
      </c>
      <c r="W175" s="7">
        <v>49652.28</v>
      </c>
      <c r="X175" s="7">
        <v>0</v>
      </c>
      <c r="Y175" s="7">
        <v>-19633.72</v>
      </c>
    </row>
    <row r="176" spans="1:25" ht="51" x14ac:dyDescent="0.2">
      <c r="A176" s="5" t="s">
        <v>302</v>
      </c>
      <c r="B176" s="5" t="s">
        <v>27</v>
      </c>
      <c r="C176" s="5" t="s">
        <v>237</v>
      </c>
      <c r="D176" s="5" t="s">
        <v>125</v>
      </c>
      <c r="E176" s="5" t="s">
        <v>88</v>
      </c>
      <c r="F176" s="5" t="s">
        <v>18</v>
      </c>
      <c r="G176" s="5" t="s">
        <v>164</v>
      </c>
      <c r="H176" s="5"/>
      <c r="I176" s="6">
        <v>0</v>
      </c>
      <c r="J176" s="6">
        <v>0</v>
      </c>
      <c r="K176" s="6">
        <v>0</v>
      </c>
      <c r="L176" s="6">
        <v>0</v>
      </c>
      <c r="M176" s="5"/>
      <c r="N176" s="6">
        <v>581</v>
      </c>
      <c r="O176" s="6">
        <v>1187</v>
      </c>
      <c r="P176" s="6">
        <v>1187</v>
      </c>
      <c r="Q176" s="6">
        <v>0</v>
      </c>
      <c r="R176" s="6">
        <v>606</v>
      </c>
      <c r="S176" s="5"/>
      <c r="T176" s="7">
        <v>52290</v>
      </c>
      <c r="U176" s="7">
        <v>104673.49</v>
      </c>
      <c r="V176" s="7">
        <v>0</v>
      </c>
      <c r="W176" s="7">
        <v>104673.49</v>
      </c>
      <c r="X176" s="7">
        <v>0</v>
      </c>
      <c r="Y176" s="7">
        <v>52383.49</v>
      </c>
    </row>
    <row r="177" spans="1:25" ht="51" x14ac:dyDescent="0.2">
      <c r="A177" s="5" t="s">
        <v>302</v>
      </c>
      <c r="B177" s="5" t="s">
        <v>27</v>
      </c>
      <c r="C177" s="5" t="s">
        <v>237</v>
      </c>
      <c r="D177" s="5" t="s">
        <v>125</v>
      </c>
      <c r="E177" s="5" t="s">
        <v>88</v>
      </c>
      <c r="F177" s="5" t="s">
        <v>25</v>
      </c>
      <c r="G177" s="5" t="s">
        <v>164</v>
      </c>
      <c r="H177" s="5"/>
      <c r="I177" s="6">
        <v>0</v>
      </c>
      <c r="J177" s="6">
        <v>53</v>
      </c>
      <c r="K177" s="6">
        <v>0</v>
      </c>
      <c r="L177" s="6">
        <v>-53</v>
      </c>
      <c r="M177" s="5"/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5"/>
      <c r="T177" s="7">
        <v>887679</v>
      </c>
      <c r="U177" s="7">
        <v>843201.15</v>
      </c>
      <c r="V177" s="7">
        <v>23560.74</v>
      </c>
      <c r="W177" s="7">
        <v>869960.74</v>
      </c>
      <c r="X177" s="7">
        <v>26759.59</v>
      </c>
      <c r="Y177" s="7">
        <v>-17718.259999999998</v>
      </c>
    </row>
    <row r="178" spans="1:25" ht="51" x14ac:dyDescent="0.2">
      <c r="A178" s="5" t="s">
        <v>303</v>
      </c>
      <c r="B178" s="5" t="s">
        <v>27</v>
      </c>
      <c r="C178" s="5" t="s">
        <v>239</v>
      </c>
      <c r="D178" s="5" t="s">
        <v>125</v>
      </c>
      <c r="E178" s="5" t="s">
        <v>88</v>
      </c>
      <c r="F178" s="5" t="s">
        <v>18</v>
      </c>
      <c r="G178" s="5" t="s">
        <v>164</v>
      </c>
      <c r="H178" s="5"/>
      <c r="I178" s="6">
        <v>0</v>
      </c>
      <c r="J178" s="6">
        <v>0</v>
      </c>
      <c r="K178" s="6">
        <v>0</v>
      </c>
      <c r="L178" s="6">
        <v>0</v>
      </c>
      <c r="M178" s="5"/>
      <c r="N178" s="6">
        <v>168</v>
      </c>
      <c r="O178" s="6">
        <v>269</v>
      </c>
      <c r="P178" s="6">
        <v>269</v>
      </c>
      <c r="Q178" s="6">
        <v>0</v>
      </c>
      <c r="R178" s="6">
        <v>101</v>
      </c>
      <c r="S178" s="5"/>
      <c r="T178" s="7">
        <v>15120</v>
      </c>
      <c r="U178" s="7">
        <v>23218.880000000001</v>
      </c>
      <c r="V178" s="7">
        <v>0</v>
      </c>
      <c r="W178" s="7">
        <v>23218.880000000001</v>
      </c>
      <c r="X178" s="7">
        <v>0</v>
      </c>
      <c r="Y178" s="7">
        <v>8098.88</v>
      </c>
    </row>
    <row r="179" spans="1:25" ht="51" x14ac:dyDescent="0.2">
      <c r="A179" s="5" t="s">
        <v>303</v>
      </c>
      <c r="B179" s="5" t="s">
        <v>27</v>
      </c>
      <c r="C179" s="5" t="s">
        <v>239</v>
      </c>
      <c r="D179" s="5" t="s">
        <v>125</v>
      </c>
      <c r="E179" s="5" t="s">
        <v>88</v>
      </c>
      <c r="F179" s="5" t="s">
        <v>25</v>
      </c>
      <c r="G179" s="5" t="s">
        <v>164</v>
      </c>
      <c r="H179" s="5"/>
      <c r="I179" s="6">
        <v>0</v>
      </c>
      <c r="J179" s="6">
        <v>0</v>
      </c>
      <c r="K179" s="6">
        <v>0</v>
      </c>
      <c r="L179" s="6">
        <v>0</v>
      </c>
      <c r="M179" s="5"/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5"/>
      <c r="T179" s="7">
        <v>371954</v>
      </c>
      <c r="U179" s="7">
        <v>222038.05</v>
      </c>
      <c r="V179" s="7">
        <v>16.16</v>
      </c>
      <c r="W179" s="7">
        <v>222054.21</v>
      </c>
      <c r="X179" s="7">
        <v>16.16</v>
      </c>
      <c r="Y179" s="7">
        <v>-149899.79</v>
      </c>
    </row>
    <row r="180" spans="1:25" ht="51" x14ac:dyDescent="0.2">
      <c r="A180" s="5" t="s">
        <v>304</v>
      </c>
      <c r="B180" s="5" t="s">
        <v>305</v>
      </c>
      <c r="C180" s="5" t="s">
        <v>225</v>
      </c>
      <c r="D180" s="5" t="s">
        <v>125</v>
      </c>
      <c r="E180" s="5" t="s">
        <v>88</v>
      </c>
      <c r="F180" s="5" t="s">
        <v>25</v>
      </c>
      <c r="G180" s="5" t="s">
        <v>164</v>
      </c>
      <c r="H180" s="5"/>
      <c r="I180" s="6">
        <v>0</v>
      </c>
      <c r="J180" s="6">
        <v>2</v>
      </c>
      <c r="K180" s="6">
        <v>0</v>
      </c>
      <c r="L180" s="6">
        <v>-2</v>
      </c>
      <c r="M180" s="5"/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5"/>
      <c r="T180" s="7">
        <v>50869.27</v>
      </c>
      <c r="U180" s="7">
        <v>31454.98</v>
      </c>
      <c r="V180" s="7">
        <v>0</v>
      </c>
      <c r="W180" s="7">
        <v>31454.98</v>
      </c>
      <c r="X180" s="7">
        <v>0</v>
      </c>
      <c r="Y180" s="7">
        <v>-19414.29</v>
      </c>
    </row>
    <row r="181" spans="1:25" ht="51" x14ac:dyDescent="0.2">
      <c r="A181" s="5" t="s">
        <v>306</v>
      </c>
      <c r="B181" s="5" t="s">
        <v>305</v>
      </c>
      <c r="C181" s="5" t="s">
        <v>237</v>
      </c>
      <c r="D181" s="5" t="s">
        <v>125</v>
      </c>
      <c r="E181" s="5" t="s">
        <v>88</v>
      </c>
      <c r="F181" s="5" t="s">
        <v>25</v>
      </c>
      <c r="G181" s="5" t="s">
        <v>164</v>
      </c>
      <c r="H181" s="5"/>
      <c r="I181" s="6">
        <v>0</v>
      </c>
      <c r="J181" s="6">
        <v>2</v>
      </c>
      <c r="K181" s="6">
        <v>0</v>
      </c>
      <c r="L181" s="6">
        <v>-2</v>
      </c>
      <c r="M181" s="5"/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5"/>
      <c r="T181" s="7">
        <v>9855</v>
      </c>
      <c r="U181" s="7">
        <v>8774.0300000000007</v>
      </c>
      <c r="V181" s="7">
        <v>0</v>
      </c>
      <c r="W181" s="7">
        <v>8774.0300000000007</v>
      </c>
      <c r="X181" s="7">
        <v>0</v>
      </c>
      <c r="Y181" s="7">
        <v>-1080.97</v>
      </c>
    </row>
    <row r="182" spans="1:25" ht="51" x14ac:dyDescent="0.2">
      <c r="A182" s="5" t="s">
        <v>307</v>
      </c>
      <c r="B182" s="5" t="s">
        <v>308</v>
      </c>
      <c r="C182" s="5" t="s">
        <v>225</v>
      </c>
      <c r="D182" s="5" t="s">
        <v>125</v>
      </c>
      <c r="E182" s="5" t="s">
        <v>88</v>
      </c>
      <c r="F182" s="5" t="s">
        <v>25</v>
      </c>
      <c r="G182" s="5" t="s">
        <v>164</v>
      </c>
      <c r="H182" s="5"/>
      <c r="I182" s="6">
        <v>0</v>
      </c>
      <c r="J182" s="6">
        <v>24</v>
      </c>
      <c r="K182" s="6">
        <v>0</v>
      </c>
      <c r="L182" s="6">
        <v>-24</v>
      </c>
      <c r="M182" s="5"/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5"/>
      <c r="T182" s="7">
        <v>94527</v>
      </c>
      <c r="U182" s="7">
        <v>29220.52</v>
      </c>
      <c r="V182" s="7">
        <v>0</v>
      </c>
      <c r="W182" s="7">
        <v>29220.52</v>
      </c>
      <c r="X182" s="7">
        <v>0</v>
      </c>
      <c r="Y182" s="7">
        <v>-65306.48</v>
      </c>
    </row>
    <row r="183" spans="1:25" ht="51" x14ac:dyDescent="0.2">
      <c r="A183" s="5" t="s">
        <v>309</v>
      </c>
      <c r="B183" s="5" t="s">
        <v>308</v>
      </c>
      <c r="C183" s="5" t="s">
        <v>122</v>
      </c>
      <c r="D183" s="5" t="s">
        <v>125</v>
      </c>
      <c r="E183" s="5" t="s">
        <v>88</v>
      </c>
      <c r="F183" s="5" t="s">
        <v>25</v>
      </c>
      <c r="G183" s="5" t="s">
        <v>164</v>
      </c>
      <c r="H183" s="5"/>
      <c r="I183" s="6">
        <v>0</v>
      </c>
      <c r="J183" s="6">
        <v>0</v>
      </c>
      <c r="K183" s="6">
        <v>0</v>
      </c>
      <c r="L183" s="6">
        <v>0</v>
      </c>
      <c r="M183" s="5"/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5"/>
      <c r="T183" s="7">
        <v>12619.88</v>
      </c>
      <c r="U183" s="7">
        <v>11188.21</v>
      </c>
      <c r="V183" s="7">
        <v>0</v>
      </c>
      <c r="W183" s="7">
        <v>11188.21</v>
      </c>
      <c r="X183" s="7">
        <v>0</v>
      </c>
      <c r="Y183" s="7">
        <v>-1431.67</v>
      </c>
    </row>
    <row r="184" spans="1:25" ht="51" x14ac:dyDescent="0.2">
      <c r="A184" s="5" t="s">
        <v>310</v>
      </c>
      <c r="B184" s="5" t="s">
        <v>308</v>
      </c>
      <c r="C184" s="5" t="s">
        <v>227</v>
      </c>
      <c r="D184" s="5" t="s">
        <v>125</v>
      </c>
      <c r="E184" s="5" t="s">
        <v>88</v>
      </c>
      <c r="F184" s="5" t="s">
        <v>25</v>
      </c>
      <c r="G184" s="5" t="s">
        <v>164</v>
      </c>
      <c r="H184" s="5"/>
      <c r="I184" s="6">
        <v>0</v>
      </c>
      <c r="J184" s="6">
        <v>5</v>
      </c>
      <c r="K184" s="6">
        <v>0</v>
      </c>
      <c r="L184" s="6">
        <v>-5</v>
      </c>
      <c r="M184" s="5"/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5"/>
      <c r="T184" s="7">
        <v>57738</v>
      </c>
      <c r="U184" s="7">
        <v>1345.63</v>
      </c>
      <c r="V184" s="7">
        <v>0</v>
      </c>
      <c r="W184" s="7">
        <v>1345.63</v>
      </c>
      <c r="X184" s="7">
        <v>0</v>
      </c>
      <c r="Y184" s="7">
        <v>-56392.37</v>
      </c>
    </row>
    <row r="185" spans="1:25" ht="51" x14ac:dyDescent="0.2">
      <c r="A185" s="5" t="s">
        <v>311</v>
      </c>
      <c r="B185" s="5" t="s">
        <v>308</v>
      </c>
      <c r="C185" s="5" t="s">
        <v>245</v>
      </c>
      <c r="D185" s="5" t="s">
        <v>125</v>
      </c>
      <c r="E185" s="5" t="s">
        <v>88</v>
      </c>
      <c r="F185" s="5" t="s">
        <v>25</v>
      </c>
      <c r="G185" s="5" t="s">
        <v>164</v>
      </c>
      <c r="H185" s="5"/>
      <c r="I185" s="6">
        <v>0</v>
      </c>
      <c r="J185" s="6">
        <v>17</v>
      </c>
      <c r="K185" s="6">
        <v>0</v>
      </c>
      <c r="L185" s="6">
        <v>-17</v>
      </c>
      <c r="M185" s="5"/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5"/>
      <c r="T185" s="7">
        <v>24178</v>
      </c>
      <c r="U185" s="7">
        <v>1857.52</v>
      </c>
      <c r="V185" s="7">
        <v>383.25</v>
      </c>
      <c r="W185" s="7">
        <v>2240.77</v>
      </c>
      <c r="X185" s="7">
        <v>383.25</v>
      </c>
      <c r="Y185" s="7">
        <v>-21937.23</v>
      </c>
    </row>
    <row r="186" spans="1:25" ht="51" x14ac:dyDescent="0.2">
      <c r="A186" s="5" t="s">
        <v>312</v>
      </c>
      <c r="B186" s="5" t="s">
        <v>308</v>
      </c>
      <c r="C186" s="5" t="s">
        <v>229</v>
      </c>
      <c r="D186" s="5" t="s">
        <v>125</v>
      </c>
      <c r="E186" s="5" t="s">
        <v>88</v>
      </c>
      <c r="F186" s="5" t="s">
        <v>25</v>
      </c>
      <c r="G186" s="5" t="s">
        <v>164</v>
      </c>
      <c r="H186" s="5"/>
      <c r="I186" s="6">
        <v>0</v>
      </c>
      <c r="J186" s="6">
        <v>0</v>
      </c>
      <c r="K186" s="6">
        <v>0</v>
      </c>
      <c r="L186" s="6">
        <v>0</v>
      </c>
      <c r="M186" s="5"/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5"/>
      <c r="T186" s="7">
        <v>40404</v>
      </c>
      <c r="U186" s="7">
        <v>33143</v>
      </c>
      <c r="V186" s="7">
        <v>697.56</v>
      </c>
      <c r="W186" s="7">
        <v>33840.559999999998</v>
      </c>
      <c r="X186" s="7">
        <v>697.56</v>
      </c>
      <c r="Y186" s="7">
        <v>-6563.44</v>
      </c>
    </row>
    <row r="187" spans="1:25" ht="51" x14ac:dyDescent="0.2">
      <c r="A187" s="5" t="s">
        <v>313</v>
      </c>
      <c r="B187" s="5" t="s">
        <v>308</v>
      </c>
      <c r="C187" s="5" t="s">
        <v>231</v>
      </c>
      <c r="D187" s="5" t="s">
        <v>125</v>
      </c>
      <c r="E187" s="5" t="s">
        <v>88</v>
      </c>
      <c r="F187" s="5" t="s">
        <v>25</v>
      </c>
      <c r="G187" s="5" t="s">
        <v>164</v>
      </c>
      <c r="H187" s="5"/>
      <c r="I187" s="6">
        <v>0</v>
      </c>
      <c r="J187" s="6">
        <v>0</v>
      </c>
      <c r="K187" s="6">
        <v>0</v>
      </c>
      <c r="L187" s="6">
        <v>0</v>
      </c>
      <c r="M187" s="5"/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5"/>
      <c r="T187" s="7">
        <v>30674</v>
      </c>
      <c r="U187" s="7">
        <v>61007.97</v>
      </c>
      <c r="V187" s="7">
        <v>0</v>
      </c>
      <c r="W187" s="7">
        <v>61007.97</v>
      </c>
      <c r="X187" s="7">
        <v>0</v>
      </c>
      <c r="Y187" s="7">
        <v>30333.97</v>
      </c>
    </row>
    <row r="188" spans="1:25" ht="51" x14ac:dyDescent="0.2">
      <c r="A188" s="5" t="s">
        <v>314</v>
      </c>
      <c r="B188" s="5" t="s">
        <v>308</v>
      </c>
      <c r="C188" s="5" t="s">
        <v>233</v>
      </c>
      <c r="D188" s="5" t="s">
        <v>125</v>
      </c>
      <c r="E188" s="5" t="s">
        <v>88</v>
      </c>
      <c r="F188" s="5" t="s">
        <v>25</v>
      </c>
      <c r="G188" s="5" t="s">
        <v>164</v>
      </c>
      <c r="H188" s="5"/>
      <c r="I188" s="6">
        <v>0</v>
      </c>
      <c r="J188" s="6">
        <v>0</v>
      </c>
      <c r="K188" s="6">
        <v>0</v>
      </c>
      <c r="L188" s="6">
        <v>0</v>
      </c>
      <c r="M188" s="5"/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5"/>
      <c r="T188" s="7">
        <v>3175.5</v>
      </c>
      <c r="U188" s="7">
        <v>2843.27</v>
      </c>
      <c r="V188" s="7">
        <v>0</v>
      </c>
      <c r="W188" s="7">
        <v>2843.27</v>
      </c>
      <c r="X188" s="7">
        <v>0</v>
      </c>
      <c r="Y188" s="7">
        <v>-332.23</v>
      </c>
    </row>
    <row r="189" spans="1:25" ht="51" x14ac:dyDescent="0.2">
      <c r="A189" s="5" t="s">
        <v>315</v>
      </c>
      <c r="B189" s="5" t="s">
        <v>308</v>
      </c>
      <c r="C189" s="5" t="s">
        <v>235</v>
      </c>
      <c r="D189" s="5" t="s">
        <v>125</v>
      </c>
      <c r="E189" s="5" t="s">
        <v>88</v>
      </c>
      <c r="F189" s="5" t="s">
        <v>25</v>
      </c>
      <c r="G189" s="5" t="s">
        <v>164</v>
      </c>
      <c r="H189" s="5"/>
      <c r="I189" s="6">
        <v>0</v>
      </c>
      <c r="J189" s="6">
        <v>0</v>
      </c>
      <c r="K189" s="6">
        <v>0</v>
      </c>
      <c r="L189" s="6">
        <v>0</v>
      </c>
      <c r="M189" s="5"/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5"/>
      <c r="T189" s="7">
        <v>3244</v>
      </c>
      <c r="U189" s="7">
        <v>13596.58</v>
      </c>
      <c r="V189" s="7">
        <v>830.56</v>
      </c>
      <c r="W189" s="7">
        <v>14427.14</v>
      </c>
      <c r="X189" s="7">
        <v>830.56</v>
      </c>
      <c r="Y189" s="7">
        <v>11183.14</v>
      </c>
    </row>
    <row r="190" spans="1:25" ht="51" x14ac:dyDescent="0.2">
      <c r="A190" s="5" t="s">
        <v>316</v>
      </c>
      <c r="B190" s="5" t="s">
        <v>308</v>
      </c>
      <c r="C190" s="5" t="s">
        <v>237</v>
      </c>
      <c r="D190" s="5" t="s">
        <v>125</v>
      </c>
      <c r="E190" s="5" t="s">
        <v>88</v>
      </c>
      <c r="F190" s="5" t="s">
        <v>25</v>
      </c>
      <c r="G190" s="5" t="s">
        <v>164</v>
      </c>
      <c r="H190" s="5"/>
      <c r="I190" s="6">
        <v>0</v>
      </c>
      <c r="J190" s="6">
        <v>1</v>
      </c>
      <c r="K190" s="6">
        <v>0</v>
      </c>
      <c r="L190" s="6">
        <v>-1</v>
      </c>
      <c r="M190" s="5"/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5"/>
      <c r="T190" s="7">
        <v>120912</v>
      </c>
      <c r="U190" s="7">
        <v>39188.86</v>
      </c>
      <c r="V190" s="7">
        <v>0</v>
      </c>
      <c r="W190" s="7">
        <v>39197.300000000003</v>
      </c>
      <c r="X190" s="7">
        <v>8.44</v>
      </c>
      <c r="Y190" s="7">
        <v>-81714.7</v>
      </c>
    </row>
    <row r="191" spans="1:25" ht="51" x14ac:dyDescent="0.2">
      <c r="A191" s="5" t="s">
        <v>317</v>
      </c>
      <c r="B191" s="5" t="s">
        <v>308</v>
      </c>
      <c r="C191" s="5" t="s">
        <v>239</v>
      </c>
      <c r="D191" s="5" t="s">
        <v>125</v>
      </c>
      <c r="E191" s="5" t="s">
        <v>88</v>
      </c>
      <c r="F191" s="5" t="s">
        <v>25</v>
      </c>
      <c r="G191" s="5" t="s">
        <v>164</v>
      </c>
      <c r="H191" s="5"/>
      <c r="I191" s="6">
        <v>0</v>
      </c>
      <c r="J191" s="6">
        <v>1</v>
      </c>
      <c r="K191" s="6">
        <v>0</v>
      </c>
      <c r="L191" s="6">
        <v>-1</v>
      </c>
      <c r="M191" s="5"/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5"/>
      <c r="T191" s="7">
        <v>44708</v>
      </c>
      <c r="U191" s="7">
        <v>31436.95</v>
      </c>
      <c r="V191" s="7">
        <v>0</v>
      </c>
      <c r="W191" s="7">
        <v>31436.95</v>
      </c>
      <c r="X191" s="7">
        <v>0</v>
      </c>
      <c r="Y191" s="7">
        <v>-13271.05</v>
      </c>
    </row>
    <row r="192" spans="1:25" ht="51" x14ac:dyDescent="0.2">
      <c r="A192" s="5" t="s">
        <v>318</v>
      </c>
      <c r="B192" s="5" t="s">
        <v>319</v>
      </c>
      <c r="C192" s="5" t="s">
        <v>225</v>
      </c>
      <c r="D192" s="5" t="s">
        <v>125</v>
      </c>
      <c r="E192" s="5" t="s">
        <v>88</v>
      </c>
      <c r="F192" s="5" t="s">
        <v>25</v>
      </c>
      <c r="G192" s="5" t="s">
        <v>164</v>
      </c>
      <c r="H192" s="5"/>
      <c r="I192" s="6">
        <v>0</v>
      </c>
      <c r="J192" s="6">
        <v>15</v>
      </c>
      <c r="K192" s="6">
        <v>0</v>
      </c>
      <c r="L192" s="6">
        <v>-15</v>
      </c>
      <c r="M192" s="5"/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5"/>
      <c r="T192" s="7">
        <v>700472</v>
      </c>
      <c r="U192" s="7">
        <v>926945.76</v>
      </c>
      <c r="V192" s="7">
        <v>1683.86</v>
      </c>
      <c r="W192" s="7">
        <v>928629.62</v>
      </c>
      <c r="X192" s="7">
        <v>1683.86</v>
      </c>
      <c r="Y192" s="7">
        <v>228157.62</v>
      </c>
    </row>
    <row r="193" spans="1:25" ht="51" x14ac:dyDescent="0.2">
      <c r="A193" s="5" t="s">
        <v>320</v>
      </c>
      <c r="B193" s="5" t="s">
        <v>319</v>
      </c>
      <c r="C193" s="5" t="s">
        <v>237</v>
      </c>
      <c r="D193" s="5" t="s">
        <v>125</v>
      </c>
      <c r="E193" s="5" t="s">
        <v>88</v>
      </c>
      <c r="F193" s="5" t="s">
        <v>25</v>
      </c>
      <c r="G193" s="5" t="s">
        <v>164</v>
      </c>
      <c r="H193" s="5"/>
      <c r="I193" s="6">
        <v>0</v>
      </c>
      <c r="J193" s="6">
        <v>0</v>
      </c>
      <c r="K193" s="6">
        <v>0</v>
      </c>
      <c r="L193" s="6">
        <v>0</v>
      </c>
      <c r="M193" s="5"/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5"/>
      <c r="T193" s="7">
        <v>1366451</v>
      </c>
      <c r="U193" s="7">
        <v>1160280.02</v>
      </c>
      <c r="V193" s="7">
        <v>0</v>
      </c>
      <c r="W193" s="7">
        <v>1164565.3500000001</v>
      </c>
      <c r="X193" s="7">
        <v>4285.33</v>
      </c>
      <c r="Y193" s="7">
        <v>-201885.65</v>
      </c>
    </row>
    <row r="194" spans="1:25" ht="51" x14ac:dyDescent="0.2">
      <c r="A194" s="5" t="s">
        <v>321</v>
      </c>
      <c r="B194" s="5" t="s">
        <v>74</v>
      </c>
      <c r="C194" s="5" t="s">
        <v>225</v>
      </c>
      <c r="D194" s="5" t="s">
        <v>125</v>
      </c>
      <c r="E194" s="5" t="s">
        <v>88</v>
      </c>
      <c r="F194" s="5" t="s">
        <v>25</v>
      </c>
      <c r="G194" s="5" t="s">
        <v>164</v>
      </c>
      <c r="H194" s="5"/>
      <c r="I194" s="6">
        <v>0</v>
      </c>
      <c r="J194" s="6">
        <v>0</v>
      </c>
      <c r="K194" s="6">
        <v>0</v>
      </c>
      <c r="L194" s="6">
        <v>0</v>
      </c>
      <c r="M194" s="5"/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5"/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</row>
    <row r="195" spans="1:25" ht="51" x14ac:dyDescent="0.2">
      <c r="A195" s="5" t="s">
        <v>322</v>
      </c>
      <c r="B195" s="5" t="s">
        <v>74</v>
      </c>
      <c r="C195" s="5" t="s">
        <v>237</v>
      </c>
      <c r="D195" s="5" t="s">
        <v>125</v>
      </c>
      <c r="E195" s="5" t="s">
        <v>88</v>
      </c>
      <c r="F195" s="5" t="s">
        <v>25</v>
      </c>
      <c r="G195" s="5" t="s">
        <v>164</v>
      </c>
      <c r="H195" s="5"/>
      <c r="I195" s="6">
        <v>0</v>
      </c>
      <c r="J195" s="6">
        <v>3</v>
      </c>
      <c r="K195" s="6">
        <v>0</v>
      </c>
      <c r="L195" s="6">
        <v>-3</v>
      </c>
      <c r="M195" s="5"/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5"/>
      <c r="T195" s="7">
        <v>102123</v>
      </c>
      <c r="U195" s="7">
        <v>62392.67</v>
      </c>
      <c r="V195" s="7">
        <v>0</v>
      </c>
      <c r="W195" s="7">
        <v>62392.67</v>
      </c>
      <c r="X195" s="7">
        <v>0</v>
      </c>
      <c r="Y195" s="7">
        <v>-39730.33</v>
      </c>
    </row>
    <row r="196" spans="1:25" ht="51" x14ac:dyDescent="0.2">
      <c r="A196" s="5" t="s">
        <v>323</v>
      </c>
      <c r="B196" s="5" t="s">
        <v>75</v>
      </c>
      <c r="C196" s="5" t="s">
        <v>225</v>
      </c>
      <c r="D196" s="5" t="s">
        <v>125</v>
      </c>
      <c r="E196" s="5" t="s">
        <v>88</v>
      </c>
      <c r="F196" s="5" t="s">
        <v>25</v>
      </c>
      <c r="G196" s="5" t="s">
        <v>164</v>
      </c>
      <c r="H196" s="5"/>
      <c r="I196" s="6">
        <v>0</v>
      </c>
      <c r="J196" s="6">
        <v>0</v>
      </c>
      <c r="K196" s="6">
        <v>0</v>
      </c>
      <c r="L196" s="6">
        <v>0</v>
      </c>
      <c r="M196" s="5"/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5"/>
      <c r="T196" s="7">
        <v>2452800</v>
      </c>
      <c r="U196" s="7">
        <v>2221201.02</v>
      </c>
      <c r="V196" s="7">
        <v>111015</v>
      </c>
      <c r="W196" s="7">
        <v>2342762.44</v>
      </c>
      <c r="X196" s="7">
        <v>121561.42</v>
      </c>
      <c r="Y196" s="7">
        <v>-110037.56</v>
      </c>
    </row>
    <row r="197" spans="1:25" ht="51" x14ac:dyDescent="0.2">
      <c r="A197" s="5" t="s">
        <v>324</v>
      </c>
      <c r="B197" s="5" t="s">
        <v>76</v>
      </c>
      <c r="C197" s="5" t="s">
        <v>225</v>
      </c>
      <c r="D197" s="5" t="s">
        <v>125</v>
      </c>
      <c r="E197" s="5" t="s">
        <v>88</v>
      </c>
      <c r="F197" s="5" t="s">
        <v>25</v>
      </c>
      <c r="G197" s="5" t="s">
        <v>164</v>
      </c>
      <c r="H197" s="5"/>
      <c r="I197" s="6">
        <v>0</v>
      </c>
      <c r="J197" s="6">
        <v>0</v>
      </c>
      <c r="K197" s="6">
        <v>0</v>
      </c>
      <c r="L197" s="6">
        <v>0</v>
      </c>
      <c r="M197" s="5"/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5"/>
      <c r="T197" s="7">
        <v>165674</v>
      </c>
      <c r="U197" s="7">
        <v>0</v>
      </c>
      <c r="V197" s="7">
        <v>9447.66</v>
      </c>
      <c r="W197" s="7">
        <v>0</v>
      </c>
      <c r="X197" s="7">
        <v>0</v>
      </c>
      <c r="Y197" s="7">
        <v>-165674</v>
      </c>
    </row>
    <row r="198" spans="1:25" ht="63.75" x14ac:dyDescent="0.2">
      <c r="A198" s="5" t="s">
        <v>325</v>
      </c>
      <c r="B198" s="5" t="s">
        <v>326</v>
      </c>
      <c r="C198" s="5" t="s">
        <v>225</v>
      </c>
      <c r="D198" s="5" t="s">
        <v>125</v>
      </c>
      <c r="E198" s="5" t="s">
        <v>88</v>
      </c>
      <c r="F198" s="5" t="s">
        <v>25</v>
      </c>
      <c r="G198" s="5" t="s">
        <v>164</v>
      </c>
      <c r="H198" s="5"/>
      <c r="I198" s="6">
        <v>0</v>
      </c>
      <c r="J198" s="6">
        <v>0</v>
      </c>
      <c r="K198" s="6">
        <v>0</v>
      </c>
      <c r="L198" s="6">
        <v>0</v>
      </c>
      <c r="M198" s="5"/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5"/>
      <c r="T198" s="7">
        <v>19665</v>
      </c>
      <c r="U198" s="7">
        <v>16801.88</v>
      </c>
      <c r="V198" s="7">
        <v>0</v>
      </c>
      <c r="W198" s="7">
        <v>16801.88</v>
      </c>
      <c r="X198" s="7">
        <v>0</v>
      </c>
      <c r="Y198" s="7">
        <v>-2863.12</v>
      </c>
    </row>
    <row r="199" spans="1:25" ht="51" x14ac:dyDescent="0.2">
      <c r="A199" s="5" t="s">
        <v>327</v>
      </c>
      <c r="B199" s="5" t="s">
        <v>328</v>
      </c>
      <c r="C199" s="5" t="s">
        <v>16</v>
      </c>
      <c r="D199" s="5" t="s">
        <v>73</v>
      </c>
      <c r="E199" s="5" t="s">
        <v>88</v>
      </c>
      <c r="F199" s="5" t="s">
        <v>18</v>
      </c>
      <c r="G199" s="5" t="s">
        <v>329</v>
      </c>
      <c r="H199" s="5"/>
      <c r="I199" s="6">
        <v>0</v>
      </c>
      <c r="J199" s="6">
        <v>0</v>
      </c>
      <c r="K199" s="6">
        <v>0</v>
      </c>
      <c r="L199" s="6">
        <v>0</v>
      </c>
      <c r="M199" s="5"/>
      <c r="N199" s="6">
        <v>0</v>
      </c>
      <c r="O199" s="6">
        <v>0</v>
      </c>
      <c r="P199" s="6">
        <v>0</v>
      </c>
      <c r="Q199" s="6">
        <v>0</v>
      </c>
      <c r="R199" s="6">
        <v>0</v>
      </c>
      <c r="S199" s="5"/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</row>
    <row r="200" spans="1:25" ht="51" x14ac:dyDescent="0.2">
      <c r="A200" s="5" t="s">
        <v>330</v>
      </c>
      <c r="B200" s="5" t="s">
        <v>331</v>
      </c>
      <c r="C200" s="5" t="s">
        <v>16</v>
      </c>
      <c r="D200" s="5" t="s">
        <v>73</v>
      </c>
      <c r="E200" s="5" t="s">
        <v>88</v>
      </c>
      <c r="F200" s="5" t="s">
        <v>18</v>
      </c>
      <c r="G200" s="5" t="s">
        <v>329</v>
      </c>
      <c r="H200" s="5"/>
      <c r="I200" s="6">
        <v>0</v>
      </c>
      <c r="J200" s="6">
        <v>0</v>
      </c>
      <c r="K200" s="6">
        <v>0</v>
      </c>
      <c r="L200" s="6">
        <v>0</v>
      </c>
      <c r="M200" s="5"/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5"/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</row>
    <row r="201" spans="1:25" ht="51" x14ac:dyDescent="0.2">
      <c r="A201" s="5" t="s">
        <v>332</v>
      </c>
      <c r="B201" s="5" t="s">
        <v>333</v>
      </c>
      <c r="C201" s="5" t="s">
        <v>16</v>
      </c>
      <c r="D201" s="5" t="s">
        <v>73</v>
      </c>
      <c r="E201" s="5" t="s">
        <v>88</v>
      </c>
      <c r="F201" s="5" t="s">
        <v>18</v>
      </c>
      <c r="G201" s="5" t="s">
        <v>329</v>
      </c>
      <c r="H201" s="5"/>
      <c r="I201" s="6">
        <v>0</v>
      </c>
      <c r="J201" s="6">
        <v>0</v>
      </c>
      <c r="K201" s="6">
        <v>0</v>
      </c>
      <c r="L201" s="6">
        <v>0</v>
      </c>
      <c r="M201" s="5"/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5"/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</row>
    <row r="202" spans="1:25" ht="51" x14ac:dyDescent="0.2">
      <c r="A202" s="5" t="s">
        <v>334</v>
      </c>
      <c r="B202" s="5" t="s">
        <v>45</v>
      </c>
      <c r="C202" s="5" t="s">
        <v>16</v>
      </c>
      <c r="D202" s="5" t="s">
        <v>335</v>
      </c>
      <c r="E202" s="5" t="s">
        <v>88</v>
      </c>
      <c r="F202" s="5" t="s">
        <v>18</v>
      </c>
      <c r="G202" s="5" t="s">
        <v>89</v>
      </c>
      <c r="H202" s="5"/>
      <c r="I202" s="6">
        <v>0</v>
      </c>
      <c r="J202" s="6">
        <v>0</v>
      </c>
      <c r="K202" s="6">
        <v>0</v>
      </c>
      <c r="L202" s="6">
        <v>0</v>
      </c>
      <c r="M202" s="5"/>
      <c r="N202" s="6">
        <v>5575</v>
      </c>
      <c r="O202" s="6">
        <v>6712</v>
      </c>
      <c r="P202" s="6">
        <v>6764</v>
      </c>
      <c r="Q202" s="6">
        <v>52</v>
      </c>
      <c r="R202" s="6">
        <v>1189</v>
      </c>
      <c r="S202" s="5"/>
      <c r="T202" s="7">
        <v>514819.92</v>
      </c>
      <c r="U202" s="7">
        <v>732160.3</v>
      </c>
      <c r="V202" s="7">
        <v>0</v>
      </c>
      <c r="W202" s="7">
        <v>737818.13</v>
      </c>
      <c r="X202" s="7">
        <v>5657.83</v>
      </c>
      <c r="Y202" s="7">
        <v>222998.21</v>
      </c>
    </row>
    <row r="203" spans="1:25" ht="51" x14ac:dyDescent="0.2">
      <c r="A203" s="5" t="s">
        <v>336</v>
      </c>
      <c r="B203" s="5" t="s">
        <v>337</v>
      </c>
      <c r="C203" s="5" t="s">
        <v>16</v>
      </c>
      <c r="D203" s="5" t="s">
        <v>335</v>
      </c>
      <c r="E203" s="5" t="s">
        <v>123</v>
      </c>
      <c r="F203" s="5" t="s">
        <v>18</v>
      </c>
      <c r="G203" s="5" t="s">
        <v>89</v>
      </c>
      <c r="H203" s="5"/>
      <c r="I203" s="6">
        <v>0</v>
      </c>
      <c r="J203" s="6">
        <v>0</v>
      </c>
      <c r="K203" s="6">
        <v>0</v>
      </c>
      <c r="L203" s="6">
        <v>0</v>
      </c>
      <c r="M203" s="5"/>
      <c r="N203" s="6">
        <v>0</v>
      </c>
      <c r="O203" s="6">
        <v>2</v>
      </c>
      <c r="P203" s="6">
        <v>2</v>
      </c>
      <c r="Q203" s="6">
        <v>0</v>
      </c>
      <c r="R203" s="6">
        <v>2</v>
      </c>
      <c r="S203" s="5"/>
      <c r="T203" s="7">
        <v>0</v>
      </c>
      <c r="U203" s="7">
        <v>205.98</v>
      </c>
      <c r="V203" s="7">
        <v>0</v>
      </c>
      <c r="W203" s="7">
        <v>205.98</v>
      </c>
      <c r="X203" s="7">
        <v>0</v>
      </c>
      <c r="Y203" s="7">
        <v>205.98</v>
      </c>
    </row>
    <row r="204" spans="1:25" ht="51" x14ac:dyDescent="0.2">
      <c r="A204" s="5" t="s">
        <v>338</v>
      </c>
      <c r="B204" s="5" t="s">
        <v>339</v>
      </c>
      <c r="C204" s="5" t="s">
        <v>340</v>
      </c>
      <c r="D204" s="5" t="s">
        <v>46</v>
      </c>
      <c r="E204" s="5" t="s">
        <v>123</v>
      </c>
      <c r="F204" s="5" t="s">
        <v>18</v>
      </c>
      <c r="G204" s="5" t="s">
        <v>89</v>
      </c>
      <c r="H204" s="5"/>
      <c r="I204" s="6">
        <v>0</v>
      </c>
      <c r="J204" s="6">
        <v>0</v>
      </c>
      <c r="K204" s="6">
        <v>0</v>
      </c>
      <c r="L204" s="6">
        <v>0</v>
      </c>
      <c r="M204" s="5"/>
      <c r="N204" s="6">
        <v>203</v>
      </c>
      <c r="O204" s="6">
        <v>2037.5</v>
      </c>
      <c r="P204" s="6">
        <v>2053.5</v>
      </c>
      <c r="Q204" s="6">
        <v>16</v>
      </c>
      <c r="R204" s="6">
        <v>1850.5</v>
      </c>
      <c r="S204" s="5"/>
      <c r="T204" s="7">
        <v>20105</v>
      </c>
      <c r="U204" s="7">
        <v>184269.32</v>
      </c>
      <c r="V204" s="7">
        <v>0</v>
      </c>
      <c r="W204" s="7">
        <v>185716.34</v>
      </c>
      <c r="X204" s="7">
        <v>1447.02</v>
      </c>
      <c r="Y204" s="7">
        <v>165611.34</v>
      </c>
    </row>
    <row r="205" spans="1:25" ht="51" x14ac:dyDescent="0.2">
      <c r="A205" s="5" t="s">
        <v>341</v>
      </c>
      <c r="B205" s="5" t="s">
        <v>342</v>
      </c>
      <c r="C205" s="5" t="s">
        <v>225</v>
      </c>
      <c r="D205" s="5" t="s">
        <v>46</v>
      </c>
      <c r="E205" s="5" t="s">
        <v>88</v>
      </c>
      <c r="F205" s="5" t="s">
        <v>18</v>
      </c>
      <c r="G205" s="5" t="s">
        <v>89</v>
      </c>
      <c r="H205" s="5"/>
      <c r="I205" s="6">
        <v>0</v>
      </c>
      <c r="J205" s="6">
        <v>0</v>
      </c>
      <c r="K205" s="6">
        <v>0</v>
      </c>
      <c r="L205" s="6">
        <v>0</v>
      </c>
      <c r="M205" s="5"/>
      <c r="N205" s="6">
        <v>420</v>
      </c>
      <c r="O205" s="6">
        <v>126</v>
      </c>
      <c r="P205" s="6">
        <v>126</v>
      </c>
      <c r="Q205" s="6">
        <v>0</v>
      </c>
      <c r="R205" s="6">
        <v>-294</v>
      </c>
      <c r="S205" s="5"/>
      <c r="T205" s="7">
        <v>37800</v>
      </c>
      <c r="U205" s="7">
        <v>12925.84</v>
      </c>
      <c r="V205" s="7">
        <v>0</v>
      </c>
      <c r="W205" s="7">
        <v>12925.84</v>
      </c>
      <c r="X205" s="7">
        <v>0</v>
      </c>
      <c r="Y205" s="7">
        <v>-24874.16</v>
      </c>
    </row>
    <row r="206" spans="1:25" ht="51" x14ac:dyDescent="0.2">
      <c r="A206" s="5" t="s">
        <v>343</v>
      </c>
      <c r="B206" s="5" t="s">
        <v>342</v>
      </c>
      <c r="C206" s="5" t="s">
        <v>122</v>
      </c>
      <c r="D206" s="5" t="s">
        <v>46</v>
      </c>
      <c r="E206" s="5" t="s">
        <v>88</v>
      </c>
      <c r="F206" s="5" t="s">
        <v>18</v>
      </c>
      <c r="G206" s="5" t="s">
        <v>89</v>
      </c>
      <c r="H206" s="5"/>
      <c r="I206" s="6">
        <v>0</v>
      </c>
      <c r="J206" s="6">
        <v>0</v>
      </c>
      <c r="K206" s="6">
        <v>0</v>
      </c>
      <c r="L206" s="6">
        <v>0</v>
      </c>
      <c r="M206" s="5"/>
      <c r="N206" s="6">
        <v>5</v>
      </c>
      <c r="O206" s="6">
        <v>0</v>
      </c>
      <c r="P206" s="6">
        <v>0</v>
      </c>
      <c r="Q206" s="6">
        <v>0</v>
      </c>
      <c r="R206" s="6">
        <v>-5</v>
      </c>
      <c r="S206" s="5"/>
      <c r="T206" s="7">
        <v>450</v>
      </c>
      <c r="U206" s="7">
        <v>0</v>
      </c>
      <c r="V206" s="7">
        <v>0</v>
      </c>
      <c r="W206" s="7">
        <v>0</v>
      </c>
      <c r="X206" s="7">
        <v>0</v>
      </c>
      <c r="Y206" s="7">
        <v>-450</v>
      </c>
    </row>
    <row r="207" spans="1:25" ht="51" x14ac:dyDescent="0.2">
      <c r="A207" s="5" t="s">
        <v>344</v>
      </c>
      <c r="B207" s="5" t="s">
        <v>342</v>
      </c>
      <c r="C207" s="5" t="s">
        <v>227</v>
      </c>
      <c r="D207" s="5" t="s">
        <v>46</v>
      </c>
      <c r="E207" s="5" t="s">
        <v>88</v>
      </c>
      <c r="F207" s="5" t="s">
        <v>18</v>
      </c>
      <c r="G207" s="5" t="s">
        <v>89</v>
      </c>
      <c r="H207" s="5"/>
      <c r="I207" s="6">
        <v>0</v>
      </c>
      <c r="J207" s="6">
        <v>0</v>
      </c>
      <c r="K207" s="6">
        <v>0</v>
      </c>
      <c r="L207" s="6">
        <v>0</v>
      </c>
      <c r="M207" s="5"/>
      <c r="N207" s="6">
        <v>289</v>
      </c>
      <c r="O207" s="6">
        <v>64</v>
      </c>
      <c r="P207" s="6">
        <v>64</v>
      </c>
      <c r="Q207" s="6">
        <v>0</v>
      </c>
      <c r="R207" s="6">
        <v>-225</v>
      </c>
      <c r="S207" s="5"/>
      <c r="T207" s="7">
        <v>26010</v>
      </c>
      <c r="U207" s="7">
        <v>6534.48</v>
      </c>
      <c r="V207" s="7">
        <v>0</v>
      </c>
      <c r="W207" s="7">
        <v>6534.48</v>
      </c>
      <c r="X207" s="7">
        <v>0</v>
      </c>
      <c r="Y207" s="7">
        <v>-19475.52</v>
      </c>
    </row>
    <row r="208" spans="1:25" ht="51" x14ac:dyDescent="0.2">
      <c r="A208" s="5" t="s">
        <v>345</v>
      </c>
      <c r="B208" s="5" t="s">
        <v>342</v>
      </c>
      <c r="C208" s="5" t="s">
        <v>229</v>
      </c>
      <c r="D208" s="5" t="s">
        <v>46</v>
      </c>
      <c r="E208" s="5" t="s">
        <v>88</v>
      </c>
      <c r="F208" s="5" t="s">
        <v>18</v>
      </c>
      <c r="G208" s="5" t="s">
        <v>89</v>
      </c>
      <c r="H208" s="5"/>
      <c r="I208" s="6">
        <v>0</v>
      </c>
      <c r="J208" s="6">
        <v>0</v>
      </c>
      <c r="K208" s="6">
        <v>0</v>
      </c>
      <c r="L208" s="6">
        <v>0</v>
      </c>
      <c r="M208" s="5"/>
      <c r="N208" s="6">
        <v>183</v>
      </c>
      <c r="O208" s="6">
        <v>152</v>
      </c>
      <c r="P208" s="6">
        <v>152</v>
      </c>
      <c r="Q208" s="6">
        <v>0</v>
      </c>
      <c r="R208" s="6">
        <v>-31</v>
      </c>
      <c r="S208" s="5"/>
      <c r="T208" s="7">
        <v>16470</v>
      </c>
      <c r="U208" s="7">
        <v>15610.73</v>
      </c>
      <c r="V208" s="7">
        <v>0</v>
      </c>
      <c r="W208" s="7">
        <v>15610.73</v>
      </c>
      <c r="X208" s="7">
        <v>0</v>
      </c>
      <c r="Y208" s="7">
        <v>-859.27</v>
      </c>
    </row>
    <row r="209" spans="1:25" ht="51" x14ac:dyDescent="0.2">
      <c r="A209" s="5" t="s">
        <v>346</v>
      </c>
      <c r="B209" s="5" t="s">
        <v>342</v>
      </c>
      <c r="C209" s="5" t="s">
        <v>231</v>
      </c>
      <c r="D209" s="5" t="s">
        <v>46</v>
      </c>
      <c r="E209" s="5" t="s">
        <v>88</v>
      </c>
      <c r="F209" s="5" t="s">
        <v>18</v>
      </c>
      <c r="G209" s="5" t="s">
        <v>89</v>
      </c>
      <c r="H209" s="5"/>
      <c r="I209" s="6">
        <v>0</v>
      </c>
      <c r="J209" s="6">
        <v>0</v>
      </c>
      <c r="K209" s="6">
        <v>0</v>
      </c>
      <c r="L209" s="6">
        <v>0</v>
      </c>
      <c r="M209" s="5"/>
      <c r="N209" s="6">
        <v>180</v>
      </c>
      <c r="O209" s="6">
        <v>21</v>
      </c>
      <c r="P209" s="6">
        <v>21</v>
      </c>
      <c r="Q209" s="6">
        <v>0</v>
      </c>
      <c r="R209" s="6">
        <v>-159</v>
      </c>
      <c r="S209" s="5"/>
      <c r="T209" s="7">
        <v>16200</v>
      </c>
      <c r="U209" s="7">
        <v>2152.61</v>
      </c>
      <c r="V209" s="7">
        <v>0</v>
      </c>
      <c r="W209" s="7">
        <v>2152.61</v>
      </c>
      <c r="X209" s="7">
        <v>0</v>
      </c>
      <c r="Y209" s="7">
        <v>-14047.39</v>
      </c>
    </row>
    <row r="210" spans="1:25" ht="51" x14ac:dyDescent="0.2">
      <c r="A210" s="5" t="s">
        <v>347</v>
      </c>
      <c r="B210" s="5" t="s">
        <v>342</v>
      </c>
      <c r="C210" s="5" t="s">
        <v>233</v>
      </c>
      <c r="D210" s="5" t="s">
        <v>46</v>
      </c>
      <c r="E210" s="5" t="s">
        <v>88</v>
      </c>
      <c r="F210" s="5" t="s">
        <v>18</v>
      </c>
      <c r="G210" s="5" t="s">
        <v>89</v>
      </c>
      <c r="H210" s="5"/>
      <c r="I210" s="6">
        <v>0</v>
      </c>
      <c r="J210" s="6">
        <v>0</v>
      </c>
      <c r="K210" s="6">
        <v>0</v>
      </c>
      <c r="L210" s="6">
        <v>0</v>
      </c>
      <c r="M210" s="5"/>
      <c r="N210" s="6">
        <v>15</v>
      </c>
      <c r="O210" s="6">
        <v>28</v>
      </c>
      <c r="P210" s="6">
        <v>28</v>
      </c>
      <c r="Q210" s="6">
        <v>0</v>
      </c>
      <c r="R210" s="6">
        <v>13</v>
      </c>
      <c r="S210" s="5"/>
      <c r="T210" s="7">
        <v>1350</v>
      </c>
      <c r="U210" s="7">
        <v>2845.54</v>
      </c>
      <c r="V210" s="7">
        <v>0</v>
      </c>
      <c r="W210" s="7">
        <v>2845.54</v>
      </c>
      <c r="X210" s="7">
        <v>0</v>
      </c>
      <c r="Y210" s="7">
        <v>1495.54</v>
      </c>
    </row>
    <row r="211" spans="1:25" ht="51" x14ac:dyDescent="0.2">
      <c r="A211" s="5" t="s">
        <v>348</v>
      </c>
      <c r="B211" s="5" t="s">
        <v>342</v>
      </c>
      <c r="C211" s="5" t="s">
        <v>235</v>
      </c>
      <c r="D211" s="5" t="s">
        <v>46</v>
      </c>
      <c r="E211" s="5" t="s">
        <v>88</v>
      </c>
      <c r="F211" s="5" t="s">
        <v>18</v>
      </c>
      <c r="G211" s="5" t="s">
        <v>89</v>
      </c>
      <c r="H211" s="5"/>
      <c r="I211" s="6">
        <v>0</v>
      </c>
      <c r="J211" s="6">
        <v>0</v>
      </c>
      <c r="K211" s="6">
        <v>0</v>
      </c>
      <c r="L211" s="6">
        <v>0</v>
      </c>
      <c r="M211" s="5"/>
      <c r="N211" s="6">
        <v>14</v>
      </c>
      <c r="O211" s="6">
        <v>10</v>
      </c>
      <c r="P211" s="6">
        <v>10</v>
      </c>
      <c r="Q211" s="6">
        <v>0</v>
      </c>
      <c r="R211" s="6">
        <v>-4</v>
      </c>
      <c r="S211" s="5"/>
      <c r="T211" s="7">
        <v>1260</v>
      </c>
      <c r="U211" s="7">
        <v>980.22</v>
      </c>
      <c r="V211" s="7">
        <v>0</v>
      </c>
      <c r="W211" s="7">
        <v>980.22</v>
      </c>
      <c r="X211" s="7">
        <v>0</v>
      </c>
      <c r="Y211" s="7">
        <v>-279.77999999999997</v>
      </c>
    </row>
    <row r="212" spans="1:25" ht="51" x14ac:dyDescent="0.2">
      <c r="A212" s="5" t="s">
        <v>349</v>
      </c>
      <c r="B212" s="5" t="s">
        <v>342</v>
      </c>
      <c r="C212" s="5" t="s">
        <v>237</v>
      </c>
      <c r="D212" s="5" t="s">
        <v>46</v>
      </c>
      <c r="E212" s="5" t="s">
        <v>88</v>
      </c>
      <c r="F212" s="5" t="s">
        <v>18</v>
      </c>
      <c r="G212" s="5" t="s">
        <v>89</v>
      </c>
      <c r="H212" s="5"/>
      <c r="I212" s="6">
        <v>0</v>
      </c>
      <c r="J212" s="6">
        <v>0</v>
      </c>
      <c r="K212" s="6">
        <v>0</v>
      </c>
      <c r="L212" s="6">
        <v>0</v>
      </c>
      <c r="M212" s="5"/>
      <c r="N212" s="6">
        <v>576</v>
      </c>
      <c r="O212" s="6">
        <v>334</v>
      </c>
      <c r="P212" s="6">
        <v>334</v>
      </c>
      <c r="Q212" s="6">
        <v>0</v>
      </c>
      <c r="R212" s="6">
        <v>-242</v>
      </c>
      <c r="S212" s="5"/>
      <c r="T212" s="7">
        <v>51840</v>
      </c>
      <c r="U212" s="7">
        <v>34264.54</v>
      </c>
      <c r="V212" s="7">
        <v>0</v>
      </c>
      <c r="W212" s="7">
        <v>34264.54</v>
      </c>
      <c r="X212" s="7">
        <v>0</v>
      </c>
      <c r="Y212" s="7">
        <v>-17575.46</v>
      </c>
    </row>
    <row r="213" spans="1:25" ht="51" x14ac:dyDescent="0.2">
      <c r="A213" s="5" t="s">
        <v>350</v>
      </c>
      <c r="B213" s="5" t="s">
        <v>342</v>
      </c>
      <c r="C213" s="5" t="s">
        <v>239</v>
      </c>
      <c r="D213" s="5" t="s">
        <v>46</v>
      </c>
      <c r="E213" s="5" t="s">
        <v>88</v>
      </c>
      <c r="F213" s="5" t="s">
        <v>18</v>
      </c>
      <c r="G213" s="5" t="s">
        <v>89</v>
      </c>
      <c r="H213" s="5"/>
      <c r="I213" s="6">
        <v>0</v>
      </c>
      <c r="J213" s="6">
        <v>0</v>
      </c>
      <c r="K213" s="6">
        <v>0</v>
      </c>
      <c r="L213" s="6">
        <v>0</v>
      </c>
      <c r="M213" s="5"/>
      <c r="N213" s="6">
        <v>255</v>
      </c>
      <c r="O213" s="6">
        <v>183</v>
      </c>
      <c r="P213" s="6">
        <v>183</v>
      </c>
      <c r="Q213" s="6">
        <v>0</v>
      </c>
      <c r="R213" s="6">
        <v>-72</v>
      </c>
      <c r="S213" s="5"/>
      <c r="T213" s="7">
        <v>22950</v>
      </c>
      <c r="U213" s="7">
        <v>18771.04</v>
      </c>
      <c r="V213" s="7">
        <v>0</v>
      </c>
      <c r="W213" s="7">
        <v>18771.04</v>
      </c>
      <c r="X213" s="7">
        <v>0</v>
      </c>
      <c r="Y213" s="7">
        <v>-4178.96</v>
      </c>
    </row>
    <row r="214" spans="1:25" ht="51" x14ac:dyDescent="0.2">
      <c r="A214" s="5" t="s">
        <v>351</v>
      </c>
      <c r="B214" s="5" t="s">
        <v>352</v>
      </c>
      <c r="C214" s="5" t="s">
        <v>340</v>
      </c>
      <c r="D214" s="5" t="s">
        <v>46</v>
      </c>
      <c r="E214" s="5" t="s">
        <v>123</v>
      </c>
      <c r="F214" s="5" t="s">
        <v>18</v>
      </c>
      <c r="G214" s="5" t="s">
        <v>89</v>
      </c>
      <c r="H214" s="5"/>
      <c r="I214" s="6">
        <v>0</v>
      </c>
      <c r="J214" s="6">
        <v>0</v>
      </c>
      <c r="K214" s="6">
        <v>0</v>
      </c>
      <c r="L214" s="6">
        <v>0</v>
      </c>
      <c r="M214" s="5"/>
      <c r="N214" s="6">
        <v>0</v>
      </c>
      <c r="O214" s="6">
        <v>687.5</v>
      </c>
      <c r="P214" s="6">
        <v>687.5</v>
      </c>
      <c r="Q214" s="6">
        <v>0</v>
      </c>
      <c r="R214" s="6">
        <v>687.5</v>
      </c>
      <c r="S214" s="5"/>
      <c r="T214" s="7">
        <v>0</v>
      </c>
      <c r="U214" s="7">
        <v>20569.55</v>
      </c>
      <c r="V214" s="7">
        <v>0</v>
      </c>
      <c r="W214" s="7">
        <v>20569.55</v>
      </c>
      <c r="X214" s="7">
        <v>0</v>
      </c>
      <c r="Y214" s="7">
        <v>20569.55</v>
      </c>
    </row>
    <row r="215" spans="1:25" ht="51" x14ac:dyDescent="0.2">
      <c r="A215" s="5" t="s">
        <v>353</v>
      </c>
      <c r="B215" s="5" t="s">
        <v>354</v>
      </c>
      <c r="C215" s="5" t="s">
        <v>225</v>
      </c>
      <c r="D215" s="5" t="s">
        <v>46</v>
      </c>
      <c r="E215" s="5" t="s">
        <v>88</v>
      </c>
      <c r="F215" s="5" t="s">
        <v>18</v>
      </c>
      <c r="G215" s="5" t="s">
        <v>89</v>
      </c>
      <c r="H215" s="5"/>
      <c r="I215" s="6">
        <v>0</v>
      </c>
      <c r="J215" s="6">
        <v>0</v>
      </c>
      <c r="K215" s="6">
        <v>0</v>
      </c>
      <c r="L215" s="6">
        <v>0</v>
      </c>
      <c r="M215" s="5"/>
      <c r="N215" s="6">
        <v>126</v>
      </c>
      <c r="O215" s="6">
        <v>147</v>
      </c>
      <c r="P215" s="6">
        <v>147</v>
      </c>
      <c r="Q215" s="6">
        <v>0</v>
      </c>
      <c r="R215" s="6">
        <v>21</v>
      </c>
      <c r="S215" s="5"/>
      <c r="T215" s="7">
        <v>11340</v>
      </c>
      <c r="U215" s="7">
        <v>4562.45</v>
      </c>
      <c r="V215" s="7">
        <v>0</v>
      </c>
      <c r="W215" s="7">
        <v>4562.45</v>
      </c>
      <c r="X215" s="7">
        <v>0</v>
      </c>
      <c r="Y215" s="7">
        <v>-6777.55</v>
      </c>
    </row>
    <row r="216" spans="1:25" ht="51" x14ac:dyDescent="0.2">
      <c r="A216" s="5" t="s">
        <v>355</v>
      </c>
      <c r="B216" s="5" t="s">
        <v>354</v>
      </c>
      <c r="C216" s="5" t="s">
        <v>122</v>
      </c>
      <c r="D216" s="5" t="s">
        <v>46</v>
      </c>
      <c r="E216" s="5" t="s">
        <v>88</v>
      </c>
      <c r="F216" s="5" t="s">
        <v>18</v>
      </c>
      <c r="G216" s="5" t="s">
        <v>89</v>
      </c>
      <c r="H216" s="5"/>
      <c r="I216" s="6">
        <v>0</v>
      </c>
      <c r="J216" s="6">
        <v>0</v>
      </c>
      <c r="K216" s="6">
        <v>0</v>
      </c>
      <c r="L216" s="6">
        <v>0</v>
      </c>
      <c r="M216" s="5"/>
      <c r="N216" s="6">
        <v>2</v>
      </c>
      <c r="O216" s="6">
        <v>0</v>
      </c>
      <c r="P216" s="6">
        <v>0</v>
      </c>
      <c r="Q216" s="6">
        <v>0</v>
      </c>
      <c r="R216" s="6">
        <v>-2</v>
      </c>
      <c r="S216" s="5"/>
      <c r="T216" s="7">
        <v>180</v>
      </c>
      <c r="U216" s="7">
        <v>0</v>
      </c>
      <c r="V216" s="7">
        <v>0</v>
      </c>
      <c r="W216" s="7">
        <v>0</v>
      </c>
      <c r="X216" s="7">
        <v>0</v>
      </c>
      <c r="Y216" s="7">
        <v>-180</v>
      </c>
    </row>
    <row r="217" spans="1:25" ht="51" x14ac:dyDescent="0.2">
      <c r="A217" s="5" t="s">
        <v>356</v>
      </c>
      <c r="B217" s="5" t="s">
        <v>354</v>
      </c>
      <c r="C217" s="5" t="s">
        <v>227</v>
      </c>
      <c r="D217" s="5" t="s">
        <v>46</v>
      </c>
      <c r="E217" s="5" t="s">
        <v>88</v>
      </c>
      <c r="F217" s="5" t="s">
        <v>18</v>
      </c>
      <c r="G217" s="5" t="s">
        <v>89</v>
      </c>
      <c r="H217" s="5"/>
      <c r="I217" s="6">
        <v>0</v>
      </c>
      <c r="J217" s="6">
        <v>0</v>
      </c>
      <c r="K217" s="6">
        <v>0</v>
      </c>
      <c r="L217" s="6">
        <v>0</v>
      </c>
      <c r="M217" s="5"/>
      <c r="N217" s="6">
        <v>87</v>
      </c>
      <c r="O217" s="6">
        <v>0</v>
      </c>
      <c r="P217" s="6">
        <v>0</v>
      </c>
      <c r="Q217" s="6">
        <v>0</v>
      </c>
      <c r="R217" s="6">
        <v>-87</v>
      </c>
      <c r="S217" s="5"/>
      <c r="T217" s="7">
        <v>7830</v>
      </c>
      <c r="U217" s="7">
        <v>0</v>
      </c>
      <c r="V217" s="7">
        <v>0</v>
      </c>
      <c r="W217" s="7">
        <v>0</v>
      </c>
      <c r="X217" s="7">
        <v>0</v>
      </c>
      <c r="Y217" s="7">
        <v>-7830</v>
      </c>
    </row>
    <row r="218" spans="1:25" ht="51" x14ac:dyDescent="0.2">
      <c r="A218" s="5" t="s">
        <v>357</v>
      </c>
      <c r="B218" s="5" t="s">
        <v>354</v>
      </c>
      <c r="C218" s="5" t="s">
        <v>229</v>
      </c>
      <c r="D218" s="5" t="s">
        <v>46</v>
      </c>
      <c r="E218" s="5" t="s">
        <v>88</v>
      </c>
      <c r="F218" s="5" t="s">
        <v>18</v>
      </c>
      <c r="G218" s="5" t="s">
        <v>89</v>
      </c>
      <c r="H218" s="5"/>
      <c r="I218" s="6">
        <v>0</v>
      </c>
      <c r="J218" s="6">
        <v>0</v>
      </c>
      <c r="K218" s="6">
        <v>0</v>
      </c>
      <c r="L218" s="6">
        <v>0</v>
      </c>
      <c r="M218" s="5"/>
      <c r="N218" s="6">
        <v>55</v>
      </c>
      <c r="O218" s="6">
        <v>0</v>
      </c>
      <c r="P218" s="6">
        <v>0</v>
      </c>
      <c r="Q218" s="6">
        <v>0</v>
      </c>
      <c r="R218" s="6">
        <v>-55</v>
      </c>
      <c r="S218" s="5"/>
      <c r="T218" s="7">
        <v>4950</v>
      </c>
      <c r="U218" s="7">
        <v>0</v>
      </c>
      <c r="V218" s="7">
        <v>0</v>
      </c>
      <c r="W218" s="7">
        <v>0</v>
      </c>
      <c r="X218" s="7">
        <v>0</v>
      </c>
      <c r="Y218" s="7">
        <v>-4950</v>
      </c>
    </row>
    <row r="219" spans="1:25" ht="51" x14ac:dyDescent="0.2">
      <c r="A219" s="5" t="s">
        <v>358</v>
      </c>
      <c r="B219" s="5" t="s">
        <v>354</v>
      </c>
      <c r="C219" s="5" t="s">
        <v>231</v>
      </c>
      <c r="D219" s="5" t="s">
        <v>46</v>
      </c>
      <c r="E219" s="5" t="s">
        <v>88</v>
      </c>
      <c r="F219" s="5" t="s">
        <v>18</v>
      </c>
      <c r="G219" s="5" t="s">
        <v>89</v>
      </c>
      <c r="H219" s="5"/>
      <c r="I219" s="6">
        <v>0</v>
      </c>
      <c r="J219" s="6">
        <v>0</v>
      </c>
      <c r="K219" s="6">
        <v>0</v>
      </c>
      <c r="L219" s="6">
        <v>0</v>
      </c>
      <c r="M219" s="5"/>
      <c r="N219" s="6">
        <v>54</v>
      </c>
      <c r="O219" s="6">
        <v>0</v>
      </c>
      <c r="P219" s="6">
        <v>0</v>
      </c>
      <c r="Q219" s="6">
        <v>0</v>
      </c>
      <c r="R219" s="6">
        <v>-54</v>
      </c>
      <c r="S219" s="5"/>
      <c r="T219" s="7">
        <v>4860</v>
      </c>
      <c r="U219" s="7">
        <v>0</v>
      </c>
      <c r="V219" s="7">
        <v>0</v>
      </c>
      <c r="W219" s="7">
        <v>0</v>
      </c>
      <c r="X219" s="7">
        <v>0</v>
      </c>
      <c r="Y219" s="7">
        <v>-4860</v>
      </c>
    </row>
    <row r="220" spans="1:25" ht="51" x14ac:dyDescent="0.2">
      <c r="A220" s="5" t="s">
        <v>359</v>
      </c>
      <c r="B220" s="5" t="s">
        <v>354</v>
      </c>
      <c r="C220" s="5" t="s">
        <v>233</v>
      </c>
      <c r="D220" s="5" t="s">
        <v>46</v>
      </c>
      <c r="E220" s="5" t="s">
        <v>88</v>
      </c>
      <c r="F220" s="5" t="s">
        <v>18</v>
      </c>
      <c r="G220" s="5" t="s">
        <v>89</v>
      </c>
      <c r="H220" s="5"/>
      <c r="I220" s="6">
        <v>0</v>
      </c>
      <c r="J220" s="6">
        <v>0</v>
      </c>
      <c r="K220" s="6">
        <v>0</v>
      </c>
      <c r="L220" s="6">
        <v>0</v>
      </c>
      <c r="M220" s="5"/>
      <c r="N220" s="6">
        <v>5</v>
      </c>
      <c r="O220" s="6">
        <v>5</v>
      </c>
      <c r="P220" s="6">
        <v>5</v>
      </c>
      <c r="Q220" s="6">
        <v>0</v>
      </c>
      <c r="R220" s="6">
        <v>0</v>
      </c>
      <c r="S220" s="5"/>
      <c r="T220" s="7">
        <v>450</v>
      </c>
      <c r="U220" s="7">
        <v>128.62</v>
      </c>
      <c r="V220" s="7">
        <v>0</v>
      </c>
      <c r="W220" s="7">
        <v>128.62</v>
      </c>
      <c r="X220" s="7">
        <v>0</v>
      </c>
      <c r="Y220" s="7">
        <v>-321.38</v>
      </c>
    </row>
    <row r="221" spans="1:25" ht="51" x14ac:dyDescent="0.2">
      <c r="A221" s="5" t="s">
        <v>360</v>
      </c>
      <c r="B221" s="5" t="s">
        <v>354</v>
      </c>
      <c r="C221" s="5" t="s">
        <v>235</v>
      </c>
      <c r="D221" s="5" t="s">
        <v>46</v>
      </c>
      <c r="E221" s="5" t="s">
        <v>88</v>
      </c>
      <c r="F221" s="5" t="s">
        <v>18</v>
      </c>
      <c r="G221" s="5" t="s">
        <v>89</v>
      </c>
      <c r="H221" s="5"/>
      <c r="I221" s="6">
        <v>0</v>
      </c>
      <c r="J221" s="6">
        <v>0</v>
      </c>
      <c r="K221" s="6">
        <v>0</v>
      </c>
      <c r="L221" s="6">
        <v>0</v>
      </c>
      <c r="M221" s="5"/>
      <c r="N221" s="6">
        <v>4</v>
      </c>
      <c r="O221" s="6">
        <v>0</v>
      </c>
      <c r="P221" s="6">
        <v>0</v>
      </c>
      <c r="Q221" s="6">
        <v>0</v>
      </c>
      <c r="R221" s="6">
        <v>-4</v>
      </c>
      <c r="S221" s="5"/>
      <c r="T221" s="7">
        <v>360</v>
      </c>
      <c r="U221" s="7">
        <v>0</v>
      </c>
      <c r="V221" s="7">
        <v>0</v>
      </c>
      <c r="W221" s="7">
        <v>0</v>
      </c>
      <c r="X221" s="7">
        <v>0</v>
      </c>
      <c r="Y221" s="7">
        <v>-360</v>
      </c>
    </row>
    <row r="222" spans="1:25" ht="51" x14ac:dyDescent="0.2">
      <c r="A222" s="5" t="s">
        <v>361</v>
      </c>
      <c r="B222" s="5" t="s">
        <v>354</v>
      </c>
      <c r="C222" s="5" t="s">
        <v>237</v>
      </c>
      <c r="D222" s="5" t="s">
        <v>46</v>
      </c>
      <c r="E222" s="5" t="s">
        <v>88</v>
      </c>
      <c r="F222" s="5" t="s">
        <v>18</v>
      </c>
      <c r="G222" s="5" t="s">
        <v>89</v>
      </c>
      <c r="H222" s="5"/>
      <c r="I222" s="6">
        <v>0</v>
      </c>
      <c r="J222" s="6">
        <v>0</v>
      </c>
      <c r="K222" s="6">
        <v>0</v>
      </c>
      <c r="L222" s="6">
        <v>0</v>
      </c>
      <c r="M222" s="5"/>
      <c r="N222" s="6">
        <v>173</v>
      </c>
      <c r="O222" s="6">
        <v>0</v>
      </c>
      <c r="P222" s="6">
        <v>0</v>
      </c>
      <c r="Q222" s="6">
        <v>0</v>
      </c>
      <c r="R222" s="6">
        <v>-173</v>
      </c>
      <c r="S222" s="5"/>
      <c r="T222" s="7">
        <v>15570</v>
      </c>
      <c r="U222" s="7">
        <v>0</v>
      </c>
      <c r="V222" s="7">
        <v>0</v>
      </c>
      <c r="W222" s="7">
        <v>0</v>
      </c>
      <c r="X222" s="7">
        <v>0</v>
      </c>
      <c r="Y222" s="7">
        <v>-15570</v>
      </c>
    </row>
    <row r="223" spans="1:25" ht="51" x14ac:dyDescent="0.2">
      <c r="A223" s="5" t="s">
        <v>362</v>
      </c>
      <c r="B223" s="5" t="s">
        <v>354</v>
      </c>
      <c r="C223" s="5" t="s">
        <v>239</v>
      </c>
      <c r="D223" s="5" t="s">
        <v>46</v>
      </c>
      <c r="E223" s="5" t="s">
        <v>88</v>
      </c>
      <c r="F223" s="5" t="s">
        <v>18</v>
      </c>
      <c r="G223" s="5" t="s">
        <v>89</v>
      </c>
      <c r="H223" s="5"/>
      <c r="I223" s="6">
        <v>0</v>
      </c>
      <c r="J223" s="6">
        <v>0</v>
      </c>
      <c r="K223" s="6">
        <v>0</v>
      </c>
      <c r="L223" s="6">
        <v>0</v>
      </c>
      <c r="M223" s="5"/>
      <c r="N223" s="6">
        <v>77</v>
      </c>
      <c r="O223" s="6">
        <v>10</v>
      </c>
      <c r="P223" s="6">
        <v>10</v>
      </c>
      <c r="Q223" s="6">
        <v>0</v>
      </c>
      <c r="R223" s="6">
        <v>-67</v>
      </c>
      <c r="S223" s="5"/>
      <c r="T223" s="7">
        <v>6930</v>
      </c>
      <c r="U223" s="7">
        <v>257.23</v>
      </c>
      <c r="V223" s="7">
        <v>0</v>
      </c>
      <c r="W223" s="7">
        <v>257.23</v>
      </c>
      <c r="X223" s="7">
        <v>0</v>
      </c>
      <c r="Y223" s="7">
        <v>-6672.77</v>
      </c>
    </row>
    <row r="224" spans="1:25" ht="51" x14ac:dyDescent="0.2">
      <c r="A224" s="5" t="s">
        <v>363</v>
      </c>
      <c r="B224" s="5" t="s">
        <v>48</v>
      </c>
      <c r="C224" s="5" t="s">
        <v>16</v>
      </c>
      <c r="D224" s="5" t="s">
        <v>46</v>
      </c>
      <c r="E224" s="5" t="s">
        <v>88</v>
      </c>
      <c r="F224" s="5" t="s">
        <v>18</v>
      </c>
      <c r="G224" s="5" t="s">
        <v>89</v>
      </c>
      <c r="H224" s="5"/>
      <c r="I224" s="6">
        <v>0</v>
      </c>
      <c r="J224" s="6">
        <v>0</v>
      </c>
      <c r="K224" s="6">
        <v>0</v>
      </c>
      <c r="L224" s="6">
        <v>0</v>
      </c>
      <c r="M224" s="5"/>
      <c r="N224" s="6">
        <v>824</v>
      </c>
      <c r="O224" s="6">
        <v>2448</v>
      </c>
      <c r="P224" s="6">
        <v>2446</v>
      </c>
      <c r="Q224" s="6">
        <v>-2</v>
      </c>
      <c r="R224" s="6">
        <v>1622</v>
      </c>
      <c r="S224" s="5"/>
      <c r="T224" s="7">
        <v>84293.6</v>
      </c>
      <c r="U224" s="7">
        <v>259020.66</v>
      </c>
      <c r="V224" s="7">
        <v>0</v>
      </c>
      <c r="W224" s="7">
        <v>258790.12</v>
      </c>
      <c r="X224" s="7">
        <v>-230.54</v>
      </c>
      <c r="Y224" s="7">
        <v>174496.52</v>
      </c>
    </row>
    <row r="225" spans="1:25" ht="51" x14ac:dyDescent="0.2">
      <c r="A225" s="5" t="s">
        <v>364</v>
      </c>
      <c r="B225" s="5" t="s">
        <v>48</v>
      </c>
      <c r="C225" s="5" t="s">
        <v>122</v>
      </c>
      <c r="D225" s="5" t="s">
        <v>46</v>
      </c>
      <c r="E225" s="5" t="s">
        <v>88</v>
      </c>
      <c r="F225" s="5" t="s">
        <v>18</v>
      </c>
      <c r="G225" s="5" t="s">
        <v>89</v>
      </c>
      <c r="H225" s="5"/>
      <c r="I225" s="6">
        <v>0</v>
      </c>
      <c r="J225" s="6">
        <v>0</v>
      </c>
      <c r="K225" s="6">
        <v>0</v>
      </c>
      <c r="L225" s="6">
        <v>0</v>
      </c>
      <c r="M225" s="5"/>
      <c r="N225" s="6">
        <v>4</v>
      </c>
      <c r="O225" s="6">
        <v>0</v>
      </c>
      <c r="P225" s="6">
        <v>0</v>
      </c>
      <c r="Q225" s="6">
        <v>0</v>
      </c>
      <c r="R225" s="6">
        <v>-4</v>
      </c>
      <c r="S225" s="5"/>
      <c r="T225" s="7">
        <v>360</v>
      </c>
      <c r="U225" s="7">
        <v>0</v>
      </c>
      <c r="V225" s="7">
        <v>0</v>
      </c>
      <c r="W225" s="7">
        <v>0</v>
      </c>
      <c r="X225" s="7">
        <v>0</v>
      </c>
      <c r="Y225" s="7">
        <v>-360</v>
      </c>
    </row>
    <row r="226" spans="1:25" ht="51" x14ac:dyDescent="0.2">
      <c r="A226" s="5" t="s">
        <v>365</v>
      </c>
      <c r="B226" s="5" t="s">
        <v>48</v>
      </c>
      <c r="C226" s="5" t="s">
        <v>227</v>
      </c>
      <c r="D226" s="5" t="s">
        <v>46</v>
      </c>
      <c r="E226" s="5" t="s">
        <v>88</v>
      </c>
      <c r="F226" s="5" t="s">
        <v>18</v>
      </c>
      <c r="G226" s="5" t="s">
        <v>89</v>
      </c>
      <c r="H226" s="5"/>
      <c r="I226" s="6">
        <v>0</v>
      </c>
      <c r="J226" s="6">
        <v>0</v>
      </c>
      <c r="K226" s="6">
        <v>0</v>
      </c>
      <c r="L226" s="6">
        <v>0</v>
      </c>
      <c r="M226" s="5"/>
      <c r="N226" s="6">
        <v>202</v>
      </c>
      <c r="O226" s="6">
        <v>51</v>
      </c>
      <c r="P226" s="6">
        <v>51</v>
      </c>
      <c r="Q226" s="6">
        <v>0</v>
      </c>
      <c r="R226" s="6">
        <v>-151</v>
      </c>
      <c r="S226" s="5"/>
      <c r="T226" s="7">
        <v>18180</v>
      </c>
      <c r="U226" s="7">
        <v>5354.35</v>
      </c>
      <c r="V226" s="7">
        <v>0</v>
      </c>
      <c r="W226" s="7">
        <v>5354.35</v>
      </c>
      <c r="X226" s="7">
        <v>0</v>
      </c>
      <c r="Y226" s="7">
        <v>-12825.65</v>
      </c>
    </row>
    <row r="227" spans="1:25" ht="51" x14ac:dyDescent="0.2">
      <c r="A227" s="5" t="s">
        <v>366</v>
      </c>
      <c r="B227" s="5" t="s">
        <v>48</v>
      </c>
      <c r="C227" s="5" t="s">
        <v>229</v>
      </c>
      <c r="D227" s="5" t="s">
        <v>46</v>
      </c>
      <c r="E227" s="5" t="s">
        <v>88</v>
      </c>
      <c r="F227" s="5" t="s">
        <v>18</v>
      </c>
      <c r="G227" s="5" t="s">
        <v>89</v>
      </c>
      <c r="H227" s="5"/>
      <c r="I227" s="6">
        <v>0</v>
      </c>
      <c r="J227" s="6">
        <v>0</v>
      </c>
      <c r="K227" s="6">
        <v>0</v>
      </c>
      <c r="L227" s="6">
        <v>0</v>
      </c>
      <c r="M227" s="5"/>
      <c r="N227" s="6">
        <v>128</v>
      </c>
      <c r="O227" s="6">
        <v>92</v>
      </c>
      <c r="P227" s="6">
        <v>92</v>
      </c>
      <c r="Q227" s="6">
        <v>0</v>
      </c>
      <c r="R227" s="6">
        <v>-36</v>
      </c>
      <c r="S227" s="5"/>
      <c r="T227" s="7">
        <v>11520</v>
      </c>
      <c r="U227" s="7">
        <v>9658.85</v>
      </c>
      <c r="V227" s="7">
        <v>0</v>
      </c>
      <c r="W227" s="7">
        <v>9658.85</v>
      </c>
      <c r="X227" s="7">
        <v>0</v>
      </c>
      <c r="Y227" s="7">
        <v>-1861.15</v>
      </c>
    </row>
    <row r="228" spans="1:25" ht="51" x14ac:dyDescent="0.2">
      <c r="A228" s="5" t="s">
        <v>367</v>
      </c>
      <c r="B228" s="5" t="s">
        <v>48</v>
      </c>
      <c r="C228" s="5" t="s">
        <v>231</v>
      </c>
      <c r="D228" s="5" t="s">
        <v>46</v>
      </c>
      <c r="E228" s="5" t="s">
        <v>88</v>
      </c>
      <c r="F228" s="5" t="s">
        <v>18</v>
      </c>
      <c r="G228" s="5" t="s">
        <v>89</v>
      </c>
      <c r="H228" s="5"/>
      <c r="I228" s="6">
        <v>0</v>
      </c>
      <c r="J228" s="6">
        <v>0</v>
      </c>
      <c r="K228" s="6">
        <v>0</v>
      </c>
      <c r="L228" s="6">
        <v>0</v>
      </c>
      <c r="M228" s="5"/>
      <c r="N228" s="6">
        <v>126</v>
      </c>
      <c r="O228" s="6">
        <v>0</v>
      </c>
      <c r="P228" s="6">
        <v>0</v>
      </c>
      <c r="Q228" s="6">
        <v>0</v>
      </c>
      <c r="R228" s="6">
        <v>-126</v>
      </c>
      <c r="S228" s="5"/>
      <c r="T228" s="7">
        <v>11340</v>
      </c>
      <c r="U228" s="7">
        <v>0</v>
      </c>
      <c r="V228" s="7">
        <v>0</v>
      </c>
      <c r="W228" s="7">
        <v>0</v>
      </c>
      <c r="X228" s="7">
        <v>0</v>
      </c>
      <c r="Y228" s="7">
        <v>-11340</v>
      </c>
    </row>
    <row r="229" spans="1:25" ht="51" x14ac:dyDescent="0.2">
      <c r="A229" s="5" t="s">
        <v>368</v>
      </c>
      <c r="B229" s="5" t="s">
        <v>48</v>
      </c>
      <c r="C229" s="5" t="s">
        <v>233</v>
      </c>
      <c r="D229" s="5" t="s">
        <v>46</v>
      </c>
      <c r="E229" s="5" t="s">
        <v>88</v>
      </c>
      <c r="F229" s="5" t="s">
        <v>18</v>
      </c>
      <c r="G229" s="5" t="s">
        <v>89</v>
      </c>
      <c r="H229" s="5"/>
      <c r="I229" s="6">
        <v>0</v>
      </c>
      <c r="J229" s="6">
        <v>0</v>
      </c>
      <c r="K229" s="6">
        <v>0</v>
      </c>
      <c r="L229" s="6">
        <v>0</v>
      </c>
      <c r="M229" s="5"/>
      <c r="N229" s="6">
        <v>11</v>
      </c>
      <c r="O229" s="6">
        <v>2</v>
      </c>
      <c r="P229" s="6">
        <v>2</v>
      </c>
      <c r="Q229" s="6">
        <v>0</v>
      </c>
      <c r="R229" s="6">
        <v>-9</v>
      </c>
      <c r="S229" s="5"/>
      <c r="T229" s="7">
        <v>990</v>
      </c>
      <c r="U229" s="7">
        <v>209.99</v>
      </c>
      <c r="V229" s="7">
        <v>0</v>
      </c>
      <c r="W229" s="7">
        <v>209.99</v>
      </c>
      <c r="X229" s="7">
        <v>0</v>
      </c>
      <c r="Y229" s="7">
        <v>-780.01</v>
      </c>
    </row>
    <row r="230" spans="1:25" ht="51" x14ac:dyDescent="0.2">
      <c r="A230" s="5" t="s">
        <v>369</v>
      </c>
      <c r="B230" s="5" t="s">
        <v>48</v>
      </c>
      <c r="C230" s="5" t="s">
        <v>235</v>
      </c>
      <c r="D230" s="5" t="s">
        <v>46</v>
      </c>
      <c r="E230" s="5" t="s">
        <v>88</v>
      </c>
      <c r="F230" s="5" t="s">
        <v>18</v>
      </c>
      <c r="G230" s="5" t="s">
        <v>89</v>
      </c>
      <c r="H230" s="5"/>
      <c r="I230" s="6">
        <v>0</v>
      </c>
      <c r="J230" s="6">
        <v>0</v>
      </c>
      <c r="K230" s="6">
        <v>0</v>
      </c>
      <c r="L230" s="6">
        <v>0</v>
      </c>
      <c r="M230" s="5"/>
      <c r="N230" s="6">
        <v>10</v>
      </c>
      <c r="O230" s="6">
        <v>20</v>
      </c>
      <c r="P230" s="6">
        <v>20</v>
      </c>
      <c r="Q230" s="6">
        <v>0</v>
      </c>
      <c r="R230" s="6">
        <v>10</v>
      </c>
      <c r="S230" s="5"/>
      <c r="T230" s="7">
        <v>900</v>
      </c>
      <c r="U230" s="7">
        <v>2099.8000000000002</v>
      </c>
      <c r="V230" s="7">
        <v>0</v>
      </c>
      <c r="W230" s="7">
        <v>2099.8000000000002</v>
      </c>
      <c r="X230" s="7">
        <v>0</v>
      </c>
      <c r="Y230" s="7">
        <v>1199.8</v>
      </c>
    </row>
    <row r="231" spans="1:25" ht="51" x14ac:dyDescent="0.2">
      <c r="A231" s="5" t="s">
        <v>370</v>
      </c>
      <c r="B231" s="5" t="s">
        <v>48</v>
      </c>
      <c r="C231" s="5" t="s">
        <v>237</v>
      </c>
      <c r="D231" s="5" t="s">
        <v>46</v>
      </c>
      <c r="E231" s="5" t="s">
        <v>88</v>
      </c>
      <c r="F231" s="5" t="s">
        <v>18</v>
      </c>
      <c r="G231" s="5" t="s">
        <v>89</v>
      </c>
      <c r="H231" s="5"/>
      <c r="I231" s="6">
        <v>0</v>
      </c>
      <c r="J231" s="6">
        <v>0</v>
      </c>
      <c r="K231" s="6">
        <v>0</v>
      </c>
      <c r="L231" s="6">
        <v>0</v>
      </c>
      <c r="M231" s="5"/>
      <c r="N231" s="6">
        <v>403</v>
      </c>
      <c r="O231" s="6">
        <v>201</v>
      </c>
      <c r="P231" s="6">
        <v>201</v>
      </c>
      <c r="Q231" s="6">
        <v>0</v>
      </c>
      <c r="R231" s="6">
        <v>-202</v>
      </c>
      <c r="S231" s="5"/>
      <c r="T231" s="7">
        <v>36270</v>
      </c>
      <c r="U231" s="7">
        <v>21106.87</v>
      </c>
      <c r="V231" s="7">
        <v>0</v>
      </c>
      <c r="W231" s="7">
        <v>21106.87</v>
      </c>
      <c r="X231" s="7">
        <v>0</v>
      </c>
      <c r="Y231" s="7">
        <v>-15163.13</v>
      </c>
    </row>
    <row r="232" spans="1:25" ht="51" x14ac:dyDescent="0.2">
      <c r="A232" s="5" t="s">
        <v>371</v>
      </c>
      <c r="B232" s="5" t="s">
        <v>48</v>
      </c>
      <c r="C232" s="5" t="s">
        <v>239</v>
      </c>
      <c r="D232" s="5" t="s">
        <v>46</v>
      </c>
      <c r="E232" s="5" t="s">
        <v>88</v>
      </c>
      <c r="F232" s="5" t="s">
        <v>18</v>
      </c>
      <c r="G232" s="5" t="s">
        <v>89</v>
      </c>
      <c r="H232" s="5"/>
      <c r="I232" s="6">
        <v>0</v>
      </c>
      <c r="J232" s="6">
        <v>0</v>
      </c>
      <c r="K232" s="6">
        <v>0</v>
      </c>
      <c r="L232" s="6">
        <v>0</v>
      </c>
      <c r="M232" s="5"/>
      <c r="N232" s="6">
        <v>179</v>
      </c>
      <c r="O232" s="6">
        <v>105</v>
      </c>
      <c r="P232" s="6">
        <v>105</v>
      </c>
      <c r="Q232" s="6">
        <v>0</v>
      </c>
      <c r="R232" s="6">
        <v>-74</v>
      </c>
      <c r="S232" s="5"/>
      <c r="T232" s="7">
        <v>16110</v>
      </c>
      <c r="U232" s="7">
        <v>11098.99</v>
      </c>
      <c r="V232" s="7">
        <v>0</v>
      </c>
      <c r="W232" s="7">
        <v>11098.99</v>
      </c>
      <c r="X232" s="7">
        <v>0</v>
      </c>
      <c r="Y232" s="7">
        <v>-5011.01</v>
      </c>
    </row>
    <row r="233" spans="1:25" ht="51" x14ac:dyDescent="0.2">
      <c r="A233" s="5" t="s">
        <v>372</v>
      </c>
      <c r="B233" s="5" t="s">
        <v>112</v>
      </c>
      <c r="C233" s="5" t="s">
        <v>16</v>
      </c>
      <c r="D233" s="5" t="s">
        <v>112</v>
      </c>
      <c r="E233" s="5" t="s">
        <v>123</v>
      </c>
      <c r="F233" s="5" t="s">
        <v>18</v>
      </c>
      <c r="G233" s="5" t="s">
        <v>89</v>
      </c>
      <c r="H233" s="5"/>
      <c r="I233" s="6">
        <v>0</v>
      </c>
      <c r="J233" s="6">
        <v>0</v>
      </c>
      <c r="K233" s="6">
        <v>0</v>
      </c>
      <c r="L233" s="6">
        <v>0</v>
      </c>
      <c r="M233" s="5"/>
      <c r="N233" s="6">
        <v>0</v>
      </c>
      <c r="O233" s="6">
        <v>96</v>
      </c>
      <c r="P233" s="6">
        <v>96</v>
      </c>
      <c r="Q233" s="6">
        <v>0</v>
      </c>
      <c r="R233" s="6">
        <v>96</v>
      </c>
      <c r="S233" s="5"/>
      <c r="T233" s="7">
        <v>0</v>
      </c>
      <c r="U233" s="7">
        <v>9120.99</v>
      </c>
      <c r="V233" s="7">
        <v>0</v>
      </c>
      <c r="W233" s="7">
        <v>9120.99</v>
      </c>
      <c r="X233" s="7">
        <v>0</v>
      </c>
      <c r="Y233" s="7">
        <v>9120.99</v>
      </c>
    </row>
    <row r="234" spans="1:25" ht="51" x14ac:dyDescent="0.2">
      <c r="A234" s="5" t="s">
        <v>373</v>
      </c>
      <c r="B234" s="5" t="s">
        <v>374</v>
      </c>
      <c r="C234" s="5" t="s">
        <v>225</v>
      </c>
      <c r="D234" s="5" t="s">
        <v>112</v>
      </c>
      <c r="E234" s="5" t="s">
        <v>88</v>
      </c>
      <c r="F234" s="5" t="s">
        <v>18</v>
      </c>
      <c r="G234" s="5" t="s">
        <v>89</v>
      </c>
      <c r="H234" s="5"/>
      <c r="I234" s="6">
        <v>0</v>
      </c>
      <c r="J234" s="6">
        <v>0</v>
      </c>
      <c r="K234" s="6">
        <v>0</v>
      </c>
      <c r="L234" s="6">
        <v>0</v>
      </c>
      <c r="M234" s="5"/>
      <c r="N234" s="6">
        <v>436</v>
      </c>
      <c r="O234" s="6">
        <v>576</v>
      </c>
      <c r="P234" s="6">
        <v>576</v>
      </c>
      <c r="Q234" s="6">
        <v>0</v>
      </c>
      <c r="R234" s="6">
        <v>140</v>
      </c>
      <c r="S234" s="5"/>
      <c r="T234" s="7">
        <v>39481</v>
      </c>
      <c r="U234" s="7">
        <v>53633.75</v>
      </c>
      <c r="V234" s="7">
        <v>0</v>
      </c>
      <c r="W234" s="7">
        <v>53633.75</v>
      </c>
      <c r="X234" s="7">
        <v>0</v>
      </c>
      <c r="Y234" s="7">
        <v>14152.75</v>
      </c>
    </row>
    <row r="235" spans="1:25" ht="51" x14ac:dyDescent="0.2">
      <c r="A235" s="5" t="s">
        <v>375</v>
      </c>
      <c r="B235" s="5" t="s">
        <v>374</v>
      </c>
      <c r="C235" s="5" t="s">
        <v>122</v>
      </c>
      <c r="D235" s="5" t="s">
        <v>112</v>
      </c>
      <c r="E235" s="5" t="s">
        <v>88</v>
      </c>
      <c r="F235" s="5" t="s">
        <v>18</v>
      </c>
      <c r="G235" s="5" t="s">
        <v>89</v>
      </c>
      <c r="H235" s="5"/>
      <c r="I235" s="6">
        <v>0</v>
      </c>
      <c r="J235" s="6">
        <v>0</v>
      </c>
      <c r="K235" s="6">
        <v>0</v>
      </c>
      <c r="L235" s="6">
        <v>0</v>
      </c>
      <c r="M235" s="5"/>
      <c r="N235" s="6">
        <v>7</v>
      </c>
      <c r="O235" s="6">
        <v>0</v>
      </c>
      <c r="P235" s="6">
        <v>0</v>
      </c>
      <c r="Q235" s="6">
        <v>0</v>
      </c>
      <c r="R235" s="6">
        <v>-7</v>
      </c>
      <c r="S235" s="5"/>
      <c r="T235" s="7">
        <v>630</v>
      </c>
      <c r="U235" s="7">
        <v>0</v>
      </c>
      <c r="V235" s="7">
        <v>0</v>
      </c>
      <c r="W235" s="7">
        <v>0</v>
      </c>
      <c r="X235" s="7">
        <v>0</v>
      </c>
      <c r="Y235" s="7">
        <v>-630</v>
      </c>
    </row>
    <row r="236" spans="1:25" ht="51" x14ac:dyDescent="0.2">
      <c r="A236" s="5" t="s">
        <v>376</v>
      </c>
      <c r="B236" s="5" t="s">
        <v>374</v>
      </c>
      <c r="C236" s="5" t="s">
        <v>227</v>
      </c>
      <c r="D236" s="5" t="s">
        <v>112</v>
      </c>
      <c r="E236" s="5" t="s">
        <v>88</v>
      </c>
      <c r="F236" s="5" t="s">
        <v>18</v>
      </c>
      <c r="G236" s="5" t="s">
        <v>89</v>
      </c>
      <c r="H236" s="5"/>
      <c r="I236" s="6">
        <v>0</v>
      </c>
      <c r="J236" s="6">
        <v>0</v>
      </c>
      <c r="K236" s="6">
        <v>0</v>
      </c>
      <c r="L236" s="6">
        <v>0</v>
      </c>
      <c r="M236" s="5"/>
      <c r="N236" s="6">
        <v>74</v>
      </c>
      <c r="O236" s="6">
        <v>28</v>
      </c>
      <c r="P236" s="6">
        <v>28</v>
      </c>
      <c r="Q236" s="6">
        <v>0</v>
      </c>
      <c r="R236" s="6">
        <v>-46</v>
      </c>
      <c r="S236" s="5"/>
      <c r="T236" s="7">
        <v>6660</v>
      </c>
      <c r="U236" s="7">
        <v>2693.13</v>
      </c>
      <c r="V236" s="7">
        <v>0</v>
      </c>
      <c r="W236" s="7">
        <v>2693.13</v>
      </c>
      <c r="X236" s="7">
        <v>0</v>
      </c>
      <c r="Y236" s="7">
        <v>-3966.87</v>
      </c>
    </row>
    <row r="237" spans="1:25" ht="51" x14ac:dyDescent="0.2">
      <c r="A237" s="5" t="s">
        <v>377</v>
      </c>
      <c r="B237" s="5" t="s">
        <v>374</v>
      </c>
      <c r="C237" s="5" t="s">
        <v>229</v>
      </c>
      <c r="D237" s="5" t="s">
        <v>112</v>
      </c>
      <c r="E237" s="5" t="s">
        <v>88</v>
      </c>
      <c r="F237" s="5" t="s">
        <v>18</v>
      </c>
      <c r="G237" s="5" t="s">
        <v>89</v>
      </c>
      <c r="H237" s="5"/>
      <c r="I237" s="6">
        <v>0</v>
      </c>
      <c r="J237" s="6">
        <v>0</v>
      </c>
      <c r="K237" s="6">
        <v>0</v>
      </c>
      <c r="L237" s="6">
        <v>0</v>
      </c>
      <c r="M237" s="5"/>
      <c r="N237" s="6">
        <v>79</v>
      </c>
      <c r="O237" s="6">
        <v>16</v>
      </c>
      <c r="P237" s="6">
        <v>16</v>
      </c>
      <c r="Q237" s="6">
        <v>0</v>
      </c>
      <c r="R237" s="6">
        <v>-63</v>
      </c>
      <c r="S237" s="5"/>
      <c r="T237" s="7">
        <v>7110</v>
      </c>
      <c r="U237" s="7">
        <v>1569.67</v>
      </c>
      <c r="V237" s="7">
        <v>0</v>
      </c>
      <c r="W237" s="7">
        <v>1569.67</v>
      </c>
      <c r="X237" s="7">
        <v>0</v>
      </c>
      <c r="Y237" s="7">
        <v>-5540.33</v>
      </c>
    </row>
    <row r="238" spans="1:25" ht="51" x14ac:dyDescent="0.2">
      <c r="A238" s="5" t="s">
        <v>378</v>
      </c>
      <c r="B238" s="5" t="s">
        <v>374</v>
      </c>
      <c r="C238" s="5" t="s">
        <v>231</v>
      </c>
      <c r="D238" s="5" t="s">
        <v>112</v>
      </c>
      <c r="E238" s="5" t="s">
        <v>88</v>
      </c>
      <c r="F238" s="5" t="s">
        <v>18</v>
      </c>
      <c r="G238" s="5" t="s">
        <v>89</v>
      </c>
      <c r="H238" s="5"/>
      <c r="I238" s="6">
        <v>0</v>
      </c>
      <c r="J238" s="6">
        <v>0</v>
      </c>
      <c r="K238" s="6">
        <v>0</v>
      </c>
      <c r="L238" s="6">
        <v>0</v>
      </c>
      <c r="M238" s="5"/>
      <c r="N238" s="6">
        <v>50</v>
      </c>
      <c r="O238" s="6">
        <v>64</v>
      </c>
      <c r="P238" s="6">
        <v>64</v>
      </c>
      <c r="Q238" s="6">
        <v>0</v>
      </c>
      <c r="R238" s="6">
        <v>14</v>
      </c>
      <c r="S238" s="5"/>
      <c r="T238" s="7">
        <v>4500</v>
      </c>
      <c r="U238" s="7">
        <v>6476.49</v>
      </c>
      <c r="V238" s="7">
        <v>0</v>
      </c>
      <c r="W238" s="7">
        <v>6476.49</v>
      </c>
      <c r="X238" s="7">
        <v>0</v>
      </c>
      <c r="Y238" s="7">
        <v>1976.49</v>
      </c>
    </row>
    <row r="239" spans="1:25" ht="51" x14ac:dyDescent="0.2">
      <c r="A239" s="5" t="s">
        <v>379</v>
      </c>
      <c r="B239" s="5" t="s">
        <v>374</v>
      </c>
      <c r="C239" s="5" t="s">
        <v>233</v>
      </c>
      <c r="D239" s="5" t="s">
        <v>112</v>
      </c>
      <c r="E239" s="5" t="s">
        <v>88</v>
      </c>
      <c r="F239" s="5" t="s">
        <v>18</v>
      </c>
      <c r="G239" s="5" t="s">
        <v>89</v>
      </c>
      <c r="H239" s="5"/>
      <c r="I239" s="6">
        <v>0</v>
      </c>
      <c r="J239" s="6">
        <v>0</v>
      </c>
      <c r="K239" s="6">
        <v>0</v>
      </c>
      <c r="L239" s="6">
        <v>0</v>
      </c>
      <c r="M239" s="5"/>
      <c r="N239" s="6">
        <v>10</v>
      </c>
      <c r="O239" s="6">
        <v>16</v>
      </c>
      <c r="P239" s="6">
        <v>16</v>
      </c>
      <c r="Q239" s="6">
        <v>0</v>
      </c>
      <c r="R239" s="6">
        <v>6</v>
      </c>
      <c r="S239" s="5"/>
      <c r="T239" s="7">
        <v>900</v>
      </c>
      <c r="U239" s="7">
        <v>1599.05</v>
      </c>
      <c r="V239" s="7">
        <v>0</v>
      </c>
      <c r="W239" s="7">
        <v>1599.05</v>
      </c>
      <c r="X239" s="7">
        <v>0</v>
      </c>
      <c r="Y239" s="7">
        <v>699.05</v>
      </c>
    </row>
    <row r="240" spans="1:25" ht="51" x14ac:dyDescent="0.2">
      <c r="A240" s="5" t="s">
        <v>380</v>
      </c>
      <c r="B240" s="5" t="s">
        <v>374</v>
      </c>
      <c r="C240" s="5" t="s">
        <v>235</v>
      </c>
      <c r="D240" s="5" t="s">
        <v>112</v>
      </c>
      <c r="E240" s="5" t="s">
        <v>88</v>
      </c>
      <c r="F240" s="5" t="s">
        <v>18</v>
      </c>
      <c r="G240" s="5" t="s">
        <v>89</v>
      </c>
      <c r="H240" s="5"/>
      <c r="I240" s="6">
        <v>0</v>
      </c>
      <c r="J240" s="6">
        <v>0</v>
      </c>
      <c r="K240" s="6">
        <v>0</v>
      </c>
      <c r="L240" s="6">
        <v>0</v>
      </c>
      <c r="M240" s="5"/>
      <c r="N240" s="6">
        <v>9</v>
      </c>
      <c r="O240" s="6">
        <v>0</v>
      </c>
      <c r="P240" s="6">
        <v>0</v>
      </c>
      <c r="Q240" s="6">
        <v>0</v>
      </c>
      <c r="R240" s="6">
        <v>-9</v>
      </c>
      <c r="S240" s="5"/>
      <c r="T240" s="7">
        <v>810</v>
      </c>
      <c r="U240" s="7">
        <v>0</v>
      </c>
      <c r="V240" s="7">
        <v>0</v>
      </c>
      <c r="W240" s="7">
        <v>0</v>
      </c>
      <c r="X240" s="7">
        <v>0</v>
      </c>
      <c r="Y240" s="7">
        <v>-810</v>
      </c>
    </row>
    <row r="241" spans="1:25" ht="51" x14ac:dyDescent="0.2">
      <c r="A241" s="5" t="s">
        <v>381</v>
      </c>
      <c r="B241" s="5" t="s">
        <v>374</v>
      </c>
      <c r="C241" s="5" t="s">
        <v>237</v>
      </c>
      <c r="D241" s="5" t="s">
        <v>112</v>
      </c>
      <c r="E241" s="5" t="s">
        <v>88</v>
      </c>
      <c r="F241" s="5" t="s">
        <v>18</v>
      </c>
      <c r="G241" s="5" t="s">
        <v>89</v>
      </c>
      <c r="H241" s="5"/>
      <c r="I241" s="6">
        <v>0</v>
      </c>
      <c r="J241" s="6">
        <v>0</v>
      </c>
      <c r="K241" s="6">
        <v>0</v>
      </c>
      <c r="L241" s="6">
        <v>0</v>
      </c>
      <c r="M241" s="5"/>
      <c r="N241" s="6">
        <v>314</v>
      </c>
      <c r="O241" s="6">
        <v>292</v>
      </c>
      <c r="P241" s="6">
        <v>300</v>
      </c>
      <c r="Q241" s="6">
        <v>8</v>
      </c>
      <c r="R241" s="6">
        <v>-14</v>
      </c>
      <c r="S241" s="5"/>
      <c r="T241" s="7">
        <v>28260</v>
      </c>
      <c r="U241" s="7">
        <v>28815.43</v>
      </c>
      <c r="V241" s="7">
        <v>0</v>
      </c>
      <c r="W241" s="7">
        <v>29655.43</v>
      </c>
      <c r="X241" s="7">
        <v>840</v>
      </c>
      <c r="Y241" s="7">
        <v>1395.43</v>
      </c>
    </row>
    <row r="242" spans="1:25" ht="51" x14ac:dyDescent="0.2">
      <c r="A242" s="5" t="s">
        <v>382</v>
      </c>
      <c r="B242" s="5" t="s">
        <v>374</v>
      </c>
      <c r="C242" s="5" t="s">
        <v>239</v>
      </c>
      <c r="D242" s="5" t="s">
        <v>112</v>
      </c>
      <c r="E242" s="5" t="s">
        <v>88</v>
      </c>
      <c r="F242" s="5" t="s">
        <v>18</v>
      </c>
      <c r="G242" s="5" t="s">
        <v>89</v>
      </c>
      <c r="H242" s="5"/>
      <c r="I242" s="6">
        <v>0</v>
      </c>
      <c r="J242" s="6">
        <v>0</v>
      </c>
      <c r="K242" s="6">
        <v>0</v>
      </c>
      <c r="L242" s="6">
        <v>0</v>
      </c>
      <c r="M242" s="5"/>
      <c r="N242" s="6">
        <v>89</v>
      </c>
      <c r="O242" s="6">
        <v>32</v>
      </c>
      <c r="P242" s="6">
        <v>32</v>
      </c>
      <c r="Q242" s="6">
        <v>0</v>
      </c>
      <c r="R242" s="6">
        <v>-57</v>
      </c>
      <c r="S242" s="5"/>
      <c r="T242" s="7">
        <v>8010</v>
      </c>
      <c r="U242" s="7">
        <v>3138.41</v>
      </c>
      <c r="V242" s="7">
        <v>0</v>
      </c>
      <c r="W242" s="7">
        <v>3138.41</v>
      </c>
      <c r="X242" s="7">
        <v>0</v>
      </c>
      <c r="Y242" s="7">
        <v>-4871.59</v>
      </c>
    </row>
    <row r="243" spans="1:25" ht="51" x14ac:dyDescent="0.2">
      <c r="A243" s="5" t="s">
        <v>383</v>
      </c>
      <c r="B243" s="5" t="s">
        <v>384</v>
      </c>
      <c r="C243" s="5" t="s">
        <v>385</v>
      </c>
      <c r="D243" s="5" t="s">
        <v>386</v>
      </c>
      <c r="E243" s="5" t="s">
        <v>123</v>
      </c>
      <c r="F243" s="5" t="s">
        <v>18</v>
      </c>
      <c r="G243" s="5" t="s">
        <v>89</v>
      </c>
      <c r="H243" s="5"/>
      <c r="I243" s="6">
        <v>0</v>
      </c>
      <c r="J243" s="6">
        <v>0</v>
      </c>
      <c r="K243" s="6">
        <v>0</v>
      </c>
      <c r="L243" s="6">
        <v>0</v>
      </c>
      <c r="M243" s="5"/>
      <c r="N243" s="6">
        <v>0</v>
      </c>
      <c r="O243" s="6">
        <v>2242</v>
      </c>
      <c r="P243" s="6">
        <v>2242</v>
      </c>
      <c r="Q243" s="6">
        <v>0</v>
      </c>
      <c r="R243" s="6">
        <v>2242</v>
      </c>
      <c r="S243" s="5"/>
      <c r="T243" s="7">
        <v>0</v>
      </c>
      <c r="U243" s="7">
        <v>186012.01</v>
      </c>
      <c r="V243" s="7">
        <v>0</v>
      </c>
      <c r="W243" s="7">
        <v>186012.01</v>
      </c>
      <c r="X243" s="7">
        <v>0</v>
      </c>
      <c r="Y243" s="7">
        <v>186012.01</v>
      </c>
    </row>
    <row r="244" spans="1:25" ht="51" x14ac:dyDescent="0.2">
      <c r="A244" s="5" t="s">
        <v>387</v>
      </c>
      <c r="B244" s="5" t="s">
        <v>388</v>
      </c>
      <c r="C244" s="5" t="s">
        <v>225</v>
      </c>
      <c r="D244" s="5" t="s">
        <v>386</v>
      </c>
      <c r="E244" s="5" t="s">
        <v>88</v>
      </c>
      <c r="F244" s="5" t="s">
        <v>18</v>
      </c>
      <c r="G244" s="5" t="s">
        <v>89</v>
      </c>
      <c r="H244" s="5"/>
      <c r="I244" s="6">
        <v>0</v>
      </c>
      <c r="J244" s="6">
        <v>0</v>
      </c>
      <c r="K244" s="6">
        <v>0</v>
      </c>
      <c r="L244" s="6">
        <v>0</v>
      </c>
      <c r="M244" s="5"/>
      <c r="N244" s="6">
        <v>653</v>
      </c>
      <c r="O244" s="6">
        <v>705</v>
      </c>
      <c r="P244" s="6">
        <v>705</v>
      </c>
      <c r="Q244" s="6">
        <v>0</v>
      </c>
      <c r="R244" s="6">
        <v>52</v>
      </c>
      <c r="S244" s="5"/>
      <c r="T244" s="7">
        <v>58770</v>
      </c>
      <c r="U244" s="7">
        <v>61802.96</v>
      </c>
      <c r="V244" s="7">
        <v>0</v>
      </c>
      <c r="W244" s="7">
        <v>61802.96</v>
      </c>
      <c r="X244" s="7">
        <v>0</v>
      </c>
      <c r="Y244" s="7">
        <v>3032.96</v>
      </c>
    </row>
    <row r="245" spans="1:25" ht="51" x14ac:dyDescent="0.2">
      <c r="A245" s="5" t="s">
        <v>389</v>
      </c>
      <c r="B245" s="5" t="s">
        <v>388</v>
      </c>
      <c r="C245" s="5" t="s">
        <v>227</v>
      </c>
      <c r="D245" s="5" t="s">
        <v>386</v>
      </c>
      <c r="E245" s="5" t="s">
        <v>88</v>
      </c>
      <c r="F245" s="5" t="s">
        <v>18</v>
      </c>
      <c r="G245" s="5" t="s">
        <v>89</v>
      </c>
      <c r="H245" s="5"/>
      <c r="I245" s="6">
        <v>0</v>
      </c>
      <c r="J245" s="6">
        <v>0</v>
      </c>
      <c r="K245" s="6">
        <v>0</v>
      </c>
      <c r="L245" s="6">
        <v>0</v>
      </c>
      <c r="M245" s="5"/>
      <c r="N245" s="6">
        <v>29</v>
      </c>
      <c r="O245" s="6">
        <v>85</v>
      </c>
      <c r="P245" s="6">
        <v>85</v>
      </c>
      <c r="Q245" s="6">
        <v>0</v>
      </c>
      <c r="R245" s="6">
        <v>56</v>
      </c>
      <c r="S245" s="5"/>
      <c r="T245" s="7">
        <v>2610</v>
      </c>
      <c r="U245" s="7">
        <v>8314.35</v>
      </c>
      <c r="V245" s="7">
        <v>0</v>
      </c>
      <c r="W245" s="7">
        <v>8314.35</v>
      </c>
      <c r="X245" s="7">
        <v>0</v>
      </c>
      <c r="Y245" s="7">
        <v>5704.35</v>
      </c>
    </row>
    <row r="246" spans="1:25" ht="51" x14ac:dyDescent="0.2">
      <c r="A246" s="5" t="s">
        <v>390</v>
      </c>
      <c r="B246" s="5" t="s">
        <v>388</v>
      </c>
      <c r="C246" s="5" t="s">
        <v>229</v>
      </c>
      <c r="D246" s="5" t="s">
        <v>386</v>
      </c>
      <c r="E246" s="5" t="s">
        <v>88</v>
      </c>
      <c r="F246" s="5" t="s">
        <v>18</v>
      </c>
      <c r="G246" s="5" t="s">
        <v>89</v>
      </c>
      <c r="H246" s="5"/>
      <c r="I246" s="6">
        <v>0</v>
      </c>
      <c r="J246" s="6">
        <v>0</v>
      </c>
      <c r="K246" s="6">
        <v>0</v>
      </c>
      <c r="L246" s="6">
        <v>0</v>
      </c>
      <c r="M246" s="5"/>
      <c r="N246" s="6">
        <v>12</v>
      </c>
      <c r="O246" s="6">
        <v>33</v>
      </c>
      <c r="P246" s="6">
        <v>33</v>
      </c>
      <c r="Q246" s="6">
        <v>0</v>
      </c>
      <c r="R246" s="6">
        <v>21</v>
      </c>
      <c r="S246" s="5"/>
      <c r="T246" s="7">
        <v>1080</v>
      </c>
      <c r="U246" s="7">
        <v>3268.34</v>
      </c>
      <c r="V246" s="7">
        <v>0</v>
      </c>
      <c r="W246" s="7">
        <v>3268.34</v>
      </c>
      <c r="X246" s="7">
        <v>0</v>
      </c>
      <c r="Y246" s="7">
        <v>2188.34</v>
      </c>
    </row>
    <row r="247" spans="1:25" ht="51" x14ac:dyDescent="0.2">
      <c r="A247" s="5" t="s">
        <v>391</v>
      </c>
      <c r="B247" s="5" t="s">
        <v>388</v>
      </c>
      <c r="C247" s="5" t="s">
        <v>231</v>
      </c>
      <c r="D247" s="5" t="s">
        <v>386</v>
      </c>
      <c r="E247" s="5" t="s">
        <v>88</v>
      </c>
      <c r="F247" s="5" t="s">
        <v>18</v>
      </c>
      <c r="G247" s="5" t="s">
        <v>89</v>
      </c>
      <c r="H247" s="5"/>
      <c r="I247" s="6">
        <v>0</v>
      </c>
      <c r="J247" s="6">
        <v>0</v>
      </c>
      <c r="K247" s="6">
        <v>0</v>
      </c>
      <c r="L247" s="6">
        <v>0</v>
      </c>
      <c r="M247" s="5"/>
      <c r="N247" s="6">
        <v>246</v>
      </c>
      <c r="O247" s="6">
        <v>269</v>
      </c>
      <c r="P247" s="6">
        <v>269</v>
      </c>
      <c r="Q247" s="6">
        <v>0</v>
      </c>
      <c r="R247" s="6">
        <v>23</v>
      </c>
      <c r="S247" s="5"/>
      <c r="T247" s="7">
        <v>22056</v>
      </c>
      <c r="U247" s="7">
        <v>23408.36</v>
      </c>
      <c r="V247" s="7">
        <v>0</v>
      </c>
      <c r="W247" s="7">
        <v>23408.36</v>
      </c>
      <c r="X247" s="7">
        <v>0</v>
      </c>
      <c r="Y247" s="7">
        <v>1352.36</v>
      </c>
    </row>
    <row r="248" spans="1:25" ht="51" x14ac:dyDescent="0.2">
      <c r="A248" s="5" t="s">
        <v>392</v>
      </c>
      <c r="B248" s="5" t="s">
        <v>388</v>
      </c>
      <c r="C248" s="5" t="s">
        <v>233</v>
      </c>
      <c r="D248" s="5" t="s">
        <v>386</v>
      </c>
      <c r="E248" s="5" t="s">
        <v>88</v>
      </c>
      <c r="F248" s="5" t="s">
        <v>18</v>
      </c>
      <c r="G248" s="5" t="s">
        <v>89</v>
      </c>
      <c r="H248" s="5"/>
      <c r="I248" s="6">
        <v>0</v>
      </c>
      <c r="J248" s="6">
        <v>0</v>
      </c>
      <c r="K248" s="6">
        <v>0</v>
      </c>
      <c r="L248" s="6">
        <v>0</v>
      </c>
      <c r="M248" s="5"/>
      <c r="N248" s="6">
        <v>40</v>
      </c>
      <c r="O248" s="6">
        <v>152</v>
      </c>
      <c r="P248" s="6">
        <v>152</v>
      </c>
      <c r="Q248" s="6">
        <v>0</v>
      </c>
      <c r="R248" s="6">
        <v>112</v>
      </c>
      <c r="S248" s="5"/>
      <c r="T248" s="7">
        <v>3600</v>
      </c>
      <c r="U248" s="7">
        <v>12047.79</v>
      </c>
      <c r="V248" s="7">
        <v>0</v>
      </c>
      <c r="W248" s="7">
        <v>12047.79</v>
      </c>
      <c r="X248" s="7">
        <v>0</v>
      </c>
      <c r="Y248" s="7">
        <v>8447.7900000000009</v>
      </c>
    </row>
    <row r="249" spans="1:25" ht="51" x14ac:dyDescent="0.2">
      <c r="A249" s="5" t="s">
        <v>393</v>
      </c>
      <c r="B249" s="5" t="s">
        <v>388</v>
      </c>
      <c r="C249" s="5" t="s">
        <v>235</v>
      </c>
      <c r="D249" s="5" t="s">
        <v>386</v>
      </c>
      <c r="E249" s="5" t="s">
        <v>88</v>
      </c>
      <c r="F249" s="5" t="s">
        <v>18</v>
      </c>
      <c r="G249" s="5" t="s">
        <v>89</v>
      </c>
      <c r="H249" s="5"/>
      <c r="I249" s="6">
        <v>0</v>
      </c>
      <c r="J249" s="6">
        <v>0</v>
      </c>
      <c r="K249" s="6">
        <v>0</v>
      </c>
      <c r="L249" s="6">
        <v>0</v>
      </c>
      <c r="M249" s="5"/>
      <c r="N249" s="6">
        <v>155</v>
      </c>
      <c r="O249" s="6">
        <v>61</v>
      </c>
      <c r="P249" s="6">
        <v>61</v>
      </c>
      <c r="Q249" s="6">
        <v>0</v>
      </c>
      <c r="R249" s="6">
        <v>-94</v>
      </c>
      <c r="S249" s="5"/>
      <c r="T249" s="7">
        <v>14132</v>
      </c>
      <c r="U249" s="7">
        <v>5591.11</v>
      </c>
      <c r="V249" s="7">
        <v>0</v>
      </c>
      <c r="W249" s="7">
        <v>5591.11</v>
      </c>
      <c r="X249" s="7">
        <v>0</v>
      </c>
      <c r="Y249" s="7">
        <v>-8540.89</v>
      </c>
    </row>
    <row r="250" spans="1:25" ht="51" x14ac:dyDescent="0.2">
      <c r="A250" s="5" t="s">
        <v>394</v>
      </c>
      <c r="B250" s="5" t="s">
        <v>395</v>
      </c>
      <c r="C250" s="5" t="s">
        <v>237</v>
      </c>
      <c r="D250" s="5" t="s">
        <v>386</v>
      </c>
      <c r="E250" s="5" t="s">
        <v>88</v>
      </c>
      <c r="F250" s="5" t="s">
        <v>18</v>
      </c>
      <c r="G250" s="5" t="s">
        <v>89</v>
      </c>
      <c r="H250" s="5"/>
      <c r="I250" s="6">
        <v>0</v>
      </c>
      <c r="J250" s="6">
        <v>0</v>
      </c>
      <c r="K250" s="6">
        <v>0</v>
      </c>
      <c r="L250" s="6">
        <v>0</v>
      </c>
      <c r="M250" s="5"/>
      <c r="N250" s="6">
        <v>382</v>
      </c>
      <c r="O250" s="6">
        <v>1195</v>
      </c>
      <c r="P250" s="6">
        <v>1195</v>
      </c>
      <c r="Q250" s="6">
        <v>0</v>
      </c>
      <c r="R250" s="6">
        <v>813</v>
      </c>
      <c r="S250" s="5"/>
      <c r="T250" s="7">
        <v>34380</v>
      </c>
      <c r="U250" s="7">
        <v>106124.37</v>
      </c>
      <c r="V250" s="7">
        <v>0</v>
      </c>
      <c r="W250" s="7">
        <v>106124.37</v>
      </c>
      <c r="X250" s="7">
        <v>0</v>
      </c>
      <c r="Y250" s="7">
        <v>71744.37</v>
      </c>
    </row>
    <row r="251" spans="1:25" ht="51" x14ac:dyDescent="0.2">
      <c r="A251" s="5" t="s">
        <v>396</v>
      </c>
      <c r="B251" s="5" t="s">
        <v>395</v>
      </c>
      <c r="C251" s="5" t="s">
        <v>239</v>
      </c>
      <c r="D251" s="5" t="s">
        <v>386</v>
      </c>
      <c r="E251" s="5" t="s">
        <v>88</v>
      </c>
      <c r="F251" s="5" t="s">
        <v>18</v>
      </c>
      <c r="G251" s="5" t="s">
        <v>89</v>
      </c>
      <c r="H251" s="5"/>
      <c r="I251" s="6">
        <v>0</v>
      </c>
      <c r="J251" s="6">
        <v>0</v>
      </c>
      <c r="K251" s="6">
        <v>0</v>
      </c>
      <c r="L251" s="6">
        <v>0</v>
      </c>
      <c r="M251" s="5"/>
      <c r="N251" s="6">
        <v>339</v>
      </c>
      <c r="O251" s="6">
        <v>550</v>
      </c>
      <c r="P251" s="6">
        <v>550</v>
      </c>
      <c r="Q251" s="6">
        <v>0</v>
      </c>
      <c r="R251" s="6">
        <v>211</v>
      </c>
      <c r="S251" s="5"/>
      <c r="T251" s="7">
        <v>31064.880000000001</v>
      </c>
      <c r="U251" s="7">
        <v>43495.47</v>
      </c>
      <c r="V251" s="7">
        <v>0</v>
      </c>
      <c r="W251" s="7">
        <v>43495.47</v>
      </c>
      <c r="X251" s="7">
        <v>0</v>
      </c>
      <c r="Y251" s="7">
        <v>12430.59</v>
      </c>
    </row>
    <row r="252" spans="1:25" ht="51" x14ac:dyDescent="0.2">
      <c r="A252" s="5" t="s">
        <v>397</v>
      </c>
      <c r="B252" s="5" t="s">
        <v>398</v>
      </c>
      <c r="C252" s="5" t="s">
        <v>16</v>
      </c>
      <c r="D252" s="5" t="s">
        <v>92</v>
      </c>
      <c r="E252" s="5" t="s">
        <v>123</v>
      </c>
      <c r="F252" s="5" t="s">
        <v>18</v>
      </c>
      <c r="G252" s="5" t="s">
        <v>89</v>
      </c>
      <c r="H252" s="5"/>
      <c r="I252" s="6">
        <v>0</v>
      </c>
      <c r="J252" s="6">
        <v>0</v>
      </c>
      <c r="K252" s="6">
        <v>0</v>
      </c>
      <c r="L252" s="6">
        <v>0</v>
      </c>
      <c r="M252" s="5"/>
      <c r="N252" s="6">
        <v>0</v>
      </c>
      <c r="O252" s="6">
        <v>16</v>
      </c>
      <c r="P252" s="6">
        <v>16</v>
      </c>
      <c r="Q252" s="6">
        <v>0</v>
      </c>
      <c r="R252" s="6">
        <v>16</v>
      </c>
      <c r="S252" s="5"/>
      <c r="T252" s="7">
        <v>0</v>
      </c>
      <c r="U252" s="7">
        <v>1504.2</v>
      </c>
      <c r="V252" s="7">
        <v>0</v>
      </c>
      <c r="W252" s="7">
        <v>1504.2</v>
      </c>
      <c r="X252" s="7">
        <v>0</v>
      </c>
      <c r="Y252" s="7">
        <v>1504.2</v>
      </c>
    </row>
    <row r="253" spans="1:25" ht="51" x14ac:dyDescent="0.2">
      <c r="A253" s="5" t="s">
        <v>399</v>
      </c>
      <c r="B253" s="5" t="s">
        <v>400</v>
      </c>
      <c r="C253" s="5" t="s">
        <v>225</v>
      </c>
      <c r="D253" s="5" t="s">
        <v>92</v>
      </c>
      <c r="E253" s="5" t="s">
        <v>88</v>
      </c>
      <c r="F253" s="5" t="s">
        <v>18</v>
      </c>
      <c r="G253" s="5" t="s">
        <v>89</v>
      </c>
      <c r="H253" s="5"/>
      <c r="I253" s="6">
        <v>0</v>
      </c>
      <c r="J253" s="6">
        <v>0</v>
      </c>
      <c r="K253" s="6">
        <v>0</v>
      </c>
      <c r="L253" s="6">
        <v>0</v>
      </c>
      <c r="M253" s="5"/>
      <c r="N253" s="6">
        <v>314</v>
      </c>
      <c r="O253" s="6">
        <v>1599</v>
      </c>
      <c r="P253" s="6">
        <v>1599</v>
      </c>
      <c r="Q253" s="6">
        <v>0</v>
      </c>
      <c r="R253" s="6">
        <v>1285</v>
      </c>
      <c r="S253" s="5"/>
      <c r="T253" s="7">
        <v>28227.24</v>
      </c>
      <c r="U253" s="7">
        <v>116766.61</v>
      </c>
      <c r="V253" s="7">
        <v>0</v>
      </c>
      <c r="W253" s="7">
        <v>116766.61</v>
      </c>
      <c r="X253" s="7">
        <v>0</v>
      </c>
      <c r="Y253" s="7">
        <v>88539.37</v>
      </c>
    </row>
    <row r="254" spans="1:25" ht="51" x14ac:dyDescent="0.2">
      <c r="A254" s="5" t="s">
        <v>401</v>
      </c>
      <c r="B254" s="5" t="s">
        <v>400</v>
      </c>
      <c r="C254" s="5" t="s">
        <v>227</v>
      </c>
      <c r="D254" s="5" t="s">
        <v>92</v>
      </c>
      <c r="E254" s="5" t="s">
        <v>88</v>
      </c>
      <c r="F254" s="5" t="s">
        <v>18</v>
      </c>
      <c r="G254" s="5" t="s">
        <v>89</v>
      </c>
      <c r="H254" s="5"/>
      <c r="I254" s="6">
        <v>0</v>
      </c>
      <c r="J254" s="6">
        <v>0</v>
      </c>
      <c r="K254" s="6">
        <v>0</v>
      </c>
      <c r="L254" s="6">
        <v>0</v>
      </c>
      <c r="M254" s="5"/>
      <c r="N254" s="6">
        <v>293</v>
      </c>
      <c r="O254" s="6">
        <v>731</v>
      </c>
      <c r="P254" s="6">
        <v>731</v>
      </c>
      <c r="Q254" s="6">
        <v>0</v>
      </c>
      <c r="R254" s="6">
        <v>438</v>
      </c>
      <c r="S254" s="5"/>
      <c r="T254" s="7">
        <v>26370</v>
      </c>
      <c r="U254" s="7">
        <v>60953.1</v>
      </c>
      <c r="V254" s="7">
        <v>0</v>
      </c>
      <c r="W254" s="7">
        <v>60953.1</v>
      </c>
      <c r="X254" s="7">
        <v>0</v>
      </c>
      <c r="Y254" s="7">
        <v>34583.1</v>
      </c>
    </row>
    <row r="255" spans="1:25" ht="51" x14ac:dyDescent="0.2">
      <c r="A255" s="5" t="s">
        <v>402</v>
      </c>
      <c r="B255" s="5" t="s">
        <v>400</v>
      </c>
      <c r="C255" s="5" t="s">
        <v>229</v>
      </c>
      <c r="D255" s="5" t="s">
        <v>92</v>
      </c>
      <c r="E255" s="5" t="s">
        <v>88</v>
      </c>
      <c r="F255" s="5" t="s">
        <v>18</v>
      </c>
      <c r="G255" s="5" t="s">
        <v>89</v>
      </c>
      <c r="H255" s="5"/>
      <c r="I255" s="6">
        <v>0</v>
      </c>
      <c r="J255" s="6">
        <v>0</v>
      </c>
      <c r="K255" s="6">
        <v>0</v>
      </c>
      <c r="L255" s="6">
        <v>0</v>
      </c>
      <c r="M255" s="5"/>
      <c r="N255" s="6">
        <v>207</v>
      </c>
      <c r="O255" s="6">
        <v>395</v>
      </c>
      <c r="P255" s="6">
        <v>395</v>
      </c>
      <c r="Q255" s="6">
        <v>0</v>
      </c>
      <c r="R255" s="6">
        <v>188</v>
      </c>
      <c r="S255" s="5"/>
      <c r="T255" s="7">
        <v>18630</v>
      </c>
      <c r="U255" s="7">
        <v>33236.269999999997</v>
      </c>
      <c r="V255" s="7">
        <v>0</v>
      </c>
      <c r="W255" s="7">
        <v>33236.269999999997</v>
      </c>
      <c r="X255" s="7">
        <v>0</v>
      </c>
      <c r="Y255" s="7">
        <v>14606.27</v>
      </c>
    </row>
    <row r="256" spans="1:25" ht="51" x14ac:dyDescent="0.2">
      <c r="A256" s="5" t="s">
        <v>403</v>
      </c>
      <c r="B256" s="5" t="s">
        <v>400</v>
      </c>
      <c r="C256" s="5" t="s">
        <v>231</v>
      </c>
      <c r="D256" s="5" t="s">
        <v>92</v>
      </c>
      <c r="E256" s="5" t="s">
        <v>88</v>
      </c>
      <c r="F256" s="5" t="s">
        <v>18</v>
      </c>
      <c r="G256" s="5" t="s">
        <v>89</v>
      </c>
      <c r="H256" s="5"/>
      <c r="I256" s="6">
        <v>0</v>
      </c>
      <c r="J256" s="6">
        <v>0</v>
      </c>
      <c r="K256" s="6">
        <v>0</v>
      </c>
      <c r="L256" s="6">
        <v>0</v>
      </c>
      <c r="M256" s="5"/>
      <c r="N256" s="6">
        <v>362</v>
      </c>
      <c r="O256" s="6">
        <v>442</v>
      </c>
      <c r="P256" s="6">
        <v>442</v>
      </c>
      <c r="Q256" s="6">
        <v>0</v>
      </c>
      <c r="R256" s="6">
        <v>80</v>
      </c>
      <c r="S256" s="5"/>
      <c r="T256" s="7">
        <v>32580</v>
      </c>
      <c r="U256" s="7">
        <v>41175.019999999997</v>
      </c>
      <c r="V256" s="7">
        <v>0</v>
      </c>
      <c r="W256" s="7">
        <v>41175.019999999997</v>
      </c>
      <c r="X256" s="7">
        <v>0</v>
      </c>
      <c r="Y256" s="7">
        <v>8595.02</v>
      </c>
    </row>
    <row r="257" spans="1:25" ht="51" x14ac:dyDescent="0.2">
      <c r="A257" s="5" t="s">
        <v>404</v>
      </c>
      <c r="B257" s="5" t="s">
        <v>400</v>
      </c>
      <c r="C257" s="5" t="s">
        <v>233</v>
      </c>
      <c r="D257" s="5" t="s">
        <v>92</v>
      </c>
      <c r="E257" s="5" t="s">
        <v>88</v>
      </c>
      <c r="F257" s="5" t="s">
        <v>18</v>
      </c>
      <c r="G257" s="5" t="s">
        <v>89</v>
      </c>
      <c r="H257" s="5"/>
      <c r="I257" s="6">
        <v>0</v>
      </c>
      <c r="J257" s="6">
        <v>0</v>
      </c>
      <c r="K257" s="6">
        <v>0</v>
      </c>
      <c r="L257" s="6">
        <v>0</v>
      </c>
      <c r="M257" s="5"/>
      <c r="N257" s="6">
        <v>13</v>
      </c>
      <c r="O257" s="6">
        <v>9</v>
      </c>
      <c r="P257" s="6">
        <v>9</v>
      </c>
      <c r="Q257" s="6">
        <v>0</v>
      </c>
      <c r="R257" s="6">
        <v>-4</v>
      </c>
      <c r="S257" s="5"/>
      <c r="T257" s="7">
        <v>1170</v>
      </c>
      <c r="U257" s="7">
        <v>843.43</v>
      </c>
      <c r="V257" s="7">
        <v>0</v>
      </c>
      <c r="W257" s="7">
        <v>843.43</v>
      </c>
      <c r="X257" s="7">
        <v>0</v>
      </c>
      <c r="Y257" s="7">
        <v>-326.57</v>
      </c>
    </row>
    <row r="258" spans="1:25" ht="51" x14ac:dyDescent="0.2">
      <c r="A258" s="5" t="s">
        <v>405</v>
      </c>
      <c r="B258" s="5" t="s">
        <v>400</v>
      </c>
      <c r="C258" s="5" t="s">
        <v>235</v>
      </c>
      <c r="D258" s="5" t="s">
        <v>92</v>
      </c>
      <c r="E258" s="5" t="s">
        <v>88</v>
      </c>
      <c r="F258" s="5" t="s">
        <v>18</v>
      </c>
      <c r="G258" s="5" t="s">
        <v>89</v>
      </c>
      <c r="H258" s="5"/>
      <c r="I258" s="6">
        <v>0</v>
      </c>
      <c r="J258" s="6">
        <v>0</v>
      </c>
      <c r="K258" s="6">
        <v>0</v>
      </c>
      <c r="L258" s="6">
        <v>0</v>
      </c>
      <c r="M258" s="5"/>
      <c r="N258" s="6">
        <v>11</v>
      </c>
      <c r="O258" s="6">
        <v>89</v>
      </c>
      <c r="P258" s="6">
        <v>89</v>
      </c>
      <c r="Q258" s="6">
        <v>0</v>
      </c>
      <c r="R258" s="6">
        <v>78</v>
      </c>
      <c r="S258" s="5"/>
      <c r="T258" s="7">
        <v>990</v>
      </c>
      <c r="U258" s="7">
        <v>8244.49</v>
      </c>
      <c r="V258" s="7">
        <v>0</v>
      </c>
      <c r="W258" s="7">
        <v>8244.49</v>
      </c>
      <c r="X258" s="7">
        <v>0</v>
      </c>
      <c r="Y258" s="7">
        <v>7254.49</v>
      </c>
    </row>
    <row r="259" spans="1:25" ht="51" x14ac:dyDescent="0.2">
      <c r="A259" s="5" t="s">
        <v>406</v>
      </c>
      <c r="B259" s="5" t="s">
        <v>407</v>
      </c>
      <c r="C259" s="5" t="s">
        <v>237</v>
      </c>
      <c r="D259" s="5" t="s">
        <v>92</v>
      </c>
      <c r="E259" s="5" t="s">
        <v>88</v>
      </c>
      <c r="F259" s="5" t="s">
        <v>18</v>
      </c>
      <c r="G259" s="5" t="s">
        <v>89</v>
      </c>
      <c r="H259" s="5"/>
      <c r="I259" s="6">
        <v>0</v>
      </c>
      <c r="J259" s="6">
        <v>0</v>
      </c>
      <c r="K259" s="6">
        <v>0</v>
      </c>
      <c r="L259" s="6">
        <v>0</v>
      </c>
      <c r="M259" s="5"/>
      <c r="N259" s="6">
        <v>1177</v>
      </c>
      <c r="O259" s="6">
        <v>2134</v>
      </c>
      <c r="P259" s="6">
        <v>2174</v>
      </c>
      <c r="Q259" s="6">
        <v>40</v>
      </c>
      <c r="R259" s="6">
        <v>997</v>
      </c>
      <c r="S259" s="5"/>
      <c r="T259" s="7">
        <v>105930</v>
      </c>
      <c r="U259" s="7">
        <v>184695.85</v>
      </c>
      <c r="V259" s="7">
        <v>0</v>
      </c>
      <c r="W259" s="7">
        <v>188895.85</v>
      </c>
      <c r="X259" s="7">
        <v>4200</v>
      </c>
      <c r="Y259" s="7">
        <v>82965.850000000006</v>
      </c>
    </row>
    <row r="260" spans="1:25" ht="51" x14ac:dyDescent="0.2">
      <c r="A260" s="5" t="s">
        <v>408</v>
      </c>
      <c r="B260" s="5" t="s">
        <v>407</v>
      </c>
      <c r="C260" s="5" t="s">
        <v>239</v>
      </c>
      <c r="D260" s="5" t="s">
        <v>92</v>
      </c>
      <c r="E260" s="5" t="s">
        <v>88</v>
      </c>
      <c r="F260" s="5" t="s">
        <v>18</v>
      </c>
      <c r="G260" s="5" t="s">
        <v>89</v>
      </c>
      <c r="H260" s="5"/>
      <c r="I260" s="6">
        <v>0</v>
      </c>
      <c r="J260" s="6">
        <v>0</v>
      </c>
      <c r="K260" s="6">
        <v>0</v>
      </c>
      <c r="L260" s="6">
        <v>0</v>
      </c>
      <c r="M260" s="5"/>
      <c r="N260" s="6">
        <v>207</v>
      </c>
      <c r="O260" s="6">
        <v>303</v>
      </c>
      <c r="P260" s="6">
        <v>303</v>
      </c>
      <c r="Q260" s="6">
        <v>0</v>
      </c>
      <c r="R260" s="6">
        <v>96</v>
      </c>
      <c r="S260" s="5"/>
      <c r="T260" s="7">
        <v>18630</v>
      </c>
      <c r="U260" s="7">
        <v>24320.98</v>
      </c>
      <c r="V260" s="7">
        <v>0</v>
      </c>
      <c r="W260" s="7">
        <v>24320.98</v>
      </c>
      <c r="X260" s="7">
        <v>0</v>
      </c>
      <c r="Y260" s="7">
        <v>5690.98</v>
      </c>
    </row>
    <row r="261" spans="1:25" ht="63.75" x14ac:dyDescent="0.2">
      <c r="A261" s="5" t="s">
        <v>409</v>
      </c>
      <c r="B261" s="5" t="s">
        <v>410</v>
      </c>
      <c r="C261" s="5" t="s">
        <v>225</v>
      </c>
      <c r="D261" s="5" t="s">
        <v>78</v>
      </c>
      <c r="E261" s="5" t="s">
        <v>88</v>
      </c>
      <c r="F261" s="5" t="s">
        <v>18</v>
      </c>
      <c r="G261" s="5" t="s">
        <v>89</v>
      </c>
      <c r="H261" s="5"/>
      <c r="I261" s="6">
        <v>0</v>
      </c>
      <c r="J261" s="6">
        <v>0</v>
      </c>
      <c r="K261" s="6">
        <v>0</v>
      </c>
      <c r="L261" s="6">
        <v>0</v>
      </c>
      <c r="M261" s="5"/>
      <c r="N261" s="6">
        <v>1169</v>
      </c>
      <c r="O261" s="6">
        <v>2133</v>
      </c>
      <c r="P261" s="6">
        <v>2133</v>
      </c>
      <c r="Q261" s="6">
        <v>0</v>
      </c>
      <c r="R261" s="6">
        <v>964</v>
      </c>
      <c r="S261" s="5"/>
      <c r="T261" s="7">
        <v>104750.5</v>
      </c>
      <c r="U261" s="7">
        <v>163019.25</v>
      </c>
      <c r="V261" s="7">
        <v>0</v>
      </c>
      <c r="W261" s="7">
        <v>163019.25</v>
      </c>
      <c r="X261" s="7">
        <v>0</v>
      </c>
      <c r="Y261" s="7">
        <v>58268.75</v>
      </c>
    </row>
    <row r="262" spans="1:25" ht="63.75" x14ac:dyDescent="0.2">
      <c r="A262" s="5" t="s">
        <v>411</v>
      </c>
      <c r="B262" s="5" t="s">
        <v>410</v>
      </c>
      <c r="C262" s="5" t="s">
        <v>122</v>
      </c>
      <c r="D262" s="5" t="s">
        <v>78</v>
      </c>
      <c r="E262" s="5" t="s">
        <v>88</v>
      </c>
      <c r="F262" s="5" t="s">
        <v>18</v>
      </c>
      <c r="G262" s="5" t="s">
        <v>89</v>
      </c>
      <c r="H262" s="5"/>
      <c r="I262" s="6">
        <v>0</v>
      </c>
      <c r="J262" s="6">
        <v>0</v>
      </c>
      <c r="K262" s="6">
        <v>0</v>
      </c>
      <c r="L262" s="6">
        <v>0</v>
      </c>
      <c r="M262" s="5"/>
      <c r="N262" s="6">
        <v>19</v>
      </c>
      <c r="O262" s="6">
        <v>30</v>
      </c>
      <c r="P262" s="6">
        <v>54</v>
      </c>
      <c r="Q262" s="6">
        <v>24</v>
      </c>
      <c r="R262" s="6">
        <v>35</v>
      </c>
      <c r="S262" s="5"/>
      <c r="T262" s="7">
        <v>1710</v>
      </c>
      <c r="U262" s="7">
        <v>2839.22</v>
      </c>
      <c r="V262" s="7">
        <v>0</v>
      </c>
      <c r="W262" s="7">
        <v>5359.22</v>
      </c>
      <c r="X262" s="7">
        <v>2520</v>
      </c>
      <c r="Y262" s="7">
        <v>3649.22</v>
      </c>
    </row>
    <row r="263" spans="1:25" ht="63.75" x14ac:dyDescent="0.2">
      <c r="A263" s="5" t="s">
        <v>412</v>
      </c>
      <c r="B263" s="5" t="s">
        <v>410</v>
      </c>
      <c r="C263" s="5" t="s">
        <v>227</v>
      </c>
      <c r="D263" s="5" t="s">
        <v>78</v>
      </c>
      <c r="E263" s="5" t="s">
        <v>88</v>
      </c>
      <c r="F263" s="5" t="s">
        <v>18</v>
      </c>
      <c r="G263" s="5" t="s">
        <v>89</v>
      </c>
      <c r="H263" s="5"/>
      <c r="I263" s="6">
        <v>0</v>
      </c>
      <c r="J263" s="6">
        <v>0</v>
      </c>
      <c r="K263" s="6">
        <v>0</v>
      </c>
      <c r="L263" s="6">
        <v>0</v>
      </c>
      <c r="M263" s="5"/>
      <c r="N263" s="6">
        <v>280</v>
      </c>
      <c r="O263" s="6">
        <v>706</v>
      </c>
      <c r="P263" s="6">
        <v>706</v>
      </c>
      <c r="Q263" s="6">
        <v>0</v>
      </c>
      <c r="R263" s="6">
        <v>426</v>
      </c>
      <c r="S263" s="5"/>
      <c r="T263" s="7">
        <v>25200</v>
      </c>
      <c r="U263" s="7">
        <v>60830.91</v>
      </c>
      <c r="V263" s="7">
        <v>0</v>
      </c>
      <c r="W263" s="7">
        <v>60830.91</v>
      </c>
      <c r="X263" s="7">
        <v>0</v>
      </c>
      <c r="Y263" s="7">
        <v>35630.910000000003</v>
      </c>
    </row>
    <row r="264" spans="1:25" ht="63.75" x14ac:dyDescent="0.2">
      <c r="A264" s="5" t="s">
        <v>413</v>
      </c>
      <c r="B264" s="5" t="s">
        <v>410</v>
      </c>
      <c r="C264" s="5" t="s">
        <v>229</v>
      </c>
      <c r="D264" s="5" t="s">
        <v>78</v>
      </c>
      <c r="E264" s="5" t="s">
        <v>88</v>
      </c>
      <c r="F264" s="5" t="s">
        <v>18</v>
      </c>
      <c r="G264" s="5" t="s">
        <v>89</v>
      </c>
      <c r="H264" s="5"/>
      <c r="I264" s="6">
        <v>0</v>
      </c>
      <c r="J264" s="6">
        <v>0</v>
      </c>
      <c r="K264" s="6">
        <v>0</v>
      </c>
      <c r="L264" s="6">
        <v>0</v>
      </c>
      <c r="M264" s="5"/>
      <c r="N264" s="6">
        <v>246</v>
      </c>
      <c r="O264" s="6">
        <v>471</v>
      </c>
      <c r="P264" s="6">
        <v>471</v>
      </c>
      <c r="Q264" s="6">
        <v>0</v>
      </c>
      <c r="R264" s="6">
        <v>225</v>
      </c>
      <c r="S264" s="5"/>
      <c r="T264" s="7">
        <v>22180</v>
      </c>
      <c r="U264" s="7">
        <v>38031.910000000003</v>
      </c>
      <c r="V264" s="7">
        <v>0</v>
      </c>
      <c r="W264" s="7">
        <v>38031.910000000003</v>
      </c>
      <c r="X264" s="7">
        <v>0</v>
      </c>
      <c r="Y264" s="7">
        <v>15851.91</v>
      </c>
    </row>
    <row r="265" spans="1:25" ht="63.75" x14ac:dyDescent="0.2">
      <c r="A265" s="5" t="s">
        <v>414</v>
      </c>
      <c r="B265" s="5" t="s">
        <v>410</v>
      </c>
      <c r="C265" s="5" t="s">
        <v>231</v>
      </c>
      <c r="D265" s="5" t="s">
        <v>78</v>
      </c>
      <c r="E265" s="5" t="s">
        <v>88</v>
      </c>
      <c r="F265" s="5" t="s">
        <v>18</v>
      </c>
      <c r="G265" s="5" t="s">
        <v>89</v>
      </c>
      <c r="H265" s="5"/>
      <c r="I265" s="6">
        <v>0</v>
      </c>
      <c r="J265" s="6">
        <v>0</v>
      </c>
      <c r="K265" s="6">
        <v>0</v>
      </c>
      <c r="L265" s="6">
        <v>0</v>
      </c>
      <c r="M265" s="5"/>
      <c r="N265" s="6">
        <v>152</v>
      </c>
      <c r="O265" s="6">
        <v>513</v>
      </c>
      <c r="P265" s="6">
        <v>513</v>
      </c>
      <c r="Q265" s="6">
        <v>0</v>
      </c>
      <c r="R265" s="6">
        <v>361</v>
      </c>
      <c r="S265" s="5"/>
      <c r="T265" s="7">
        <v>13680</v>
      </c>
      <c r="U265" s="7">
        <v>47842.58</v>
      </c>
      <c r="V265" s="7">
        <v>0</v>
      </c>
      <c r="W265" s="7">
        <v>47842.58</v>
      </c>
      <c r="X265" s="7">
        <v>0</v>
      </c>
      <c r="Y265" s="7">
        <v>34162.58</v>
      </c>
    </row>
    <row r="266" spans="1:25" ht="63.75" x14ac:dyDescent="0.2">
      <c r="A266" s="5" t="s">
        <v>415</v>
      </c>
      <c r="B266" s="5" t="s">
        <v>410</v>
      </c>
      <c r="C266" s="5" t="s">
        <v>233</v>
      </c>
      <c r="D266" s="5" t="s">
        <v>78</v>
      </c>
      <c r="E266" s="5" t="s">
        <v>88</v>
      </c>
      <c r="F266" s="5" t="s">
        <v>18</v>
      </c>
      <c r="G266" s="5" t="s">
        <v>89</v>
      </c>
      <c r="H266" s="5"/>
      <c r="I266" s="6">
        <v>0</v>
      </c>
      <c r="J266" s="6">
        <v>0</v>
      </c>
      <c r="K266" s="6">
        <v>0</v>
      </c>
      <c r="L266" s="6">
        <v>0</v>
      </c>
      <c r="M266" s="5"/>
      <c r="N266" s="6">
        <v>78</v>
      </c>
      <c r="O266" s="6">
        <v>64</v>
      </c>
      <c r="P266" s="6">
        <v>64</v>
      </c>
      <c r="Q266" s="6">
        <v>0</v>
      </c>
      <c r="R266" s="6">
        <v>-14</v>
      </c>
      <c r="S266" s="5"/>
      <c r="T266" s="7">
        <v>6890</v>
      </c>
      <c r="U266" s="7">
        <v>5176.09</v>
      </c>
      <c r="V266" s="7">
        <v>0</v>
      </c>
      <c r="W266" s="7">
        <v>5176.09</v>
      </c>
      <c r="X266" s="7">
        <v>0</v>
      </c>
      <c r="Y266" s="7">
        <v>-1713.91</v>
      </c>
    </row>
    <row r="267" spans="1:25" ht="63.75" x14ac:dyDescent="0.2">
      <c r="A267" s="5" t="s">
        <v>416</v>
      </c>
      <c r="B267" s="5" t="s">
        <v>410</v>
      </c>
      <c r="C267" s="5" t="s">
        <v>235</v>
      </c>
      <c r="D267" s="5" t="s">
        <v>78</v>
      </c>
      <c r="E267" s="5" t="s">
        <v>88</v>
      </c>
      <c r="F267" s="5" t="s">
        <v>18</v>
      </c>
      <c r="G267" s="5" t="s">
        <v>89</v>
      </c>
      <c r="H267" s="5"/>
      <c r="I267" s="6">
        <v>0</v>
      </c>
      <c r="J267" s="6">
        <v>0</v>
      </c>
      <c r="K267" s="6">
        <v>0</v>
      </c>
      <c r="L267" s="6">
        <v>0</v>
      </c>
      <c r="M267" s="5"/>
      <c r="N267" s="6">
        <v>62</v>
      </c>
      <c r="O267" s="6">
        <v>27</v>
      </c>
      <c r="P267" s="6">
        <v>27</v>
      </c>
      <c r="Q267" s="6">
        <v>0</v>
      </c>
      <c r="R267" s="6">
        <v>-35</v>
      </c>
      <c r="S267" s="5"/>
      <c r="T267" s="7">
        <v>5650.72</v>
      </c>
      <c r="U267" s="7">
        <v>2587.5100000000002</v>
      </c>
      <c r="V267" s="7">
        <v>0</v>
      </c>
      <c r="W267" s="7">
        <v>2587.5100000000002</v>
      </c>
      <c r="X267" s="7">
        <v>0</v>
      </c>
      <c r="Y267" s="7">
        <v>-3063.21</v>
      </c>
    </row>
    <row r="268" spans="1:25" ht="63.75" x14ac:dyDescent="0.2">
      <c r="A268" s="5" t="s">
        <v>417</v>
      </c>
      <c r="B268" s="5" t="s">
        <v>410</v>
      </c>
      <c r="C268" s="5" t="s">
        <v>237</v>
      </c>
      <c r="D268" s="5" t="s">
        <v>78</v>
      </c>
      <c r="E268" s="5" t="s">
        <v>88</v>
      </c>
      <c r="F268" s="5" t="s">
        <v>18</v>
      </c>
      <c r="G268" s="5" t="s">
        <v>89</v>
      </c>
      <c r="H268" s="5"/>
      <c r="I268" s="6">
        <v>0</v>
      </c>
      <c r="J268" s="6">
        <v>0</v>
      </c>
      <c r="K268" s="6">
        <v>0</v>
      </c>
      <c r="L268" s="6">
        <v>0</v>
      </c>
      <c r="M268" s="5"/>
      <c r="N268" s="6">
        <v>1021</v>
      </c>
      <c r="O268" s="6">
        <v>1496</v>
      </c>
      <c r="P268" s="6">
        <v>1504</v>
      </c>
      <c r="Q268" s="6">
        <v>8</v>
      </c>
      <c r="R268" s="6">
        <v>483</v>
      </c>
      <c r="S268" s="5"/>
      <c r="T268" s="7">
        <v>92510.64</v>
      </c>
      <c r="U268" s="7">
        <v>133578.23000000001</v>
      </c>
      <c r="V268" s="7">
        <v>0</v>
      </c>
      <c r="W268" s="7">
        <v>134418.23000000001</v>
      </c>
      <c r="X268" s="7">
        <v>840</v>
      </c>
      <c r="Y268" s="7">
        <v>41907.589999999997</v>
      </c>
    </row>
    <row r="269" spans="1:25" ht="63.75" x14ac:dyDescent="0.2">
      <c r="A269" s="5" t="s">
        <v>418</v>
      </c>
      <c r="B269" s="5" t="s">
        <v>410</v>
      </c>
      <c r="C269" s="5" t="s">
        <v>239</v>
      </c>
      <c r="D269" s="5" t="s">
        <v>78</v>
      </c>
      <c r="E269" s="5" t="s">
        <v>88</v>
      </c>
      <c r="F269" s="5" t="s">
        <v>18</v>
      </c>
      <c r="G269" s="5" t="s">
        <v>89</v>
      </c>
      <c r="H269" s="5"/>
      <c r="I269" s="6">
        <v>0</v>
      </c>
      <c r="J269" s="6">
        <v>0</v>
      </c>
      <c r="K269" s="6">
        <v>0</v>
      </c>
      <c r="L269" s="6">
        <v>0</v>
      </c>
      <c r="M269" s="5"/>
      <c r="N269" s="6">
        <v>251</v>
      </c>
      <c r="O269" s="6">
        <v>422</v>
      </c>
      <c r="P269" s="6">
        <v>422</v>
      </c>
      <c r="Q269" s="6">
        <v>0</v>
      </c>
      <c r="R269" s="6">
        <v>171</v>
      </c>
      <c r="S269" s="5"/>
      <c r="T269" s="7">
        <v>22651.5</v>
      </c>
      <c r="U269" s="7">
        <v>39140.57</v>
      </c>
      <c r="V269" s="7">
        <v>0</v>
      </c>
      <c r="W269" s="7">
        <v>39140.57</v>
      </c>
      <c r="X269" s="7">
        <v>0</v>
      </c>
      <c r="Y269" s="7">
        <v>16489.07</v>
      </c>
    </row>
    <row r="270" spans="1:25" ht="51" x14ac:dyDescent="0.2">
      <c r="A270" s="5" t="s">
        <v>419</v>
      </c>
      <c r="B270" s="5" t="s">
        <v>78</v>
      </c>
      <c r="C270" s="5" t="s">
        <v>16</v>
      </c>
      <c r="D270" s="5" t="s">
        <v>78</v>
      </c>
      <c r="E270" s="5" t="s">
        <v>123</v>
      </c>
      <c r="F270" s="5" t="s">
        <v>18</v>
      </c>
      <c r="G270" s="5" t="s">
        <v>89</v>
      </c>
      <c r="H270" s="5"/>
      <c r="I270" s="6">
        <v>0</v>
      </c>
      <c r="J270" s="6">
        <v>0</v>
      </c>
      <c r="K270" s="6">
        <v>0</v>
      </c>
      <c r="L270" s="6">
        <v>0</v>
      </c>
      <c r="M270" s="5"/>
      <c r="N270" s="6">
        <v>0</v>
      </c>
      <c r="O270" s="6">
        <v>113</v>
      </c>
      <c r="P270" s="6">
        <v>113</v>
      </c>
      <c r="Q270" s="6">
        <v>0</v>
      </c>
      <c r="R270" s="6">
        <v>113</v>
      </c>
      <c r="S270" s="5"/>
      <c r="T270" s="7">
        <v>0</v>
      </c>
      <c r="U270" s="7">
        <v>7958.86</v>
      </c>
      <c r="V270" s="7">
        <v>0</v>
      </c>
      <c r="W270" s="7">
        <v>7958.86</v>
      </c>
      <c r="X270" s="7">
        <v>0</v>
      </c>
      <c r="Y270" s="7">
        <v>7958.86</v>
      </c>
    </row>
    <row r="271" spans="1:25" ht="63.75" x14ac:dyDescent="0.2">
      <c r="A271" s="5" t="s">
        <v>420</v>
      </c>
      <c r="B271" s="5" t="s">
        <v>421</v>
      </c>
      <c r="C271" s="5" t="s">
        <v>225</v>
      </c>
      <c r="D271" s="5" t="s">
        <v>78</v>
      </c>
      <c r="E271" s="5" t="s">
        <v>88</v>
      </c>
      <c r="F271" s="5" t="s">
        <v>18</v>
      </c>
      <c r="G271" s="5" t="s">
        <v>89</v>
      </c>
      <c r="H271" s="5"/>
      <c r="I271" s="6">
        <v>0</v>
      </c>
      <c r="J271" s="6">
        <v>0</v>
      </c>
      <c r="K271" s="6">
        <v>0</v>
      </c>
      <c r="L271" s="6">
        <v>0</v>
      </c>
      <c r="M271" s="5"/>
      <c r="N271" s="6">
        <v>304</v>
      </c>
      <c r="O271" s="6">
        <v>359</v>
      </c>
      <c r="P271" s="6">
        <v>359</v>
      </c>
      <c r="Q271" s="6">
        <v>0</v>
      </c>
      <c r="R271" s="6">
        <v>55</v>
      </c>
      <c r="S271" s="5"/>
      <c r="T271" s="7">
        <v>27253.75</v>
      </c>
      <c r="U271" s="7">
        <v>27982.98</v>
      </c>
      <c r="V271" s="7">
        <v>0</v>
      </c>
      <c r="W271" s="7">
        <v>27982.98</v>
      </c>
      <c r="X271" s="7">
        <v>0</v>
      </c>
      <c r="Y271" s="7">
        <v>729.23</v>
      </c>
    </row>
    <row r="272" spans="1:25" ht="63.75" x14ac:dyDescent="0.2">
      <c r="A272" s="5" t="s">
        <v>422</v>
      </c>
      <c r="B272" s="5" t="s">
        <v>421</v>
      </c>
      <c r="C272" s="5" t="s">
        <v>237</v>
      </c>
      <c r="D272" s="5" t="s">
        <v>78</v>
      </c>
      <c r="E272" s="5" t="s">
        <v>123</v>
      </c>
      <c r="F272" s="5" t="s">
        <v>18</v>
      </c>
      <c r="G272" s="5" t="s">
        <v>89</v>
      </c>
      <c r="H272" s="5"/>
      <c r="I272" s="6">
        <v>0</v>
      </c>
      <c r="J272" s="6">
        <v>0</v>
      </c>
      <c r="K272" s="6">
        <v>0</v>
      </c>
      <c r="L272" s="6">
        <v>0</v>
      </c>
      <c r="M272" s="5"/>
      <c r="N272" s="6">
        <v>0</v>
      </c>
      <c r="O272" s="6">
        <v>131</v>
      </c>
      <c r="P272" s="6">
        <v>131</v>
      </c>
      <c r="Q272" s="6">
        <v>0</v>
      </c>
      <c r="R272" s="6">
        <v>131</v>
      </c>
      <c r="S272" s="5"/>
      <c r="T272" s="7">
        <v>0</v>
      </c>
      <c r="U272" s="7">
        <v>10569.08</v>
      </c>
      <c r="V272" s="7">
        <v>0</v>
      </c>
      <c r="W272" s="7">
        <v>10569.08</v>
      </c>
      <c r="X272" s="7">
        <v>0</v>
      </c>
      <c r="Y272" s="7">
        <v>10569.08</v>
      </c>
    </row>
    <row r="273" spans="1:25" ht="63.75" x14ac:dyDescent="0.2">
      <c r="A273" s="5" t="s">
        <v>423</v>
      </c>
      <c r="B273" s="5" t="s">
        <v>421</v>
      </c>
      <c r="C273" s="5" t="s">
        <v>239</v>
      </c>
      <c r="D273" s="5" t="s">
        <v>78</v>
      </c>
      <c r="E273" s="5" t="s">
        <v>123</v>
      </c>
      <c r="F273" s="5" t="s">
        <v>18</v>
      </c>
      <c r="G273" s="5" t="s">
        <v>89</v>
      </c>
      <c r="H273" s="5"/>
      <c r="I273" s="6">
        <v>0</v>
      </c>
      <c r="J273" s="6">
        <v>0</v>
      </c>
      <c r="K273" s="6">
        <v>0</v>
      </c>
      <c r="L273" s="6">
        <v>0</v>
      </c>
      <c r="M273" s="5"/>
      <c r="N273" s="6">
        <v>140</v>
      </c>
      <c r="O273" s="6">
        <v>260</v>
      </c>
      <c r="P273" s="6">
        <v>260</v>
      </c>
      <c r="Q273" s="6">
        <v>0</v>
      </c>
      <c r="R273" s="6">
        <v>120</v>
      </c>
      <c r="S273" s="5"/>
      <c r="T273" s="7">
        <v>12600</v>
      </c>
      <c r="U273" s="7">
        <v>20310.400000000001</v>
      </c>
      <c r="V273" s="7">
        <v>0</v>
      </c>
      <c r="W273" s="7">
        <v>20310.400000000001</v>
      </c>
      <c r="X273" s="7">
        <v>0</v>
      </c>
      <c r="Y273" s="7">
        <v>7710.4</v>
      </c>
    </row>
    <row r="274" spans="1:25" ht="51" x14ac:dyDescent="0.2">
      <c r="A274" s="5" t="s">
        <v>424</v>
      </c>
      <c r="B274" s="5" t="s">
        <v>425</v>
      </c>
      <c r="C274" s="5" t="s">
        <v>385</v>
      </c>
      <c r="D274" s="5" t="s">
        <v>386</v>
      </c>
      <c r="E274" s="5" t="s">
        <v>123</v>
      </c>
      <c r="F274" s="5" t="s">
        <v>18</v>
      </c>
      <c r="G274" s="5" t="s">
        <v>89</v>
      </c>
      <c r="H274" s="5"/>
      <c r="I274" s="6">
        <v>0</v>
      </c>
      <c r="J274" s="6">
        <v>0</v>
      </c>
      <c r="K274" s="6">
        <v>0</v>
      </c>
      <c r="L274" s="6">
        <v>0</v>
      </c>
      <c r="M274" s="5"/>
      <c r="N274" s="6">
        <v>0</v>
      </c>
      <c r="O274" s="6">
        <v>228</v>
      </c>
      <c r="P274" s="6">
        <v>228</v>
      </c>
      <c r="Q274" s="6">
        <v>0</v>
      </c>
      <c r="R274" s="6">
        <v>228</v>
      </c>
      <c r="S274" s="5"/>
      <c r="T274" s="7">
        <v>0</v>
      </c>
      <c r="U274" s="7">
        <v>19492.02</v>
      </c>
      <c r="V274" s="7">
        <v>0</v>
      </c>
      <c r="W274" s="7">
        <v>19492.02</v>
      </c>
      <c r="X274" s="7">
        <v>0</v>
      </c>
      <c r="Y274" s="7">
        <v>19492.02</v>
      </c>
    </row>
    <row r="275" spans="1:25" ht="51" x14ac:dyDescent="0.2">
      <c r="A275" s="5" t="s">
        <v>426</v>
      </c>
      <c r="B275" s="5" t="s">
        <v>427</v>
      </c>
      <c r="C275" s="5" t="s">
        <v>225</v>
      </c>
      <c r="D275" s="5" t="s">
        <v>386</v>
      </c>
      <c r="E275" s="5" t="s">
        <v>88</v>
      </c>
      <c r="F275" s="5" t="s">
        <v>18</v>
      </c>
      <c r="G275" s="5" t="s">
        <v>89</v>
      </c>
      <c r="H275" s="5"/>
      <c r="I275" s="6">
        <v>0</v>
      </c>
      <c r="J275" s="6">
        <v>0</v>
      </c>
      <c r="K275" s="6">
        <v>0</v>
      </c>
      <c r="L275" s="6">
        <v>0</v>
      </c>
      <c r="M275" s="5"/>
      <c r="N275" s="6">
        <v>74</v>
      </c>
      <c r="O275" s="6">
        <v>189</v>
      </c>
      <c r="P275" s="6">
        <v>189</v>
      </c>
      <c r="Q275" s="6">
        <v>0</v>
      </c>
      <c r="R275" s="6">
        <v>115</v>
      </c>
      <c r="S275" s="5"/>
      <c r="T275" s="7">
        <v>6660</v>
      </c>
      <c r="U275" s="7">
        <v>14295.82</v>
      </c>
      <c r="V275" s="7">
        <v>0</v>
      </c>
      <c r="W275" s="7">
        <v>14295.82</v>
      </c>
      <c r="X275" s="7">
        <v>0</v>
      </c>
      <c r="Y275" s="7">
        <v>7635.82</v>
      </c>
    </row>
    <row r="276" spans="1:25" ht="51" x14ac:dyDescent="0.2">
      <c r="A276" s="5" t="s">
        <v>428</v>
      </c>
      <c r="B276" s="5" t="s">
        <v>427</v>
      </c>
      <c r="C276" s="5" t="s">
        <v>122</v>
      </c>
      <c r="D276" s="5" t="s">
        <v>386</v>
      </c>
      <c r="E276" s="5" t="s">
        <v>88</v>
      </c>
      <c r="F276" s="5" t="s">
        <v>18</v>
      </c>
      <c r="G276" s="5" t="s">
        <v>89</v>
      </c>
      <c r="H276" s="5"/>
      <c r="I276" s="6">
        <v>0</v>
      </c>
      <c r="J276" s="6">
        <v>0</v>
      </c>
      <c r="K276" s="6">
        <v>0</v>
      </c>
      <c r="L276" s="6">
        <v>0</v>
      </c>
      <c r="M276" s="5"/>
      <c r="N276" s="6">
        <v>3</v>
      </c>
      <c r="O276" s="6">
        <v>0</v>
      </c>
      <c r="P276" s="6">
        <v>0</v>
      </c>
      <c r="Q276" s="6">
        <v>0</v>
      </c>
      <c r="R276" s="6">
        <v>-3</v>
      </c>
      <c r="S276" s="5"/>
      <c r="T276" s="7">
        <v>270</v>
      </c>
      <c r="U276" s="7">
        <v>0</v>
      </c>
      <c r="V276" s="7">
        <v>0</v>
      </c>
      <c r="W276" s="7">
        <v>0</v>
      </c>
      <c r="X276" s="7">
        <v>0</v>
      </c>
      <c r="Y276" s="7">
        <v>-270</v>
      </c>
    </row>
    <row r="277" spans="1:25" ht="51" x14ac:dyDescent="0.2">
      <c r="A277" s="5" t="s">
        <v>429</v>
      </c>
      <c r="B277" s="5" t="s">
        <v>427</v>
      </c>
      <c r="C277" s="5" t="s">
        <v>227</v>
      </c>
      <c r="D277" s="5" t="s">
        <v>386</v>
      </c>
      <c r="E277" s="5" t="s">
        <v>88</v>
      </c>
      <c r="F277" s="5" t="s">
        <v>18</v>
      </c>
      <c r="G277" s="5" t="s">
        <v>89</v>
      </c>
      <c r="H277" s="5"/>
      <c r="I277" s="6">
        <v>0</v>
      </c>
      <c r="J277" s="6">
        <v>0</v>
      </c>
      <c r="K277" s="6">
        <v>0</v>
      </c>
      <c r="L277" s="6">
        <v>0</v>
      </c>
      <c r="M277" s="5"/>
      <c r="N277" s="6">
        <v>156</v>
      </c>
      <c r="O277" s="6">
        <v>403</v>
      </c>
      <c r="P277" s="6">
        <v>291</v>
      </c>
      <c r="Q277" s="6">
        <v>-112</v>
      </c>
      <c r="R277" s="6">
        <v>135</v>
      </c>
      <c r="S277" s="5"/>
      <c r="T277" s="7">
        <v>14148.8</v>
      </c>
      <c r="U277" s="7">
        <v>39326.31</v>
      </c>
      <c r="V277" s="7">
        <v>0</v>
      </c>
      <c r="W277" s="7">
        <v>27564.400000000001</v>
      </c>
      <c r="X277" s="7">
        <v>-11761.91</v>
      </c>
      <c r="Y277" s="7">
        <v>13415.6</v>
      </c>
    </row>
    <row r="278" spans="1:25" ht="51" x14ac:dyDescent="0.2">
      <c r="A278" s="5" t="s">
        <v>430</v>
      </c>
      <c r="B278" s="5" t="s">
        <v>427</v>
      </c>
      <c r="C278" s="5" t="s">
        <v>229</v>
      </c>
      <c r="D278" s="5" t="s">
        <v>386</v>
      </c>
      <c r="E278" s="5" t="s">
        <v>88</v>
      </c>
      <c r="F278" s="5" t="s">
        <v>18</v>
      </c>
      <c r="G278" s="5" t="s">
        <v>89</v>
      </c>
      <c r="H278" s="5"/>
      <c r="I278" s="6">
        <v>0</v>
      </c>
      <c r="J278" s="6">
        <v>0</v>
      </c>
      <c r="K278" s="6">
        <v>0</v>
      </c>
      <c r="L278" s="6">
        <v>0</v>
      </c>
      <c r="M278" s="5"/>
      <c r="N278" s="6">
        <v>126</v>
      </c>
      <c r="O278" s="6">
        <v>173</v>
      </c>
      <c r="P278" s="6">
        <v>173</v>
      </c>
      <c r="Q278" s="6">
        <v>0</v>
      </c>
      <c r="R278" s="6">
        <v>47</v>
      </c>
      <c r="S278" s="5"/>
      <c r="T278" s="7">
        <v>11340</v>
      </c>
      <c r="U278" s="7">
        <v>13186.77</v>
      </c>
      <c r="V278" s="7">
        <v>0</v>
      </c>
      <c r="W278" s="7">
        <v>13186.77</v>
      </c>
      <c r="X278" s="7">
        <v>0</v>
      </c>
      <c r="Y278" s="7">
        <v>1846.77</v>
      </c>
    </row>
    <row r="279" spans="1:25" ht="51" x14ac:dyDescent="0.2">
      <c r="A279" s="5" t="s">
        <v>431</v>
      </c>
      <c r="B279" s="5" t="s">
        <v>427</v>
      </c>
      <c r="C279" s="5" t="s">
        <v>231</v>
      </c>
      <c r="D279" s="5" t="s">
        <v>386</v>
      </c>
      <c r="E279" s="5" t="s">
        <v>88</v>
      </c>
      <c r="F279" s="5" t="s">
        <v>18</v>
      </c>
      <c r="G279" s="5" t="s">
        <v>89</v>
      </c>
      <c r="H279" s="5"/>
      <c r="I279" s="6">
        <v>0</v>
      </c>
      <c r="J279" s="6">
        <v>0</v>
      </c>
      <c r="K279" s="6">
        <v>0</v>
      </c>
      <c r="L279" s="6">
        <v>0</v>
      </c>
      <c r="M279" s="5"/>
      <c r="N279" s="6">
        <v>105</v>
      </c>
      <c r="O279" s="6">
        <v>260</v>
      </c>
      <c r="P279" s="6">
        <v>260</v>
      </c>
      <c r="Q279" s="6">
        <v>0</v>
      </c>
      <c r="R279" s="6">
        <v>155</v>
      </c>
      <c r="S279" s="5"/>
      <c r="T279" s="7">
        <v>9450</v>
      </c>
      <c r="U279" s="7">
        <v>22745.58</v>
      </c>
      <c r="V279" s="7">
        <v>0</v>
      </c>
      <c r="W279" s="7">
        <v>22745.58</v>
      </c>
      <c r="X279" s="7">
        <v>0</v>
      </c>
      <c r="Y279" s="7">
        <v>13295.58</v>
      </c>
    </row>
    <row r="280" spans="1:25" ht="51" x14ac:dyDescent="0.2">
      <c r="A280" s="5" t="s">
        <v>432</v>
      </c>
      <c r="B280" s="5" t="s">
        <v>427</v>
      </c>
      <c r="C280" s="5" t="s">
        <v>233</v>
      </c>
      <c r="D280" s="5" t="s">
        <v>386</v>
      </c>
      <c r="E280" s="5" t="s">
        <v>88</v>
      </c>
      <c r="F280" s="5" t="s">
        <v>18</v>
      </c>
      <c r="G280" s="5" t="s">
        <v>89</v>
      </c>
      <c r="H280" s="5"/>
      <c r="I280" s="6">
        <v>0</v>
      </c>
      <c r="J280" s="6">
        <v>0</v>
      </c>
      <c r="K280" s="6">
        <v>0</v>
      </c>
      <c r="L280" s="6">
        <v>0</v>
      </c>
      <c r="M280" s="5"/>
      <c r="N280" s="6">
        <v>126</v>
      </c>
      <c r="O280" s="6">
        <v>88</v>
      </c>
      <c r="P280" s="6">
        <v>88</v>
      </c>
      <c r="Q280" s="6">
        <v>0</v>
      </c>
      <c r="R280" s="6">
        <v>-38</v>
      </c>
      <c r="S280" s="5"/>
      <c r="T280" s="7">
        <v>11041</v>
      </c>
      <c r="U280" s="7">
        <v>7420.51</v>
      </c>
      <c r="V280" s="7">
        <v>0</v>
      </c>
      <c r="W280" s="7">
        <v>7420.51</v>
      </c>
      <c r="X280" s="7">
        <v>0</v>
      </c>
      <c r="Y280" s="7">
        <v>-3620.49</v>
      </c>
    </row>
    <row r="281" spans="1:25" ht="51" x14ac:dyDescent="0.2">
      <c r="A281" s="5" t="s">
        <v>433</v>
      </c>
      <c r="B281" s="5" t="s">
        <v>427</v>
      </c>
      <c r="C281" s="5" t="s">
        <v>235</v>
      </c>
      <c r="D281" s="5" t="s">
        <v>386</v>
      </c>
      <c r="E281" s="5" t="s">
        <v>88</v>
      </c>
      <c r="F281" s="5" t="s">
        <v>18</v>
      </c>
      <c r="G281" s="5" t="s">
        <v>89</v>
      </c>
      <c r="H281" s="5"/>
      <c r="I281" s="6">
        <v>0</v>
      </c>
      <c r="J281" s="6">
        <v>0</v>
      </c>
      <c r="K281" s="6">
        <v>0</v>
      </c>
      <c r="L281" s="6">
        <v>0</v>
      </c>
      <c r="M281" s="5"/>
      <c r="N281" s="6">
        <v>71</v>
      </c>
      <c r="O281" s="6">
        <v>109</v>
      </c>
      <c r="P281" s="6">
        <v>109</v>
      </c>
      <c r="Q281" s="6">
        <v>0</v>
      </c>
      <c r="R281" s="6">
        <v>38</v>
      </c>
      <c r="S281" s="5"/>
      <c r="T281" s="7">
        <v>6498.8</v>
      </c>
      <c r="U281" s="7">
        <v>8405.2199999999993</v>
      </c>
      <c r="V281" s="7">
        <v>0</v>
      </c>
      <c r="W281" s="7">
        <v>8405.2199999999993</v>
      </c>
      <c r="X281" s="7">
        <v>0</v>
      </c>
      <c r="Y281" s="7">
        <v>1906.42</v>
      </c>
    </row>
    <row r="282" spans="1:25" ht="51" x14ac:dyDescent="0.2">
      <c r="A282" s="5" t="s">
        <v>434</v>
      </c>
      <c r="B282" s="5" t="s">
        <v>427</v>
      </c>
      <c r="C282" s="5" t="s">
        <v>237</v>
      </c>
      <c r="D282" s="5" t="s">
        <v>386</v>
      </c>
      <c r="E282" s="5" t="s">
        <v>88</v>
      </c>
      <c r="F282" s="5" t="s">
        <v>18</v>
      </c>
      <c r="G282" s="5" t="s">
        <v>89</v>
      </c>
      <c r="H282" s="5"/>
      <c r="I282" s="6">
        <v>0</v>
      </c>
      <c r="J282" s="6">
        <v>0</v>
      </c>
      <c r="K282" s="6">
        <v>0</v>
      </c>
      <c r="L282" s="6">
        <v>0</v>
      </c>
      <c r="M282" s="5"/>
      <c r="N282" s="6">
        <v>626</v>
      </c>
      <c r="O282" s="6">
        <v>1169</v>
      </c>
      <c r="P282" s="6">
        <v>1199</v>
      </c>
      <c r="Q282" s="6">
        <v>30</v>
      </c>
      <c r="R282" s="6">
        <v>573</v>
      </c>
      <c r="S282" s="5"/>
      <c r="T282" s="7">
        <v>56340</v>
      </c>
      <c r="U282" s="7">
        <v>103113.47</v>
      </c>
      <c r="V282" s="7">
        <v>0</v>
      </c>
      <c r="W282" s="7">
        <v>106385.82</v>
      </c>
      <c r="X282" s="7">
        <v>3272.35</v>
      </c>
      <c r="Y282" s="7">
        <v>50045.82</v>
      </c>
    </row>
    <row r="283" spans="1:25" ht="51" x14ac:dyDescent="0.2">
      <c r="A283" s="5" t="s">
        <v>435</v>
      </c>
      <c r="B283" s="5" t="s">
        <v>427</v>
      </c>
      <c r="C283" s="5" t="s">
        <v>239</v>
      </c>
      <c r="D283" s="5" t="s">
        <v>386</v>
      </c>
      <c r="E283" s="5" t="s">
        <v>88</v>
      </c>
      <c r="F283" s="5" t="s">
        <v>18</v>
      </c>
      <c r="G283" s="5" t="s">
        <v>89</v>
      </c>
      <c r="H283" s="5"/>
      <c r="I283" s="6">
        <v>0</v>
      </c>
      <c r="J283" s="6">
        <v>0</v>
      </c>
      <c r="K283" s="6">
        <v>0</v>
      </c>
      <c r="L283" s="6">
        <v>0</v>
      </c>
      <c r="M283" s="5"/>
      <c r="N283" s="6">
        <v>411</v>
      </c>
      <c r="O283" s="6">
        <v>570</v>
      </c>
      <c r="P283" s="6">
        <v>570</v>
      </c>
      <c r="Q283" s="6">
        <v>0</v>
      </c>
      <c r="R283" s="6">
        <v>159</v>
      </c>
      <c r="S283" s="5"/>
      <c r="T283" s="7">
        <v>36045</v>
      </c>
      <c r="U283" s="7">
        <v>45667.18</v>
      </c>
      <c r="V283" s="7">
        <v>0</v>
      </c>
      <c r="W283" s="7">
        <v>45667.18</v>
      </c>
      <c r="X283" s="7">
        <v>0</v>
      </c>
      <c r="Y283" s="7">
        <v>9622.18</v>
      </c>
    </row>
    <row r="284" spans="1:25" ht="51" x14ac:dyDescent="0.2">
      <c r="A284" s="5" t="s">
        <v>436</v>
      </c>
      <c r="B284" s="5" t="s">
        <v>437</v>
      </c>
      <c r="C284" s="5" t="s">
        <v>16</v>
      </c>
      <c r="D284" s="5" t="s">
        <v>92</v>
      </c>
      <c r="E284" s="5" t="s">
        <v>123</v>
      </c>
      <c r="F284" s="5" t="s">
        <v>18</v>
      </c>
      <c r="G284" s="5" t="s">
        <v>89</v>
      </c>
      <c r="H284" s="5"/>
      <c r="I284" s="6">
        <v>0</v>
      </c>
      <c r="J284" s="6">
        <v>0</v>
      </c>
      <c r="K284" s="6">
        <v>0</v>
      </c>
      <c r="L284" s="6">
        <v>0</v>
      </c>
      <c r="M284" s="5"/>
      <c r="N284" s="6">
        <v>0</v>
      </c>
      <c r="O284" s="6">
        <v>16</v>
      </c>
      <c r="P284" s="6">
        <v>16</v>
      </c>
      <c r="Q284" s="6">
        <v>0</v>
      </c>
      <c r="R284" s="6">
        <v>16</v>
      </c>
      <c r="S284" s="5"/>
      <c r="T284" s="7">
        <v>0</v>
      </c>
      <c r="U284" s="7">
        <v>974.12</v>
      </c>
      <c r="V284" s="7">
        <v>0</v>
      </c>
      <c r="W284" s="7">
        <v>974.12</v>
      </c>
      <c r="X284" s="7">
        <v>0</v>
      </c>
      <c r="Y284" s="7">
        <v>974.12</v>
      </c>
    </row>
    <row r="285" spans="1:25" ht="51" x14ac:dyDescent="0.2">
      <c r="A285" s="5" t="s">
        <v>438</v>
      </c>
      <c r="B285" s="5" t="s">
        <v>439</v>
      </c>
      <c r="C285" s="5" t="s">
        <v>225</v>
      </c>
      <c r="D285" s="5" t="s">
        <v>92</v>
      </c>
      <c r="E285" s="5" t="s">
        <v>88</v>
      </c>
      <c r="F285" s="5" t="s">
        <v>18</v>
      </c>
      <c r="G285" s="5" t="s">
        <v>89</v>
      </c>
      <c r="H285" s="5"/>
      <c r="I285" s="6">
        <v>0</v>
      </c>
      <c r="J285" s="6">
        <v>0</v>
      </c>
      <c r="K285" s="6">
        <v>0</v>
      </c>
      <c r="L285" s="6">
        <v>0</v>
      </c>
      <c r="M285" s="5"/>
      <c r="N285" s="6">
        <v>1169</v>
      </c>
      <c r="O285" s="6">
        <v>2052</v>
      </c>
      <c r="P285" s="6">
        <v>2052</v>
      </c>
      <c r="Q285" s="6">
        <v>0</v>
      </c>
      <c r="R285" s="6">
        <v>883</v>
      </c>
      <c r="S285" s="5"/>
      <c r="T285" s="7">
        <v>105142.59</v>
      </c>
      <c r="U285" s="7">
        <v>153812.95000000001</v>
      </c>
      <c r="V285" s="7">
        <v>0</v>
      </c>
      <c r="W285" s="7">
        <v>153812.95000000001</v>
      </c>
      <c r="X285" s="7">
        <v>0</v>
      </c>
      <c r="Y285" s="7">
        <v>48670.36</v>
      </c>
    </row>
    <row r="286" spans="1:25" ht="51" x14ac:dyDescent="0.2">
      <c r="A286" s="5" t="s">
        <v>440</v>
      </c>
      <c r="B286" s="5" t="s">
        <v>439</v>
      </c>
      <c r="C286" s="5" t="s">
        <v>122</v>
      </c>
      <c r="D286" s="5" t="s">
        <v>92</v>
      </c>
      <c r="E286" s="5" t="s">
        <v>88</v>
      </c>
      <c r="F286" s="5" t="s">
        <v>18</v>
      </c>
      <c r="G286" s="5" t="s">
        <v>89</v>
      </c>
      <c r="H286" s="5"/>
      <c r="I286" s="6">
        <v>0</v>
      </c>
      <c r="J286" s="6">
        <v>0</v>
      </c>
      <c r="K286" s="6">
        <v>0</v>
      </c>
      <c r="L286" s="6">
        <v>0</v>
      </c>
      <c r="M286" s="5"/>
      <c r="N286" s="6">
        <v>31</v>
      </c>
      <c r="O286" s="6">
        <v>98</v>
      </c>
      <c r="P286" s="6">
        <v>98</v>
      </c>
      <c r="Q286" s="6">
        <v>0</v>
      </c>
      <c r="R286" s="6">
        <v>67</v>
      </c>
      <c r="S286" s="5"/>
      <c r="T286" s="7">
        <v>2790</v>
      </c>
      <c r="U286" s="7">
        <v>10215.56</v>
      </c>
      <c r="V286" s="7">
        <v>0</v>
      </c>
      <c r="W286" s="7">
        <v>10215.56</v>
      </c>
      <c r="X286" s="7">
        <v>0</v>
      </c>
      <c r="Y286" s="7">
        <v>7425.56</v>
      </c>
    </row>
    <row r="287" spans="1:25" ht="51" x14ac:dyDescent="0.2">
      <c r="A287" s="5" t="s">
        <v>441</v>
      </c>
      <c r="B287" s="5" t="s">
        <v>439</v>
      </c>
      <c r="C287" s="5" t="s">
        <v>227</v>
      </c>
      <c r="D287" s="5" t="s">
        <v>92</v>
      </c>
      <c r="E287" s="5" t="s">
        <v>88</v>
      </c>
      <c r="F287" s="5" t="s">
        <v>18</v>
      </c>
      <c r="G287" s="5" t="s">
        <v>89</v>
      </c>
      <c r="H287" s="5"/>
      <c r="I287" s="6">
        <v>0</v>
      </c>
      <c r="J287" s="6">
        <v>0</v>
      </c>
      <c r="K287" s="6">
        <v>0</v>
      </c>
      <c r="L287" s="6">
        <v>0</v>
      </c>
      <c r="M287" s="5"/>
      <c r="N287" s="6">
        <v>1659</v>
      </c>
      <c r="O287" s="6">
        <v>2507</v>
      </c>
      <c r="P287" s="6">
        <v>2507</v>
      </c>
      <c r="Q287" s="6">
        <v>0</v>
      </c>
      <c r="R287" s="6">
        <v>848</v>
      </c>
      <c r="S287" s="5"/>
      <c r="T287" s="7">
        <v>150076.28</v>
      </c>
      <c r="U287" s="7">
        <v>214219.29</v>
      </c>
      <c r="V287" s="7">
        <v>0</v>
      </c>
      <c r="W287" s="7">
        <v>214219.29</v>
      </c>
      <c r="X287" s="7">
        <v>0</v>
      </c>
      <c r="Y287" s="7">
        <v>64143.01</v>
      </c>
    </row>
    <row r="288" spans="1:25" ht="51" x14ac:dyDescent="0.2">
      <c r="A288" s="5" t="s">
        <v>442</v>
      </c>
      <c r="B288" s="5" t="s">
        <v>439</v>
      </c>
      <c r="C288" s="5" t="s">
        <v>229</v>
      </c>
      <c r="D288" s="5" t="s">
        <v>92</v>
      </c>
      <c r="E288" s="5" t="s">
        <v>88</v>
      </c>
      <c r="F288" s="5" t="s">
        <v>18</v>
      </c>
      <c r="G288" s="5" t="s">
        <v>89</v>
      </c>
      <c r="H288" s="5"/>
      <c r="I288" s="6">
        <v>0</v>
      </c>
      <c r="J288" s="6">
        <v>0</v>
      </c>
      <c r="K288" s="6">
        <v>0</v>
      </c>
      <c r="L288" s="6">
        <v>0</v>
      </c>
      <c r="M288" s="5"/>
      <c r="N288" s="6">
        <v>1118</v>
      </c>
      <c r="O288" s="6">
        <v>2167</v>
      </c>
      <c r="P288" s="6">
        <v>2175</v>
      </c>
      <c r="Q288" s="6">
        <v>8</v>
      </c>
      <c r="R288" s="6">
        <v>1057</v>
      </c>
      <c r="S288" s="5"/>
      <c r="T288" s="7">
        <v>101272.56</v>
      </c>
      <c r="U288" s="7">
        <v>183802.4</v>
      </c>
      <c r="V288" s="7">
        <v>0</v>
      </c>
      <c r="W288" s="7">
        <v>184642.4</v>
      </c>
      <c r="X288" s="7">
        <v>840</v>
      </c>
      <c r="Y288" s="7">
        <v>83369.84</v>
      </c>
    </row>
    <row r="289" spans="1:25" ht="51" x14ac:dyDescent="0.2">
      <c r="A289" s="5" t="s">
        <v>443</v>
      </c>
      <c r="B289" s="5" t="s">
        <v>439</v>
      </c>
      <c r="C289" s="5" t="s">
        <v>231</v>
      </c>
      <c r="D289" s="5" t="s">
        <v>92</v>
      </c>
      <c r="E289" s="5" t="s">
        <v>88</v>
      </c>
      <c r="F289" s="5" t="s">
        <v>18</v>
      </c>
      <c r="G289" s="5" t="s">
        <v>89</v>
      </c>
      <c r="H289" s="5"/>
      <c r="I289" s="6">
        <v>0</v>
      </c>
      <c r="J289" s="6">
        <v>0</v>
      </c>
      <c r="K289" s="6">
        <v>0</v>
      </c>
      <c r="L289" s="6">
        <v>0</v>
      </c>
      <c r="M289" s="5"/>
      <c r="N289" s="6">
        <v>871</v>
      </c>
      <c r="O289" s="6">
        <v>1284</v>
      </c>
      <c r="P289" s="6">
        <v>1284</v>
      </c>
      <c r="Q289" s="6">
        <v>0</v>
      </c>
      <c r="R289" s="6">
        <v>413</v>
      </c>
      <c r="S289" s="5"/>
      <c r="T289" s="7">
        <v>79049.759999999995</v>
      </c>
      <c r="U289" s="7">
        <v>119336.08</v>
      </c>
      <c r="V289" s="7">
        <v>0</v>
      </c>
      <c r="W289" s="7">
        <v>119336.08</v>
      </c>
      <c r="X289" s="7">
        <v>0</v>
      </c>
      <c r="Y289" s="7">
        <v>40286.32</v>
      </c>
    </row>
    <row r="290" spans="1:25" ht="51" x14ac:dyDescent="0.2">
      <c r="A290" s="5" t="s">
        <v>444</v>
      </c>
      <c r="B290" s="5" t="s">
        <v>439</v>
      </c>
      <c r="C290" s="5" t="s">
        <v>233</v>
      </c>
      <c r="D290" s="5" t="s">
        <v>92</v>
      </c>
      <c r="E290" s="5" t="s">
        <v>88</v>
      </c>
      <c r="F290" s="5" t="s">
        <v>18</v>
      </c>
      <c r="G290" s="5" t="s">
        <v>89</v>
      </c>
      <c r="H290" s="5"/>
      <c r="I290" s="6">
        <v>0</v>
      </c>
      <c r="J290" s="6">
        <v>0</v>
      </c>
      <c r="K290" s="6">
        <v>0</v>
      </c>
      <c r="L290" s="6">
        <v>0</v>
      </c>
      <c r="M290" s="5"/>
      <c r="N290" s="6">
        <v>25</v>
      </c>
      <c r="O290" s="6">
        <v>76</v>
      </c>
      <c r="P290" s="6">
        <v>76</v>
      </c>
      <c r="Q290" s="6">
        <v>0</v>
      </c>
      <c r="R290" s="6">
        <v>51</v>
      </c>
      <c r="S290" s="5"/>
      <c r="T290" s="7">
        <v>2250</v>
      </c>
      <c r="U290" s="7">
        <v>7184.37</v>
      </c>
      <c r="V290" s="7">
        <v>0</v>
      </c>
      <c r="W290" s="7">
        <v>7184.37</v>
      </c>
      <c r="X290" s="7">
        <v>0</v>
      </c>
      <c r="Y290" s="7">
        <v>4934.37</v>
      </c>
    </row>
    <row r="291" spans="1:25" ht="51" x14ac:dyDescent="0.2">
      <c r="A291" s="5" t="s">
        <v>445</v>
      </c>
      <c r="B291" s="5" t="s">
        <v>439</v>
      </c>
      <c r="C291" s="5" t="s">
        <v>235</v>
      </c>
      <c r="D291" s="5" t="s">
        <v>92</v>
      </c>
      <c r="E291" s="5" t="s">
        <v>88</v>
      </c>
      <c r="F291" s="5" t="s">
        <v>18</v>
      </c>
      <c r="G291" s="5" t="s">
        <v>89</v>
      </c>
      <c r="H291" s="5"/>
      <c r="I291" s="6">
        <v>0</v>
      </c>
      <c r="J291" s="6">
        <v>0</v>
      </c>
      <c r="K291" s="6">
        <v>0</v>
      </c>
      <c r="L291" s="6">
        <v>0</v>
      </c>
      <c r="M291" s="5"/>
      <c r="N291" s="6">
        <v>15</v>
      </c>
      <c r="O291" s="6">
        <v>18</v>
      </c>
      <c r="P291" s="6">
        <v>18</v>
      </c>
      <c r="Q291" s="6">
        <v>0</v>
      </c>
      <c r="R291" s="6">
        <v>3</v>
      </c>
      <c r="S291" s="5"/>
      <c r="T291" s="7">
        <v>1350</v>
      </c>
      <c r="U291" s="7">
        <v>1484.65</v>
      </c>
      <c r="V291" s="7">
        <v>0</v>
      </c>
      <c r="W291" s="7">
        <v>1484.65</v>
      </c>
      <c r="X291" s="7">
        <v>0</v>
      </c>
      <c r="Y291" s="7">
        <v>134.65</v>
      </c>
    </row>
    <row r="292" spans="1:25" ht="51" x14ac:dyDescent="0.2">
      <c r="A292" s="5" t="s">
        <v>446</v>
      </c>
      <c r="B292" s="5" t="s">
        <v>439</v>
      </c>
      <c r="C292" s="5" t="s">
        <v>237</v>
      </c>
      <c r="D292" s="5" t="s">
        <v>92</v>
      </c>
      <c r="E292" s="5" t="s">
        <v>88</v>
      </c>
      <c r="F292" s="5" t="s">
        <v>18</v>
      </c>
      <c r="G292" s="5" t="s">
        <v>89</v>
      </c>
      <c r="H292" s="5"/>
      <c r="I292" s="6">
        <v>0</v>
      </c>
      <c r="J292" s="6">
        <v>0</v>
      </c>
      <c r="K292" s="6">
        <v>0</v>
      </c>
      <c r="L292" s="6">
        <v>0</v>
      </c>
      <c r="M292" s="5"/>
      <c r="N292" s="6">
        <v>2746</v>
      </c>
      <c r="O292" s="6">
        <v>4926.5</v>
      </c>
      <c r="P292" s="6">
        <v>5046.5</v>
      </c>
      <c r="Q292" s="6">
        <v>120</v>
      </c>
      <c r="R292" s="6">
        <v>2300.5</v>
      </c>
      <c r="S292" s="5"/>
      <c r="T292" s="7">
        <v>246980.88</v>
      </c>
      <c r="U292" s="7">
        <v>441271.11</v>
      </c>
      <c r="V292" s="7">
        <v>0</v>
      </c>
      <c r="W292" s="7">
        <v>453871.11</v>
      </c>
      <c r="X292" s="7">
        <v>12600</v>
      </c>
      <c r="Y292" s="7">
        <v>206890.23</v>
      </c>
    </row>
    <row r="293" spans="1:25" ht="51" x14ac:dyDescent="0.2">
      <c r="A293" s="5" t="s">
        <v>447</v>
      </c>
      <c r="B293" s="5" t="s">
        <v>439</v>
      </c>
      <c r="C293" s="5" t="s">
        <v>239</v>
      </c>
      <c r="D293" s="5" t="s">
        <v>92</v>
      </c>
      <c r="E293" s="5" t="s">
        <v>88</v>
      </c>
      <c r="F293" s="5" t="s">
        <v>18</v>
      </c>
      <c r="G293" s="5" t="s">
        <v>89</v>
      </c>
      <c r="H293" s="5"/>
      <c r="I293" s="6">
        <v>0</v>
      </c>
      <c r="J293" s="6">
        <v>0</v>
      </c>
      <c r="K293" s="6">
        <v>0</v>
      </c>
      <c r="L293" s="6">
        <v>0</v>
      </c>
      <c r="M293" s="5"/>
      <c r="N293" s="6">
        <v>864</v>
      </c>
      <c r="O293" s="6">
        <v>1210</v>
      </c>
      <c r="P293" s="6">
        <v>1210</v>
      </c>
      <c r="Q293" s="6">
        <v>0</v>
      </c>
      <c r="R293" s="6">
        <v>346</v>
      </c>
      <c r="S293" s="5"/>
      <c r="T293" s="7">
        <v>77760</v>
      </c>
      <c r="U293" s="7">
        <v>94773.61</v>
      </c>
      <c r="V293" s="7">
        <v>0</v>
      </c>
      <c r="W293" s="7">
        <v>94773.61</v>
      </c>
      <c r="X293" s="7">
        <v>0</v>
      </c>
      <c r="Y293" s="7">
        <v>17013.61</v>
      </c>
    </row>
    <row r="294" spans="1:25" ht="51" x14ac:dyDescent="0.2">
      <c r="A294" s="5" t="s">
        <v>448</v>
      </c>
      <c r="B294" s="5" t="s">
        <v>449</v>
      </c>
      <c r="C294" s="5" t="s">
        <v>225</v>
      </c>
      <c r="D294" s="5" t="s">
        <v>450</v>
      </c>
      <c r="E294" s="5" t="s">
        <v>88</v>
      </c>
      <c r="F294" s="5" t="s">
        <v>18</v>
      </c>
      <c r="G294" s="5" t="s">
        <v>89</v>
      </c>
      <c r="H294" s="5"/>
      <c r="I294" s="6">
        <v>0</v>
      </c>
      <c r="J294" s="6">
        <v>0</v>
      </c>
      <c r="K294" s="6">
        <v>0</v>
      </c>
      <c r="L294" s="6">
        <v>0</v>
      </c>
      <c r="M294" s="5"/>
      <c r="N294" s="6">
        <v>30</v>
      </c>
      <c r="O294" s="6">
        <v>44</v>
      </c>
      <c r="P294" s="6">
        <v>44</v>
      </c>
      <c r="Q294" s="6">
        <v>0</v>
      </c>
      <c r="R294" s="6">
        <v>14</v>
      </c>
      <c r="S294" s="5"/>
      <c r="T294" s="7">
        <v>2700</v>
      </c>
      <c r="U294" s="7">
        <v>4283.99</v>
      </c>
      <c r="V294" s="7">
        <v>0</v>
      </c>
      <c r="W294" s="7">
        <v>4283.99</v>
      </c>
      <c r="X294" s="7">
        <v>0</v>
      </c>
      <c r="Y294" s="7">
        <v>1583.99</v>
      </c>
    </row>
    <row r="295" spans="1:25" ht="51" x14ac:dyDescent="0.2">
      <c r="A295" s="5" t="s">
        <v>451</v>
      </c>
      <c r="B295" s="5" t="s">
        <v>450</v>
      </c>
      <c r="C295" s="5" t="s">
        <v>16</v>
      </c>
      <c r="D295" s="5" t="s">
        <v>450</v>
      </c>
      <c r="E295" s="5" t="s">
        <v>123</v>
      </c>
      <c r="F295" s="5" t="s">
        <v>18</v>
      </c>
      <c r="G295" s="5" t="s">
        <v>89</v>
      </c>
      <c r="H295" s="5"/>
      <c r="I295" s="6">
        <v>0</v>
      </c>
      <c r="J295" s="6">
        <v>0</v>
      </c>
      <c r="K295" s="6">
        <v>0</v>
      </c>
      <c r="L295" s="6">
        <v>0</v>
      </c>
      <c r="M295" s="5"/>
      <c r="N295" s="6">
        <v>0</v>
      </c>
      <c r="O295" s="6">
        <v>40</v>
      </c>
      <c r="P295" s="6">
        <v>40</v>
      </c>
      <c r="Q295" s="6">
        <v>0</v>
      </c>
      <c r="R295" s="6">
        <v>40</v>
      </c>
      <c r="S295" s="5"/>
      <c r="T295" s="7">
        <v>0</v>
      </c>
      <c r="U295" s="7">
        <v>3997.31</v>
      </c>
      <c r="V295" s="7">
        <v>0</v>
      </c>
      <c r="W295" s="7">
        <v>3997.31</v>
      </c>
      <c r="X295" s="7">
        <v>0</v>
      </c>
      <c r="Y295" s="7">
        <v>3997.31</v>
      </c>
    </row>
    <row r="296" spans="1:25" ht="51" x14ac:dyDescent="0.2">
      <c r="A296" s="5" t="s">
        <v>452</v>
      </c>
      <c r="B296" s="5" t="s">
        <v>453</v>
      </c>
      <c r="C296" s="5" t="s">
        <v>225</v>
      </c>
      <c r="D296" s="5" t="s">
        <v>450</v>
      </c>
      <c r="E296" s="5" t="s">
        <v>88</v>
      </c>
      <c r="F296" s="5" t="s">
        <v>18</v>
      </c>
      <c r="G296" s="5" t="s">
        <v>89</v>
      </c>
      <c r="H296" s="5"/>
      <c r="I296" s="6">
        <v>0</v>
      </c>
      <c r="J296" s="6">
        <v>0</v>
      </c>
      <c r="K296" s="6">
        <v>0</v>
      </c>
      <c r="L296" s="6">
        <v>0</v>
      </c>
      <c r="M296" s="5"/>
      <c r="N296" s="6">
        <v>324</v>
      </c>
      <c r="O296" s="6">
        <v>743</v>
      </c>
      <c r="P296" s="6">
        <v>743</v>
      </c>
      <c r="Q296" s="6">
        <v>0</v>
      </c>
      <c r="R296" s="6">
        <v>419</v>
      </c>
      <c r="S296" s="5"/>
      <c r="T296" s="7">
        <v>29160</v>
      </c>
      <c r="U296" s="7">
        <v>56418.720000000001</v>
      </c>
      <c r="V296" s="7">
        <v>0</v>
      </c>
      <c r="W296" s="7">
        <v>56418.720000000001</v>
      </c>
      <c r="X296" s="7">
        <v>0</v>
      </c>
      <c r="Y296" s="7">
        <v>27258.720000000001</v>
      </c>
    </row>
    <row r="297" spans="1:25" ht="51" x14ac:dyDescent="0.2">
      <c r="A297" s="5" t="s">
        <v>454</v>
      </c>
      <c r="B297" s="5" t="s">
        <v>455</v>
      </c>
      <c r="C297" s="5" t="s">
        <v>237</v>
      </c>
      <c r="D297" s="5" t="s">
        <v>450</v>
      </c>
      <c r="E297" s="5" t="s">
        <v>88</v>
      </c>
      <c r="F297" s="5" t="s">
        <v>18</v>
      </c>
      <c r="G297" s="5" t="s">
        <v>89</v>
      </c>
      <c r="H297" s="5"/>
      <c r="I297" s="6">
        <v>0</v>
      </c>
      <c r="J297" s="6">
        <v>0</v>
      </c>
      <c r="K297" s="6">
        <v>0</v>
      </c>
      <c r="L297" s="6">
        <v>0</v>
      </c>
      <c r="M297" s="5"/>
      <c r="N297" s="6">
        <v>110</v>
      </c>
      <c r="O297" s="6">
        <v>114</v>
      </c>
      <c r="P297" s="6">
        <v>154</v>
      </c>
      <c r="Q297" s="6">
        <v>40</v>
      </c>
      <c r="R297" s="6">
        <v>44</v>
      </c>
      <c r="S297" s="5"/>
      <c r="T297" s="7">
        <v>9990</v>
      </c>
      <c r="U297" s="7">
        <v>10509.19</v>
      </c>
      <c r="V297" s="7">
        <v>0</v>
      </c>
      <c r="W297" s="7">
        <v>14509.19</v>
      </c>
      <c r="X297" s="7">
        <v>4000</v>
      </c>
      <c r="Y297" s="7">
        <v>4519.1899999999996</v>
      </c>
    </row>
    <row r="298" spans="1:25" ht="51" x14ac:dyDescent="0.2">
      <c r="A298" s="5" t="s">
        <v>456</v>
      </c>
      <c r="B298" s="5" t="s">
        <v>457</v>
      </c>
      <c r="C298" s="5" t="s">
        <v>225</v>
      </c>
      <c r="D298" s="5" t="s">
        <v>78</v>
      </c>
      <c r="E298" s="5" t="s">
        <v>88</v>
      </c>
      <c r="F298" s="5" t="s">
        <v>18</v>
      </c>
      <c r="G298" s="5" t="s">
        <v>89</v>
      </c>
      <c r="H298" s="5"/>
      <c r="I298" s="6">
        <v>0</v>
      </c>
      <c r="J298" s="6">
        <v>0</v>
      </c>
      <c r="K298" s="6">
        <v>0</v>
      </c>
      <c r="L298" s="6">
        <v>0</v>
      </c>
      <c r="M298" s="5"/>
      <c r="N298" s="6">
        <v>22</v>
      </c>
      <c r="O298" s="6">
        <v>32</v>
      </c>
      <c r="P298" s="6">
        <v>32</v>
      </c>
      <c r="Q298" s="6">
        <v>0</v>
      </c>
      <c r="R298" s="6">
        <v>10</v>
      </c>
      <c r="S298" s="5"/>
      <c r="T298" s="7">
        <v>1980</v>
      </c>
      <c r="U298" s="7">
        <v>2792</v>
      </c>
      <c r="V298" s="7">
        <v>0</v>
      </c>
      <c r="W298" s="7">
        <v>2792</v>
      </c>
      <c r="X298" s="7">
        <v>0</v>
      </c>
      <c r="Y298" s="7">
        <v>812</v>
      </c>
    </row>
    <row r="299" spans="1:25" ht="51" x14ac:dyDescent="0.2">
      <c r="A299" s="5" t="s">
        <v>458</v>
      </c>
      <c r="B299" s="5" t="s">
        <v>459</v>
      </c>
      <c r="C299" s="5" t="s">
        <v>16</v>
      </c>
      <c r="D299" s="5" t="s">
        <v>460</v>
      </c>
      <c r="E299" s="5" t="s">
        <v>123</v>
      </c>
      <c r="F299" s="5" t="s">
        <v>18</v>
      </c>
      <c r="G299" s="5" t="s">
        <v>89</v>
      </c>
      <c r="H299" s="5"/>
      <c r="I299" s="6">
        <v>0</v>
      </c>
      <c r="J299" s="6">
        <v>0</v>
      </c>
      <c r="K299" s="6">
        <v>0</v>
      </c>
      <c r="L299" s="6">
        <v>0</v>
      </c>
      <c r="M299" s="5"/>
      <c r="N299" s="6">
        <v>0</v>
      </c>
      <c r="O299" s="6">
        <v>15</v>
      </c>
      <c r="P299" s="6">
        <v>15</v>
      </c>
      <c r="Q299" s="6">
        <v>0</v>
      </c>
      <c r="R299" s="6">
        <v>15</v>
      </c>
      <c r="S299" s="5"/>
      <c r="T299" s="7">
        <v>0</v>
      </c>
      <c r="U299" s="7">
        <v>1550.94</v>
      </c>
      <c r="V299" s="7">
        <v>0</v>
      </c>
      <c r="W299" s="7">
        <v>1550.94</v>
      </c>
      <c r="X299" s="7">
        <v>0</v>
      </c>
      <c r="Y299" s="7">
        <v>1550.94</v>
      </c>
    </row>
    <row r="300" spans="1:25" ht="51" x14ac:dyDescent="0.2">
      <c r="A300" s="5" t="s">
        <v>461</v>
      </c>
      <c r="B300" s="5" t="s">
        <v>462</v>
      </c>
      <c r="C300" s="5" t="s">
        <v>225</v>
      </c>
      <c r="D300" s="5" t="s">
        <v>460</v>
      </c>
      <c r="E300" s="5" t="s">
        <v>88</v>
      </c>
      <c r="F300" s="5" t="s">
        <v>18</v>
      </c>
      <c r="G300" s="5" t="s">
        <v>89</v>
      </c>
      <c r="H300" s="5"/>
      <c r="I300" s="6">
        <v>0</v>
      </c>
      <c r="J300" s="6">
        <v>0</v>
      </c>
      <c r="K300" s="6">
        <v>0</v>
      </c>
      <c r="L300" s="6">
        <v>0</v>
      </c>
      <c r="M300" s="5"/>
      <c r="N300" s="6">
        <v>290</v>
      </c>
      <c r="O300" s="6">
        <v>536</v>
      </c>
      <c r="P300" s="6">
        <v>536</v>
      </c>
      <c r="Q300" s="6">
        <v>0</v>
      </c>
      <c r="R300" s="6">
        <v>246</v>
      </c>
      <c r="S300" s="5"/>
      <c r="T300" s="7">
        <v>26106.9</v>
      </c>
      <c r="U300" s="7">
        <v>41932.19</v>
      </c>
      <c r="V300" s="7">
        <v>0</v>
      </c>
      <c r="W300" s="7">
        <v>41932.19</v>
      </c>
      <c r="X300" s="7">
        <v>0</v>
      </c>
      <c r="Y300" s="7">
        <v>15825.29</v>
      </c>
    </row>
    <row r="301" spans="1:25" ht="51" x14ac:dyDescent="0.2">
      <c r="A301" s="5" t="s">
        <v>463</v>
      </c>
      <c r="B301" s="5" t="s">
        <v>462</v>
      </c>
      <c r="C301" s="5" t="s">
        <v>227</v>
      </c>
      <c r="D301" s="5" t="s">
        <v>460</v>
      </c>
      <c r="E301" s="5" t="s">
        <v>88</v>
      </c>
      <c r="F301" s="5" t="s">
        <v>18</v>
      </c>
      <c r="G301" s="5" t="s">
        <v>89</v>
      </c>
      <c r="H301" s="5"/>
      <c r="I301" s="6">
        <v>0</v>
      </c>
      <c r="J301" s="6">
        <v>0</v>
      </c>
      <c r="K301" s="6">
        <v>0</v>
      </c>
      <c r="L301" s="6">
        <v>0</v>
      </c>
      <c r="M301" s="5"/>
      <c r="N301" s="6">
        <v>172</v>
      </c>
      <c r="O301" s="6">
        <v>230</v>
      </c>
      <c r="P301" s="6">
        <v>302</v>
      </c>
      <c r="Q301" s="6">
        <v>72</v>
      </c>
      <c r="R301" s="6">
        <v>130</v>
      </c>
      <c r="S301" s="5"/>
      <c r="T301" s="7">
        <v>15480</v>
      </c>
      <c r="U301" s="7">
        <v>21097.31</v>
      </c>
      <c r="V301" s="7">
        <v>0</v>
      </c>
      <c r="W301" s="7">
        <v>28657.31</v>
      </c>
      <c r="X301" s="7">
        <v>7560</v>
      </c>
      <c r="Y301" s="7">
        <v>13177.31</v>
      </c>
    </row>
    <row r="302" spans="1:25" ht="51" x14ac:dyDescent="0.2">
      <c r="A302" s="5" t="s">
        <v>464</v>
      </c>
      <c r="B302" s="5" t="s">
        <v>465</v>
      </c>
      <c r="C302" s="5" t="s">
        <v>245</v>
      </c>
      <c r="D302" s="5" t="s">
        <v>460</v>
      </c>
      <c r="E302" s="5" t="s">
        <v>123</v>
      </c>
      <c r="F302" s="5" t="s">
        <v>18</v>
      </c>
      <c r="G302" s="5" t="s">
        <v>89</v>
      </c>
      <c r="H302" s="5"/>
      <c r="I302" s="6">
        <v>0</v>
      </c>
      <c r="J302" s="6">
        <v>0</v>
      </c>
      <c r="K302" s="6">
        <v>0</v>
      </c>
      <c r="L302" s="6">
        <v>0</v>
      </c>
      <c r="M302" s="5"/>
      <c r="N302" s="6">
        <v>0</v>
      </c>
      <c r="O302" s="6">
        <v>76</v>
      </c>
      <c r="P302" s="6">
        <v>76</v>
      </c>
      <c r="Q302" s="6">
        <v>0</v>
      </c>
      <c r="R302" s="6">
        <v>76</v>
      </c>
      <c r="S302" s="5"/>
      <c r="T302" s="7">
        <v>0</v>
      </c>
      <c r="U302" s="7">
        <v>7151.78</v>
      </c>
      <c r="V302" s="7">
        <v>0</v>
      </c>
      <c r="W302" s="7">
        <v>7151.78</v>
      </c>
      <c r="X302" s="7">
        <v>0</v>
      </c>
      <c r="Y302" s="7">
        <v>7151.78</v>
      </c>
    </row>
    <row r="303" spans="1:25" ht="51" x14ac:dyDescent="0.2">
      <c r="A303" s="5" t="s">
        <v>466</v>
      </c>
      <c r="B303" s="5" t="s">
        <v>462</v>
      </c>
      <c r="C303" s="5" t="s">
        <v>229</v>
      </c>
      <c r="D303" s="5" t="s">
        <v>460</v>
      </c>
      <c r="E303" s="5" t="s">
        <v>88</v>
      </c>
      <c r="F303" s="5" t="s">
        <v>18</v>
      </c>
      <c r="G303" s="5" t="s">
        <v>89</v>
      </c>
      <c r="H303" s="5"/>
      <c r="I303" s="6">
        <v>0</v>
      </c>
      <c r="J303" s="6">
        <v>0</v>
      </c>
      <c r="K303" s="6">
        <v>0</v>
      </c>
      <c r="L303" s="6">
        <v>0</v>
      </c>
      <c r="M303" s="5"/>
      <c r="N303" s="6">
        <v>132</v>
      </c>
      <c r="O303" s="6">
        <v>366</v>
      </c>
      <c r="P303" s="6">
        <v>414</v>
      </c>
      <c r="Q303" s="6">
        <v>48</v>
      </c>
      <c r="R303" s="6">
        <v>282</v>
      </c>
      <c r="S303" s="5"/>
      <c r="T303" s="7">
        <v>11880</v>
      </c>
      <c r="U303" s="7">
        <v>28122.29</v>
      </c>
      <c r="V303" s="7">
        <v>0</v>
      </c>
      <c r="W303" s="7">
        <v>33162.29</v>
      </c>
      <c r="X303" s="7">
        <v>5040</v>
      </c>
      <c r="Y303" s="7">
        <v>21282.29</v>
      </c>
    </row>
    <row r="304" spans="1:25" ht="51" x14ac:dyDescent="0.2">
      <c r="A304" s="5" t="s">
        <v>467</v>
      </c>
      <c r="B304" s="5" t="s">
        <v>462</v>
      </c>
      <c r="C304" s="5" t="s">
        <v>231</v>
      </c>
      <c r="D304" s="5" t="s">
        <v>460</v>
      </c>
      <c r="E304" s="5" t="s">
        <v>88</v>
      </c>
      <c r="F304" s="5" t="s">
        <v>18</v>
      </c>
      <c r="G304" s="5" t="s">
        <v>89</v>
      </c>
      <c r="H304" s="5"/>
      <c r="I304" s="6">
        <v>0</v>
      </c>
      <c r="J304" s="6">
        <v>0</v>
      </c>
      <c r="K304" s="6">
        <v>0</v>
      </c>
      <c r="L304" s="6">
        <v>0</v>
      </c>
      <c r="M304" s="5"/>
      <c r="N304" s="6">
        <v>129</v>
      </c>
      <c r="O304" s="6">
        <v>357</v>
      </c>
      <c r="P304" s="6">
        <v>357</v>
      </c>
      <c r="Q304" s="6">
        <v>0</v>
      </c>
      <c r="R304" s="6">
        <v>228</v>
      </c>
      <c r="S304" s="5"/>
      <c r="T304" s="7">
        <v>11610</v>
      </c>
      <c r="U304" s="7">
        <v>32703.58</v>
      </c>
      <c r="V304" s="7">
        <v>0</v>
      </c>
      <c r="W304" s="7">
        <v>32703.58</v>
      </c>
      <c r="X304" s="7">
        <v>0</v>
      </c>
      <c r="Y304" s="7">
        <v>21093.58</v>
      </c>
    </row>
    <row r="305" spans="1:25" ht="51" x14ac:dyDescent="0.2">
      <c r="A305" s="5" t="s">
        <v>468</v>
      </c>
      <c r="B305" s="5" t="s">
        <v>462</v>
      </c>
      <c r="C305" s="5" t="s">
        <v>233</v>
      </c>
      <c r="D305" s="5" t="s">
        <v>460</v>
      </c>
      <c r="E305" s="5" t="s">
        <v>88</v>
      </c>
      <c r="F305" s="5" t="s">
        <v>18</v>
      </c>
      <c r="G305" s="5" t="s">
        <v>89</v>
      </c>
      <c r="H305" s="5"/>
      <c r="I305" s="6">
        <v>0</v>
      </c>
      <c r="J305" s="6">
        <v>0</v>
      </c>
      <c r="K305" s="6">
        <v>0</v>
      </c>
      <c r="L305" s="6">
        <v>0</v>
      </c>
      <c r="M305" s="5"/>
      <c r="N305" s="6">
        <v>14</v>
      </c>
      <c r="O305" s="6">
        <v>8</v>
      </c>
      <c r="P305" s="6">
        <v>8</v>
      </c>
      <c r="Q305" s="6">
        <v>0</v>
      </c>
      <c r="R305" s="6">
        <v>-6</v>
      </c>
      <c r="S305" s="5"/>
      <c r="T305" s="7">
        <v>1260</v>
      </c>
      <c r="U305" s="7">
        <v>749.09</v>
      </c>
      <c r="V305" s="7">
        <v>0</v>
      </c>
      <c r="W305" s="7">
        <v>749.09</v>
      </c>
      <c r="X305" s="7">
        <v>0</v>
      </c>
      <c r="Y305" s="7">
        <v>-510.91</v>
      </c>
    </row>
    <row r="306" spans="1:25" ht="51" x14ac:dyDescent="0.2">
      <c r="A306" s="5" t="s">
        <v>469</v>
      </c>
      <c r="B306" s="5" t="s">
        <v>465</v>
      </c>
      <c r="C306" s="5" t="s">
        <v>237</v>
      </c>
      <c r="D306" s="5" t="s">
        <v>460</v>
      </c>
      <c r="E306" s="5" t="s">
        <v>88</v>
      </c>
      <c r="F306" s="5" t="s">
        <v>18</v>
      </c>
      <c r="G306" s="5" t="s">
        <v>89</v>
      </c>
      <c r="H306" s="5"/>
      <c r="I306" s="6">
        <v>0</v>
      </c>
      <c r="J306" s="6">
        <v>0</v>
      </c>
      <c r="K306" s="6">
        <v>0</v>
      </c>
      <c r="L306" s="6">
        <v>0</v>
      </c>
      <c r="M306" s="5"/>
      <c r="N306" s="6">
        <v>563</v>
      </c>
      <c r="O306" s="6">
        <v>777</v>
      </c>
      <c r="P306" s="6">
        <v>777</v>
      </c>
      <c r="Q306" s="6">
        <v>0</v>
      </c>
      <c r="R306" s="6">
        <v>214</v>
      </c>
      <c r="S306" s="5"/>
      <c r="T306" s="7">
        <v>50670</v>
      </c>
      <c r="U306" s="7">
        <v>69800.509999999995</v>
      </c>
      <c r="V306" s="7">
        <v>0</v>
      </c>
      <c r="W306" s="7">
        <v>69800.509999999995</v>
      </c>
      <c r="X306" s="7">
        <v>0</v>
      </c>
      <c r="Y306" s="7">
        <v>19130.509999999998</v>
      </c>
    </row>
    <row r="307" spans="1:25" ht="51" x14ac:dyDescent="0.2">
      <c r="A307" s="5" t="s">
        <v>470</v>
      </c>
      <c r="B307" s="5" t="s">
        <v>465</v>
      </c>
      <c r="C307" s="5" t="s">
        <v>239</v>
      </c>
      <c r="D307" s="5" t="s">
        <v>460</v>
      </c>
      <c r="E307" s="5" t="s">
        <v>88</v>
      </c>
      <c r="F307" s="5" t="s">
        <v>18</v>
      </c>
      <c r="G307" s="5" t="s">
        <v>89</v>
      </c>
      <c r="H307" s="5"/>
      <c r="I307" s="6">
        <v>0</v>
      </c>
      <c r="J307" s="6">
        <v>0</v>
      </c>
      <c r="K307" s="6">
        <v>0</v>
      </c>
      <c r="L307" s="6">
        <v>0</v>
      </c>
      <c r="M307" s="5"/>
      <c r="N307" s="6">
        <v>142</v>
      </c>
      <c r="O307" s="6">
        <v>287</v>
      </c>
      <c r="P307" s="6">
        <v>287</v>
      </c>
      <c r="Q307" s="6">
        <v>0</v>
      </c>
      <c r="R307" s="6">
        <v>145</v>
      </c>
      <c r="S307" s="5"/>
      <c r="T307" s="7">
        <v>12780</v>
      </c>
      <c r="U307" s="7">
        <v>24502.67</v>
      </c>
      <c r="V307" s="7">
        <v>0</v>
      </c>
      <c r="W307" s="7">
        <v>24502.67</v>
      </c>
      <c r="X307" s="7">
        <v>0</v>
      </c>
      <c r="Y307" s="7">
        <v>11722.67</v>
      </c>
    </row>
    <row r="308" spans="1:25" ht="51" x14ac:dyDescent="0.2">
      <c r="A308" s="5" t="s">
        <v>471</v>
      </c>
      <c r="B308" s="5" t="s">
        <v>472</v>
      </c>
      <c r="C308" s="5" t="s">
        <v>225</v>
      </c>
      <c r="D308" s="5" t="s">
        <v>95</v>
      </c>
      <c r="E308" s="5" t="s">
        <v>88</v>
      </c>
      <c r="F308" s="5" t="s">
        <v>18</v>
      </c>
      <c r="G308" s="5" t="s">
        <v>89</v>
      </c>
      <c r="H308" s="5"/>
      <c r="I308" s="6">
        <v>0</v>
      </c>
      <c r="J308" s="6">
        <v>0</v>
      </c>
      <c r="K308" s="6">
        <v>0</v>
      </c>
      <c r="L308" s="6">
        <v>0</v>
      </c>
      <c r="M308" s="5"/>
      <c r="N308" s="6">
        <v>37</v>
      </c>
      <c r="O308" s="6">
        <v>58</v>
      </c>
      <c r="P308" s="6">
        <v>58</v>
      </c>
      <c r="Q308" s="6">
        <v>0</v>
      </c>
      <c r="R308" s="6">
        <v>21</v>
      </c>
      <c r="S308" s="5"/>
      <c r="T308" s="7">
        <v>3330</v>
      </c>
      <c r="U308" s="7">
        <v>4961.47</v>
      </c>
      <c r="V308" s="7">
        <v>0</v>
      </c>
      <c r="W308" s="7">
        <v>4961.47</v>
      </c>
      <c r="X308" s="7">
        <v>0</v>
      </c>
      <c r="Y308" s="7">
        <v>1631.47</v>
      </c>
    </row>
    <row r="309" spans="1:25" ht="51" x14ac:dyDescent="0.2">
      <c r="A309" s="5" t="s">
        <v>473</v>
      </c>
      <c r="B309" s="5" t="s">
        <v>474</v>
      </c>
      <c r="C309" s="5" t="s">
        <v>385</v>
      </c>
      <c r="D309" s="5" t="s">
        <v>95</v>
      </c>
      <c r="E309" s="5" t="s">
        <v>123</v>
      </c>
      <c r="F309" s="5" t="s">
        <v>18</v>
      </c>
      <c r="G309" s="5" t="s">
        <v>89</v>
      </c>
      <c r="H309" s="5"/>
      <c r="I309" s="6">
        <v>0</v>
      </c>
      <c r="J309" s="6">
        <v>0</v>
      </c>
      <c r="K309" s="6">
        <v>0</v>
      </c>
      <c r="L309" s="6">
        <v>0</v>
      </c>
      <c r="M309" s="5"/>
      <c r="N309" s="6">
        <v>0</v>
      </c>
      <c r="O309" s="6">
        <v>190</v>
      </c>
      <c r="P309" s="6">
        <v>190</v>
      </c>
      <c r="Q309" s="6">
        <v>0</v>
      </c>
      <c r="R309" s="6">
        <v>190</v>
      </c>
      <c r="S309" s="5"/>
      <c r="T309" s="7">
        <v>0</v>
      </c>
      <c r="U309" s="7">
        <v>15455.08</v>
      </c>
      <c r="V309" s="7">
        <v>0</v>
      </c>
      <c r="W309" s="7">
        <v>15455.08</v>
      </c>
      <c r="X309" s="7">
        <v>0</v>
      </c>
      <c r="Y309" s="7">
        <v>15455.08</v>
      </c>
    </row>
    <row r="310" spans="1:25" ht="51" x14ac:dyDescent="0.2">
      <c r="A310" s="5" t="s">
        <v>475</v>
      </c>
      <c r="B310" s="5" t="s">
        <v>476</v>
      </c>
      <c r="C310" s="5" t="s">
        <v>16</v>
      </c>
      <c r="D310" s="5" t="s">
        <v>95</v>
      </c>
      <c r="E310" s="5" t="s">
        <v>123</v>
      </c>
      <c r="F310" s="5" t="s">
        <v>18</v>
      </c>
      <c r="G310" s="5" t="s">
        <v>89</v>
      </c>
      <c r="H310" s="5"/>
      <c r="I310" s="6">
        <v>0</v>
      </c>
      <c r="J310" s="6">
        <v>0</v>
      </c>
      <c r="K310" s="6">
        <v>0</v>
      </c>
      <c r="L310" s="6">
        <v>0</v>
      </c>
      <c r="M310" s="5"/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5"/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</row>
    <row r="311" spans="1:25" ht="51" x14ac:dyDescent="0.2">
      <c r="A311" s="5" t="s">
        <v>477</v>
      </c>
      <c r="B311" s="5" t="s">
        <v>478</v>
      </c>
      <c r="C311" s="5" t="s">
        <v>225</v>
      </c>
      <c r="D311" s="5" t="s">
        <v>95</v>
      </c>
      <c r="E311" s="5" t="s">
        <v>88</v>
      </c>
      <c r="F311" s="5" t="s">
        <v>18</v>
      </c>
      <c r="G311" s="5" t="s">
        <v>89</v>
      </c>
      <c r="H311" s="5"/>
      <c r="I311" s="6">
        <v>0</v>
      </c>
      <c r="J311" s="6">
        <v>0</v>
      </c>
      <c r="K311" s="6">
        <v>0</v>
      </c>
      <c r="L311" s="6">
        <v>0</v>
      </c>
      <c r="M311" s="5"/>
      <c r="N311" s="6">
        <v>619</v>
      </c>
      <c r="O311" s="6">
        <v>867</v>
      </c>
      <c r="P311" s="6">
        <v>867</v>
      </c>
      <c r="Q311" s="6">
        <v>0</v>
      </c>
      <c r="R311" s="6">
        <v>248</v>
      </c>
      <c r="S311" s="5"/>
      <c r="T311" s="7">
        <v>55710</v>
      </c>
      <c r="U311" s="7">
        <v>63463.46</v>
      </c>
      <c r="V311" s="7">
        <v>0</v>
      </c>
      <c r="W311" s="7">
        <v>63463.46</v>
      </c>
      <c r="X311" s="7">
        <v>0</v>
      </c>
      <c r="Y311" s="7">
        <v>7753.46</v>
      </c>
    </row>
    <row r="312" spans="1:25" ht="51" x14ac:dyDescent="0.2">
      <c r="A312" s="5" t="s">
        <v>479</v>
      </c>
      <c r="B312" s="5" t="s">
        <v>107</v>
      </c>
      <c r="C312" s="5" t="s">
        <v>16</v>
      </c>
      <c r="D312" s="5" t="s">
        <v>107</v>
      </c>
      <c r="E312" s="5" t="s">
        <v>123</v>
      </c>
      <c r="F312" s="5" t="s">
        <v>18</v>
      </c>
      <c r="G312" s="5" t="s">
        <v>89</v>
      </c>
      <c r="H312" s="5"/>
      <c r="I312" s="6">
        <v>0</v>
      </c>
      <c r="J312" s="6">
        <v>0</v>
      </c>
      <c r="K312" s="6">
        <v>0</v>
      </c>
      <c r="L312" s="6">
        <v>0</v>
      </c>
      <c r="M312" s="5"/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5"/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</row>
    <row r="313" spans="1:25" ht="51" x14ac:dyDescent="0.2">
      <c r="A313" s="5" t="s">
        <v>480</v>
      </c>
      <c r="B313" s="5" t="s">
        <v>481</v>
      </c>
      <c r="C313" s="5" t="s">
        <v>225</v>
      </c>
      <c r="D313" s="5" t="s">
        <v>107</v>
      </c>
      <c r="E313" s="5" t="s">
        <v>88</v>
      </c>
      <c r="F313" s="5" t="s">
        <v>18</v>
      </c>
      <c r="G313" s="5" t="s">
        <v>89</v>
      </c>
      <c r="H313" s="5"/>
      <c r="I313" s="6">
        <v>0</v>
      </c>
      <c r="J313" s="6">
        <v>0</v>
      </c>
      <c r="K313" s="6">
        <v>0</v>
      </c>
      <c r="L313" s="6">
        <v>0</v>
      </c>
      <c r="M313" s="5"/>
      <c r="N313" s="6">
        <v>600</v>
      </c>
      <c r="O313" s="6">
        <v>1828</v>
      </c>
      <c r="P313" s="6">
        <v>1828</v>
      </c>
      <c r="Q313" s="6">
        <v>0</v>
      </c>
      <c r="R313" s="6">
        <v>1228</v>
      </c>
      <c r="S313" s="5"/>
      <c r="T313" s="7">
        <v>54000</v>
      </c>
      <c r="U313" s="7">
        <v>129933.16</v>
      </c>
      <c r="V313" s="7">
        <v>0</v>
      </c>
      <c r="W313" s="7">
        <v>129933.16</v>
      </c>
      <c r="X313" s="7">
        <v>0</v>
      </c>
      <c r="Y313" s="7">
        <v>75933.16</v>
      </c>
    </row>
    <row r="314" spans="1:25" ht="51" x14ac:dyDescent="0.2">
      <c r="A314" s="5" t="s">
        <v>482</v>
      </c>
      <c r="B314" s="5" t="s">
        <v>481</v>
      </c>
      <c r="C314" s="5" t="s">
        <v>122</v>
      </c>
      <c r="D314" s="5" t="s">
        <v>107</v>
      </c>
      <c r="E314" s="5" t="s">
        <v>88</v>
      </c>
      <c r="F314" s="5" t="s">
        <v>18</v>
      </c>
      <c r="G314" s="5" t="s">
        <v>89</v>
      </c>
      <c r="H314" s="5"/>
      <c r="I314" s="6">
        <v>0</v>
      </c>
      <c r="J314" s="6">
        <v>0</v>
      </c>
      <c r="K314" s="6">
        <v>0</v>
      </c>
      <c r="L314" s="6">
        <v>0</v>
      </c>
      <c r="M314" s="5"/>
      <c r="N314" s="6">
        <v>6</v>
      </c>
      <c r="O314" s="6">
        <v>0</v>
      </c>
      <c r="P314" s="6">
        <v>0</v>
      </c>
      <c r="Q314" s="6">
        <v>0</v>
      </c>
      <c r="R314" s="6">
        <v>-6</v>
      </c>
      <c r="S314" s="5"/>
      <c r="T314" s="7">
        <v>540</v>
      </c>
      <c r="U314" s="7">
        <v>0</v>
      </c>
      <c r="V314" s="7">
        <v>0</v>
      </c>
      <c r="W314" s="7">
        <v>0</v>
      </c>
      <c r="X314" s="7">
        <v>0</v>
      </c>
      <c r="Y314" s="7">
        <v>-540</v>
      </c>
    </row>
    <row r="315" spans="1:25" ht="51" x14ac:dyDescent="0.2">
      <c r="A315" s="5" t="s">
        <v>483</v>
      </c>
      <c r="B315" s="5" t="s">
        <v>481</v>
      </c>
      <c r="C315" s="5" t="s">
        <v>227</v>
      </c>
      <c r="D315" s="5" t="s">
        <v>107</v>
      </c>
      <c r="E315" s="5" t="s">
        <v>88</v>
      </c>
      <c r="F315" s="5" t="s">
        <v>18</v>
      </c>
      <c r="G315" s="5" t="s">
        <v>89</v>
      </c>
      <c r="H315" s="5"/>
      <c r="I315" s="6">
        <v>0</v>
      </c>
      <c r="J315" s="6">
        <v>0</v>
      </c>
      <c r="K315" s="6">
        <v>0</v>
      </c>
      <c r="L315" s="6">
        <v>0</v>
      </c>
      <c r="M315" s="5"/>
      <c r="N315" s="6">
        <v>793</v>
      </c>
      <c r="O315" s="6">
        <v>1577</v>
      </c>
      <c r="P315" s="6">
        <v>1577</v>
      </c>
      <c r="Q315" s="6">
        <v>0</v>
      </c>
      <c r="R315" s="6">
        <v>784</v>
      </c>
      <c r="S315" s="5"/>
      <c r="T315" s="7">
        <v>71370</v>
      </c>
      <c r="U315" s="7">
        <v>116397.61</v>
      </c>
      <c r="V315" s="7">
        <v>0</v>
      </c>
      <c r="W315" s="7">
        <v>116397.61</v>
      </c>
      <c r="X315" s="7">
        <v>0</v>
      </c>
      <c r="Y315" s="7">
        <v>45027.61</v>
      </c>
    </row>
    <row r="316" spans="1:25" ht="51" x14ac:dyDescent="0.2">
      <c r="A316" s="5" t="s">
        <v>483</v>
      </c>
      <c r="B316" s="5" t="s">
        <v>481</v>
      </c>
      <c r="C316" s="5" t="s">
        <v>227</v>
      </c>
      <c r="D316" s="5" t="s">
        <v>107</v>
      </c>
      <c r="E316" s="5" t="s">
        <v>88</v>
      </c>
      <c r="F316" s="5" t="s">
        <v>25</v>
      </c>
      <c r="G316" s="5" t="s">
        <v>89</v>
      </c>
      <c r="H316" s="5"/>
      <c r="I316" s="6">
        <v>0</v>
      </c>
      <c r="J316" s="6">
        <v>0</v>
      </c>
      <c r="K316" s="6">
        <v>0</v>
      </c>
      <c r="L316" s="6">
        <v>0</v>
      </c>
      <c r="M316" s="5"/>
      <c r="N316" s="6">
        <v>10</v>
      </c>
      <c r="O316" s="6">
        <v>0</v>
      </c>
      <c r="P316" s="6">
        <v>0</v>
      </c>
      <c r="Q316" s="6">
        <v>0</v>
      </c>
      <c r="R316" s="6">
        <v>-10</v>
      </c>
      <c r="S316" s="5"/>
      <c r="T316" s="7">
        <v>900</v>
      </c>
      <c r="U316" s="7">
        <v>0</v>
      </c>
      <c r="V316" s="7">
        <v>0</v>
      </c>
      <c r="W316" s="7">
        <v>0</v>
      </c>
      <c r="X316" s="7">
        <v>0</v>
      </c>
      <c r="Y316" s="7">
        <v>-900</v>
      </c>
    </row>
    <row r="317" spans="1:25" ht="51" x14ac:dyDescent="0.2">
      <c r="A317" s="5" t="s">
        <v>484</v>
      </c>
      <c r="B317" s="5" t="s">
        <v>481</v>
      </c>
      <c r="C317" s="5" t="s">
        <v>245</v>
      </c>
      <c r="D317" s="5" t="s">
        <v>107</v>
      </c>
      <c r="E317" s="5" t="s">
        <v>123</v>
      </c>
      <c r="F317" s="5" t="s">
        <v>18</v>
      </c>
      <c r="G317" s="5" t="s">
        <v>89</v>
      </c>
      <c r="H317" s="5"/>
      <c r="I317" s="6">
        <v>0</v>
      </c>
      <c r="J317" s="6">
        <v>0</v>
      </c>
      <c r="K317" s="6">
        <v>0</v>
      </c>
      <c r="L317" s="6">
        <v>0</v>
      </c>
      <c r="M317" s="5"/>
      <c r="N317" s="6">
        <v>0</v>
      </c>
      <c r="O317" s="6">
        <v>20</v>
      </c>
      <c r="P317" s="6">
        <v>20</v>
      </c>
      <c r="Q317" s="6">
        <v>0</v>
      </c>
      <c r="R317" s="6">
        <v>20</v>
      </c>
      <c r="S317" s="5"/>
      <c r="T317" s="7">
        <v>0</v>
      </c>
      <c r="U317" s="7">
        <v>2011.78</v>
      </c>
      <c r="V317" s="7">
        <v>0</v>
      </c>
      <c r="W317" s="7">
        <v>2011.78</v>
      </c>
      <c r="X317" s="7">
        <v>0</v>
      </c>
      <c r="Y317" s="7">
        <v>2011.78</v>
      </c>
    </row>
    <row r="318" spans="1:25" ht="51" x14ac:dyDescent="0.2">
      <c r="A318" s="5" t="s">
        <v>485</v>
      </c>
      <c r="B318" s="5" t="s">
        <v>481</v>
      </c>
      <c r="C318" s="5" t="s">
        <v>229</v>
      </c>
      <c r="D318" s="5" t="s">
        <v>107</v>
      </c>
      <c r="E318" s="5" t="s">
        <v>88</v>
      </c>
      <c r="F318" s="5" t="s">
        <v>18</v>
      </c>
      <c r="G318" s="5" t="s">
        <v>89</v>
      </c>
      <c r="H318" s="5"/>
      <c r="I318" s="6">
        <v>0</v>
      </c>
      <c r="J318" s="6">
        <v>0</v>
      </c>
      <c r="K318" s="6">
        <v>0</v>
      </c>
      <c r="L318" s="6">
        <v>0</v>
      </c>
      <c r="M318" s="5"/>
      <c r="N318" s="6">
        <v>236</v>
      </c>
      <c r="O318" s="6">
        <v>1865</v>
      </c>
      <c r="P318" s="6">
        <v>1865</v>
      </c>
      <c r="Q318" s="6">
        <v>0</v>
      </c>
      <c r="R318" s="6">
        <v>1629</v>
      </c>
      <c r="S318" s="5"/>
      <c r="T318" s="7">
        <v>21240</v>
      </c>
      <c r="U318" s="7">
        <v>131115.75</v>
      </c>
      <c r="V318" s="7">
        <v>0</v>
      </c>
      <c r="W318" s="7">
        <v>131115.75</v>
      </c>
      <c r="X318" s="7">
        <v>0</v>
      </c>
      <c r="Y318" s="7">
        <v>109875.75</v>
      </c>
    </row>
    <row r="319" spans="1:25" ht="51" x14ac:dyDescent="0.2">
      <c r="A319" s="5" t="s">
        <v>486</v>
      </c>
      <c r="B319" s="5" t="s">
        <v>481</v>
      </c>
      <c r="C319" s="5" t="s">
        <v>231</v>
      </c>
      <c r="D319" s="5" t="s">
        <v>107</v>
      </c>
      <c r="E319" s="5" t="s">
        <v>88</v>
      </c>
      <c r="F319" s="5" t="s">
        <v>18</v>
      </c>
      <c r="G319" s="5" t="s">
        <v>89</v>
      </c>
      <c r="H319" s="5"/>
      <c r="I319" s="6">
        <v>0</v>
      </c>
      <c r="J319" s="6">
        <v>0</v>
      </c>
      <c r="K319" s="6">
        <v>0</v>
      </c>
      <c r="L319" s="6">
        <v>0</v>
      </c>
      <c r="M319" s="5"/>
      <c r="N319" s="6">
        <v>630</v>
      </c>
      <c r="O319" s="6">
        <v>1557</v>
      </c>
      <c r="P319" s="6">
        <v>1557</v>
      </c>
      <c r="Q319" s="6">
        <v>0</v>
      </c>
      <c r="R319" s="6">
        <v>927</v>
      </c>
      <c r="S319" s="5"/>
      <c r="T319" s="7">
        <v>56700</v>
      </c>
      <c r="U319" s="7">
        <v>125466.95</v>
      </c>
      <c r="V319" s="7">
        <v>0</v>
      </c>
      <c r="W319" s="7">
        <v>125466.95</v>
      </c>
      <c r="X319" s="7">
        <v>0</v>
      </c>
      <c r="Y319" s="7">
        <v>68766.95</v>
      </c>
    </row>
    <row r="320" spans="1:25" ht="51" x14ac:dyDescent="0.2">
      <c r="A320" s="5" t="s">
        <v>487</v>
      </c>
      <c r="B320" s="5" t="s">
        <v>481</v>
      </c>
      <c r="C320" s="5" t="s">
        <v>233</v>
      </c>
      <c r="D320" s="5" t="s">
        <v>107</v>
      </c>
      <c r="E320" s="5" t="s">
        <v>88</v>
      </c>
      <c r="F320" s="5" t="s">
        <v>18</v>
      </c>
      <c r="G320" s="5" t="s">
        <v>89</v>
      </c>
      <c r="H320" s="5"/>
      <c r="I320" s="6">
        <v>0</v>
      </c>
      <c r="J320" s="6">
        <v>0</v>
      </c>
      <c r="K320" s="6">
        <v>0</v>
      </c>
      <c r="L320" s="6">
        <v>0</v>
      </c>
      <c r="M320" s="5"/>
      <c r="N320" s="6">
        <v>9</v>
      </c>
      <c r="O320" s="6">
        <v>16</v>
      </c>
      <c r="P320" s="6">
        <v>16</v>
      </c>
      <c r="Q320" s="6">
        <v>0</v>
      </c>
      <c r="R320" s="6">
        <v>7</v>
      </c>
      <c r="S320" s="5"/>
      <c r="T320" s="7">
        <v>810</v>
      </c>
      <c r="U320" s="7">
        <v>1504.2</v>
      </c>
      <c r="V320" s="7">
        <v>0</v>
      </c>
      <c r="W320" s="7">
        <v>1504.2</v>
      </c>
      <c r="X320" s="7">
        <v>0</v>
      </c>
      <c r="Y320" s="7">
        <v>694.2</v>
      </c>
    </row>
    <row r="321" spans="1:25" ht="51" x14ac:dyDescent="0.2">
      <c r="A321" s="5" t="s">
        <v>488</v>
      </c>
      <c r="B321" s="5" t="s">
        <v>481</v>
      </c>
      <c r="C321" s="5" t="s">
        <v>235</v>
      </c>
      <c r="D321" s="5" t="s">
        <v>107</v>
      </c>
      <c r="E321" s="5" t="s">
        <v>88</v>
      </c>
      <c r="F321" s="5" t="s">
        <v>18</v>
      </c>
      <c r="G321" s="5" t="s">
        <v>89</v>
      </c>
      <c r="H321" s="5"/>
      <c r="I321" s="6">
        <v>0</v>
      </c>
      <c r="J321" s="6">
        <v>0</v>
      </c>
      <c r="K321" s="6">
        <v>0</v>
      </c>
      <c r="L321" s="6">
        <v>0</v>
      </c>
      <c r="M321" s="5"/>
      <c r="N321" s="6">
        <v>8</v>
      </c>
      <c r="O321" s="6">
        <v>10</v>
      </c>
      <c r="P321" s="6">
        <v>10</v>
      </c>
      <c r="Q321" s="6">
        <v>0</v>
      </c>
      <c r="R321" s="6">
        <v>2</v>
      </c>
      <c r="S321" s="5"/>
      <c r="T321" s="7">
        <v>720</v>
      </c>
      <c r="U321" s="7">
        <v>940.15</v>
      </c>
      <c r="V321" s="7">
        <v>0</v>
      </c>
      <c r="W321" s="7">
        <v>940.15</v>
      </c>
      <c r="X321" s="7">
        <v>0</v>
      </c>
      <c r="Y321" s="7">
        <v>220.15</v>
      </c>
    </row>
    <row r="322" spans="1:25" ht="51" x14ac:dyDescent="0.2">
      <c r="A322" s="5" t="s">
        <v>489</v>
      </c>
      <c r="B322" s="5" t="s">
        <v>481</v>
      </c>
      <c r="C322" s="5" t="s">
        <v>237</v>
      </c>
      <c r="D322" s="5" t="s">
        <v>107</v>
      </c>
      <c r="E322" s="5" t="s">
        <v>88</v>
      </c>
      <c r="F322" s="5" t="s">
        <v>18</v>
      </c>
      <c r="G322" s="5" t="s">
        <v>89</v>
      </c>
      <c r="H322" s="5"/>
      <c r="I322" s="6">
        <v>0</v>
      </c>
      <c r="J322" s="6">
        <v>0</v>
      </c>
      <c r="K322" s="6">
        <v>0</v>
      </c>
      <c r="L322" s="6">
        <v>0</v>
      </c>
      <c r="M322" s="5"/>
      <c r="N322" s="6">
        <v>142</v>
      </c>
      <c r="O322" s="6">
        <v>2568</v>
      </c>
      <c r="P322" s="6">
        <v>2568</v>
      </c>
      <c r="Q322" s="6">
        <v>0</v>
      </c>
      <c r="R322" s="6">
        <v>2426</v>
      </c>
      <c r="S322" s="5"/>
      <c r="T322" s="7">
        <v>12780</v>
      </c>
      <c r="U322" s="7">
        <v>215178.6</v>
      </c>
      <c r="V322" s="7">
        <v>0</v>
      </c>
      <c r="W322" s="7">
        <v>215178.6</v>
      </c>
      <c r="X322" s="7">
        <v>0</v>
      </c>
      <c r="Y322" s="7">
        <v>202398.6</v>
      </c>
    </row>
    <row r="323" spans="1:25" ht="51" x14ac:dyDescent="0.2">
      <c r="A323" s="5" t="s">
        <v>490</v>
      </c>
      <c r="B323" s="5" t="s">
        <v>481</v>
      </c>
      <c r="C323" s="5" t="s">
        <v>239</v>
      </c>
      <c r="D323" s="5" t="s">
        <v>107</v>
      </c>
      <c r="E323" s="5" t="s">
        <v>88</v>
      </c>
      <c r="F323" s="5" t="s">
        <v>18</v>
      </c>
      <c r="G323" s="5" t="s">
        <v>89</v>
      </c>
      <c r="H323" s="5"/>
      <c r="I323" s="6">
        <v>0</v>
      </c>
      <c r="J323" s="6">
        <v>0</v>
      </c>
      <c r="K323" s="6">
        <v>0</v>
      </c>
      <c r="L323" s="6">
        <v>0</v>
      </c>
      <c r="M323" s="5"/>
      <c r="N323" s="6">
        <v>1228</v>
      </c>
      <c r="O323" s="6">
        <v>1466</v>
      </c>
      <c r="P323" s="6">
        <v>1466</v>
      </c>
      <c r="Q323" s="6">
        <v>0</v>
      </c>
      <c r="R323" s="6">
        <v>238</v>
      </c>
      <c r="S323" s="5"/>
      <c r="T323" s="7">
        <v>110520</v>
      </c>
      <c r="U323" s="7">
        <v>105060.2</v>
      </c>
      <c r="V323" s="7">
        <v>0</v>
      </c>
      <c r="W323" s="7">
        <v>105060.2</v>
      </c>
      <c r="X323" s="7">
        <v>0</v>
      </c>
      <c r="Y323" s="7">
        <v>-5459.8</v>
      </c>
    </row>
    <row r="324" spans="1:25" ht="51" x14ac:dyDescent="0.2">
      <c r="A324" s="5" t="s">
        <v>491</v>
      </c>
      <c r="B324" s="5" t="s">
        <v>492</v>
      </c>
      <c r="C324" s="5" t="s">
        <v>385</v>
      </c>
      <c r="D324" s="5" t="s">
        <v>493</v>
      </c>
      <c r="E324" s="5" t="s">
        <v>123</v>
      </c>
      <c r="F324" s="5" t="s">
        <v>18</v>
      </c>
      <c r="G324" s="5" t="s">
        <v>89</v>
      </c>
      <c r="H324" s="5"/>
      <c r="I324" s="6">
        <v>0</v>
      </c>
      <c r="J324" s="6">
        <v>0</v>
      </c>
      <c r="K324" s="6">
        <v>0</v>
      </c>
      <c r="L324" s="6">
        <v>0</v>
      </c>
      <c r="M324" s="5"/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5"/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</row>
    <row r="325" spans="1:25" ht="51" x14ac:dyDescent="0.2">
      <c r="A325" s="5" t="s">
        <v>494</v>
      </c>
      <c r="B325" s="5" t="s">
        <v>493</v>
      </c>
      <c r="C325" s="5" t="s">
        <v>16</v>
      </c>
      <c r="D325" s="5" t="s">
        <v>493</v>
      </c>
      <c r="E325" s="5" t="s">
        <v>123</v>
      </c>
      <c r="F325" s="5" t="s">
        <v>18</v>
      </c>
      <c r="G325" s="5" t="s">
        <v>89</v>
      </c>
      <c r="H325" s="5"/>
      <c r="I325" s="6">
        <v>0</v>
      </c>
      <c r="J325" s="6">
        <v>0</v>
      </c>
      <c r="K325" s="6">
        <v>0</v>
      </c>
      <c r="L325" s="6">
        <v>0</v>
      </c>
      <c r="M325" s="5"/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5"/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</row>
    <row r="326" spans="1:25" ht="63.75" x14ac:dyDescent="0.2">
      <c r="A326" s="5" t="s">
        <v>495</v>
      </c>
      <c r="B326" s="5" t="s">
        <v>496</v>
      </c>
      <c r="C326" s="5" t="s">
        <v>225</v>
      </c>
      <c r="D326" s="5" t="s">
        <v>493</v>
      </c>
      <c r="E326" s="5" t="s">
        <v>88</v>
      </c>
      <c r="F326" s="5" t="s">
        <v>18</v>
      </c>
      <c r="G326" s="5" t="s">
        <v>89</v>
      </c>
      <c r="H326" s="5"/>
      <c r="I326" s="6">
        <v>0</v>
      </c>
      <c r="J326" s="6">
        <v>0</v>
      </c>
      <c r="K326" s="6">
        <v>0</v>
      </c>
      <c r="L326" s="6">
        <v>0</v>
      </c>
      <c r="M326" s="5"/>
      <c r="N326" s="6">
        <v>223</v>
      </c>
      <c r="O326" s="6">
        <v>442.5</v>
      </c>
      <c r="P326" s="6">
        <v>442.5</v>
      </c>
      <c r="Q326" s="6">
        <v>0</v>
      </c>
      <c r="R326" s="6">
        <v>219.5</v>
      </c>
      <c r="S326" s="5"/>
      <c r="T326" s="7">
        <v>20070</v>
      </c>
      <c r="U326" s="7">
        <v>35398.81</v>
      </c>
      <c r="V326" s="7">
        <v>0</v>
      </c>
      <c r="W326" s="7">
        <v>35398.81</v>
      </c>
      <c r="X326" s="7">
        <v>0</v>
      </c>
      <c r="Y326" s="7">
        <v>15328.81</v>
      </c>
    </row>
    <row r="327" spans="1:25" ht="63.75" x14ac:dyDescent="0.2">
      <c r="A327" s="5" t="s">
        <v>497</v>
      </c>
      <c r="B327" s="5" t="s">
        <v>496</v>
      </c>
      <c r="C327" s="5" t="s">
        <v>227</v>
      </c>
      <c r="D327" s="5" t="s">
        <v>493</v>
      </c>
      <c r="E327" s="5" t="s">
        <v>88</v>
      </c>
      <c r="F327" s="5" t="s">
        <v>18</v>
      </c>
      <c r="G327" s="5" t="s">
        <v>89</v>
      </c>
      <c r="H327" s="5"/>
      <c r="I327" s="6">
        <v>0</v>
      </c>
      <c r="J327" s="6">
        <v>0</v>
      </c>
      <c r="K327" s="6">
        <v>0</v>
      </c>
      <c r="L327" s="6">
        <v>0</v>
      </c>
      <c r="M327" s="5"/>
      <c r="N327" s="6">
        <v>243</v>
      </c>
      <c r="O327" s="6">
        <v>774</v>
      </c>
      <c r="P327" s="6">
        <v>774</v>
      </c>
      <c r="Q327" s="6">
        <v>0</v>
      </c>
      <c r="R327" s="6">
        <v>531</v>
      </c>
      <c r="S327" s="5"/>
      <c r="T327" s="7">
        <v>21720</v>
      </c>
      <c r="U327" s="7">
        <v>66633.38</v>
      </c>
      <c r="V327" s="7">
        <v>0</v>
      </c>
      <c r="W327" s="7">
        <v>66633.38</v>
      </c>
      <c r="X327" s="7">
        <v>0</v>
      </c>
      <c r="Y327" s="7">
        <v>44913.38</v>
      </c>
    </row>
    <row r="328" spans="1:25" ht="63.75" x14ac:dyDescent="0.2">
      <c r="A328" s="5" t="s">
        <v>498</v>
      </c>
      <c r="B328" s="5" t="s">
        <v>496</v>
      </c>
      <c r="C328" s="5" t="s">
        <v>229</v>
      </c>
      <c r="D328" s="5" t="s">
        <v>493</v>
      </c>
      <c r="E328" s="5" t="s">
        <v>88</v>
      </c>
      <c r="F328" s="5" t="s">
        <v>18</v>
      </c>
      <c r="G328" s="5" t="s">
        <v>89</v>
      </c>
      <c r="H328" s="5"/>
      <c r="I328" s="6">
        <v>0</v>
      </c>
      <c r="J328" s="6">
        <v>0</v>
      </c>
      <c r="K328" s="6">
        <v>0</v>
      </c>
      <c r="L328" s="6">
        <v>0</v>
      </c>
      <c r="M328" s="5"/>
      <c r="N328" s="6">
        <v>149</v>
      </c>
      <c r="O328" s="6">
        <v>379</v>
      </c>
      <c r="P328" s="6">
        <v>379</v>
      </c>
      <c r="Q328" s="6">
        <v>0</v>
      </c>
      <c r="R328" s="6">
        <v>230</v>
      </c>
      <c r="S328" s="5"/>
      <c r="T328" s="7">
        <v>13377.5</v>
      </c>
      <c r="U328" s="7">
        <v>34418.26</v>
      </c>
      <c r="V328" s="7">
        <v>0</v>
      </c>
      <c r="W328" s="7">
        <v>34418.26</v>
      </c>
      <c r="X328" s="7">
        <v>0</v>
      </c>
      <c r="Y328" s="7">
        <v>21040.76</v>
      </c>
    </row>
    <row r="329" spans="1:25" ht="63.75" x14ac:dyDescent="0.2">
      <c r="A329" s="5" t="s">
        <v>499</v>
      </c>
      <c r="B329" s="5" t="s">
        <v>496</v>
      </c>
      <c r="C329" s="5" t="s">
        <v>231</v>
      </c>
      <c r="D329" s="5" t="s">
        <v>493</v>
      </c>
      <c r="E329" s="5" t="s">
        <v>88</v>
      </c>
      <c r="F329" s="5" t="s">
        <v>18</v>
      </c>
      <c r="G329" s="5" t="s">
        <v>89</v>
      </c>
      <c r="H329" s="5"/>
      <c r="I329" s="6">
        <v>0</v>
      </c>
      <c r="J329" s="6">
        <v>0</v>
      </c>
      <c r="K329" s="6">
        <v>0</v>
      </c>
      <c r="L329" s="6">
        <v>0</v>
      </c>
      <c r="M329" s="5"/>
      <c r="N329" s="6">
        <v>109</v>
      </c>
      <c r="O329" s="6">
        <v>637</v>
      </c>
      <c r="P329" s="6">
        <v>637</v>
      </c>
      <c r="Q329" s="6">
        <v>0</v>
      </c>
      <c r="R329" s="6">
        <v>528</v>
      </c>
      <c r="S329" s="5"/>
      <c r="T329" s="7">
        <v>9751.5</v>
      </c>
      <c r="U329" s="7">
        <v>57975.01</v>
      </c>
      <c r="V329" s="7">
        <v>0</v>
      </c>
      <c r="W329" s="7">
        <v>57975.01</v>
      </c>
      <c r="X329" s="7">
        <v>0</v>
      </c>
      <c r="Y329" s="7">
        <v>48223.51</v>
      </c>
    </row>
    <row r="330" spans="1:25" ht="63.75" x14ac:dyDescent="0.2">
      <c r="A330" s="5" t="s">
        <v>500</v>
      </c>
      <c r="B330" s="5" t="s">
        <v>496</v>
      </c>
      <c r="C330" s="5" t="s">
        <v>233</v>
      </c>
      <c r="D330" s="5" t="s">
        <v>493</v>
      </c>
      <c r="E330" s="5" t="s">
        <v>88</v>
      </c>
      <c r="F330" s="5" t="s">
        <v>18</v>
      </c>
      <c r="G330" s="5" t="s">
        <v>89</v>
      </c>
      <c r="H330" s="5"/>
      <c r="I330" s="6">
        <v>0</v>
      </c>
      <c r="J330" s="6">
        <v>0</v>
      </c>
      <c r="K330" s="6">
        <v>0</v>
      </c>
      <c r="L330" s="6">
        <v>0</v>
      </c>
      <c r="M330" s="5"/>
      <c r="N330" s="6">
        <v>11</v>
      </c>
      <c r="O330" s="6">
        <v>40</v>
      </c>
      <c r="P330" s="6">
        <v>40</v>
      </c>
      <c r="Q330" s="6">
        <v>0</v>
      </c>
      <c r="R330" s="6">
        <v>29</v>
      </c>
      <c r="S330" s="5"/>
      <c r="T330" s="7">
        <v>990</v>
      </c>
      <c r="U330" s="7">
        <v>3401.11</v>
      </c>
      <c r="V330" s="7">
        <v>0</v>
      </c>
      <c r="W330" s="7">
        <v>3401.11</v>
      </c>
      <c r="X330" s="7">
        <v>0</v>
      </c>
      <c r="Y330" s="7">
        <v>2411.11</v>
      </c>
    </row>
    <row r="331" spans="1:25" ht="63.75" x14ac:dyDescent="0.2">
      <c r="A331" s="5" t="s">
        <v>501</v>
      </c>
      <c r="B331" s="5" t="s">
        <v>496</v>
      </c>
      <c r="C331" s="5" t="s">
        <v>235</v>
      </c>
      <c r="D331" s="5" t="s">
        <v>493</v>
      </c>
      <c r="E331" s="5" t="s">
        <v>88</v>
      </c>
      <c r="F331" s="5" t="s">
        <v>18</v>
      </c>
      <c r="G331" s="5" t="s">
        <v>89</v>
      </c>
      <c r="H331" s="5"/>
      <c r="I331" s="6">
        <v>0</v>
      </c>
      <c r="J331" s="6">
        <v>0</v>
      </c>
      <c r="K331" s="6">
        <v>0</v>
      </c>
      <c r="L331" s="6">
        <v>0</v>
      </c>
      <c r="M331" s="5"/>
      <c r="N331" s="6">
        <v>16</v>
      </c>
      <c r="O331" s="6">
        <v>99</v>
      </c>
      <c r="P331" s="6">
        <v>99</v>
      </c>
      <c r="Q331" s="6">
        <v>0</v>
      </c>
      <c r="R331" s="6">
        <v>83</v>
      </c>
      <c r="S331" s="5"/>
      <c r="T331" s="7">
        <v>1440</v>
      </c>
      <c r="U331" s="7">
        <v>7847.84</v>
      </c>
      <c r="V331" s="7">
        <v>0</v>
      </c>
      <c r="W331" s="7">
        <v>7847.84</v>
      </c>
      <c r="X331" s="7">
        <v>0</v>
      </c>
      <c r="Y331" s="7">
        <v>6407.84</v>
      </c>
    </row>
    <row r="332" spans="1:25" ht="63.75" x14ac:dyDescent="0.2">
      <c r="A332" s="5" t="s">
        <v>502</v>
      </c>
      <c r="B332" s="5" t="s">
        <v>503</v>
      </c>
      <c r="C332" s="5" t="s">
        <v>237</v>
      </c>
      <c r="D332" s="5" t="s">
        <v>493</v>
      </c>
      <c r="E332" s="5" t="s">
        <v>88</v>
      </c>
      <c r="F332" s="5" t="s">
        <v>18</v>
      </c>
      <c r="G332" s="5" t="s">
        <v>89</v>
      </c>
      <c r="H332" s="5"/>
      <c r="I332" s="6">
        <v>0</v>
      </c>
      <c r="J332" s="6">
        <v>0</v>
      </c>
      <c r="K332" s="6">
        <v>0</v>
      </c>
      <c r="L332" s="6">
        <v>0</v>
      </c>
      <c r="M332" s="5"/>
      <c r="N332" s="6">
        <v>307</v>
      </c>
      <c r="O332" s="6">
        <v>2371</v>
      </c>
      <c r="P332" s="6">
        <v>2371</v>
      </c>
      <c r="Q332" s="6">
        <v>0</v>
      </c>
      <c r="R332" s="6">
        <v>2064</v>
      </c>
      <c r="S332" s="5"/>
      <c r="T332" s="7">
        <v>27630</v>
      </c>
      <c r="U332" s="7">
        <v>206123.11</v>
      </c>
      <c r="V332" s="7">
        <v>0</v>
      </c>
      <c r="W332" s="7">
        <v>206123.11</v>
      </c>
      <c r="X332" s="7">
        <v>0</v>
      </c>
      <c r="Y332" s="7">
        <v>178493.11</v>
      </c>
    </row>
    <row r="333" spans="1:25" ht="63.75" x14ac:dyDescent="0.2">
      <c r="A333" s="5" t="s">
        <v>504</v>
      </c>
      <c r="B333" s="5" t="s">
        <v>503</v>
      </c>
      <c r="C333" s="5" t="s">
        <v>239</v>
      </c>
      <c r="D333" s="5" t="s">
        <v>493</v>
      </c>
      <c r="E333" s="5" t="s">
        <v>88</v>
      </c>
      <c r="F333" s="5" t="s">
        <v>18</v>
      </c>
      <c r="G333" s="5" t="s">
        <v>89</v>
      </c>
      <c r="H333" s="5"/>
      <c r="I333" s="6">
        <v>0</v>
      </c>
      <c r="J333" s="6">
        <v>0</v>
      </c>
      <c r="K333" s="6">
        <v>0</v>
      </c>
      <c r="L333" s="6">
        <v>0</v>
      </c>
      <c r="M333" s="5"/>
      <c r="N333" s="6">
        <v>139</v>
      </c>
      <c r="O333" s="6">
        <v>477</v>
      </c>
      <c r="P333" s="6">
        <v>477</v>
      </c>
      <c r="Q333" s="6">
        <v>0</v>
      </c>
      <c r="R333" s="6">
        <v>338</v>
      </c>
      <c r="S333" s="5"/>
      <c r="T333" s="7">
        <v>12510</v>
      </c>
      <c r="U333" s="7">
        <v>42345.97</v>
      </c>
      <c r="V333" s="7">
        <v>0</v>
      </c>
      <c r="W333" s="7">
        <v>42345.97</v>
      </c>
      <c r="X333" s="7">
        <v>0</v>
      </c>
      <c r="Y333" s="7">
        <v>29835.97</v>
      </c>
    </row>
    <row r="334" spans="1:25" ht="51" x14ac:dyDescent="0.2">
      <c r="A334" s="5" t="s">
        <v>505</v>
      </c>
      <c r="B334" s="5" t="s">
        <v>51</v>
      </c>
      <c r="C334" s="5" t="s">
        <v>225</v>
      </c>
      <c r="D334" s="5" t="s">
        <v>506</v>
      </c>
      <c r="E334" s="5" t="s">
        <v>88</v>
      </c>
      <c r="F334" s="5" t="s">
        <v>18</v>
      </c>
      <c r="G334" s="5" t="s">
        <v>89</v>
      </c>
      <c r="H334" s="5"/>
      <c r="I334" s="6">
        <v>0</v>
      </c>
      <c r="J334" s="6">
        <v>0</v>
      </c>
      <c r="K334" s="6">
        <v>0</v>
      </c>
      <c r="L334" s="6">
        <v>0</v>
      </c>
      <c r="M334" s="5"/>
      <c r="N334" s="6">
        <v>407</v>
      </c>
      <c r="O334" s="6">
        <v>452</v>
      </c>
      <c r="P334" s="6">
        <v>452</v>
      </c>
      <c r="Q334" s="6">
        <v>0</v>
      </c>
      <c r="R334" s="6">
        <v>45</v>
      </c>
      <c r="S334" s="5"/>
      <c r="T334" s="7">
        <v>36630</v>
      </c>
      <c r="U334" s="7">
        <v>28915.18</v>
      </c>
      <c r="V334" s="7">
        <v>0</v>
      </c>
      <c r="W334" s="7">
        <v>28915.18</v>
      </c>
      <c r="X334" s="7">
        <v>0</v>
      </c>
      <c r="Y334" s="7">
        <v>-7714.82</v>
      </c>
    </row>
    <row r="335" spans="1:25" ht="51" x14ac:dyDescent="0.2">
      <c r="A335" s="5" t="s">
        <v>507</v>
      </c>
      <c r="B335" s="5" t="s">
        <v>51</v>
      </c>
      <c r="C335" s="5" t="s">
        <v>122</v>
      </c>
      <c r="D335" s="5" t="s">
        <v>506</v>
      </c>
      <c r="E335" s="5" t="s">
        <v>88</v>
      </c>
      <c r="F335" s="5" t="s">
        <v>18</v>
      </c>
      <c r="G335" s="5" t="s">
        <v>89</v>
      </c>
      <c r="H335" s="5"/>
      <c r="I335" s="6">
        <v>0</v>
      </c>
      <c r="J335" s="6">
        <v>0</v>
      </c>
      <c r="K335" s="6">
        <v>0</v>
      </c>
      <c r="L335" s="6">
        <v>0</v>
      </c>
      <c r="M335" s="5"/>
      <c r="N335" s="6">
        <v>5</v>
      </c>
      <c r="O335" s="6">
        <v>0</v>
      </c>
      <c r="P335" s="6">
        <v>0</v>
      </c>
      <c r="Q335" s="6">
        <v>0</v>
      </c>
      <c r="R335" s="6">
        <v>-5</v>
      </c>
      <c r="S335" s="5"/>
      <c r="T335" s="7">
        <v>450</v>
      </c>
      <c r="U335" s="7">
        <v>0</v>
      </c>
      <c r="V335" s="7">
        <v>0</v>
      </c>
      <c r="W335" s="7">
        <v>0</v>
      </c>
      <c r="X335" s="7">
        <v>0</v>
      </c>
      <c r="Y335" s="7">
        <v>-450</v>
      </c>
    </row>
    <row r="336" spans="1:25" ht="51" x14ac:dyDescent="0.2">
      <c r="A336" s="5" t="s">
        <v>508</v>
      </c>
      <c r="B336" s="5" t="s">
        <v>51</v>
      </c>
      <c r="C336" s="5" t="s">
        <v>227</v>
      </c>
      <c r="D336" s="5" t="s">
        <v>506</v>
      </c>
      <c r="E336" s="5" t="s">
        <v>88</v>
      </c>
      <c r="F336" s="5" t="s">
        <v>18</v>
      </c>
      <c r="G336" s="5" t="s">
        <v>89</v>
      </c>
      <c r="H336" s="5"/>
      <c r="I336" s="6">
        <v>0</v>
      </c>
      <c r="J336" s="6">
        <v>0</v>
      </c>
      <c r="K336" s="6">
        <v>0</v>
      </c>
      <c r="L336" s="6">
        <v>0</v>
      </c>
      <c r="M336" s="5"/>
      <c r="N336" s="6">
        <v>280</v>
      </c>
      <c r="O336" s="6">
        <v>576</v>
      </c>
      <c r="P336" s="6">
        <v>576</v>
      </c>
      <c r="Q336" s="6">
        <v>0</v>
      </c>
      <c r="R336" s="6">
        <v>296</v>
      </c>
      <c r="S336" s="5"/>
      <c r="T336" s="7">
        <v>25200</v>
      </c>
      <c r="U336" s="7">
        <v>41520.18</v>
      </c>
      <c r="V336" s="7">
        <v>0</v>
      </c>
      <c r="W336" s="7">
        <v>41520.18</v>
      </c>
      <c r="X336" s="7">
        <v>0</v>
      </c>
      <c r="Y336" s="7">
        <v>16320.18</v>
      </c>
    </row>
    <row r="337" spans="1:25" ht="51" x14ac:dyDescent="0.2">
      <c r="A337" s="5" t="s">
        <v>509</v>
      </c>
      <c r="B337" s="5" t="s">
        <v>51</v>
      </c>
      <c r="C337" s="5" t="s">
        <v>229</v>
      </c>
      <c r="D337" s="5" t="s">
        <v>506</v>
      </c>
      <c r="E337" s="5" t="s">
        <v>88</v>
      </c>
      <c r="F337" s="5" t="s">
        <v>18</v>
      </c>
      <c r="G337" s="5" t="s">
        <v>89</v>
      </c>
      <c r="H337" s="5"/>
      <c r="I337" s="6">
        <v>0</v>
      </c>
      <c r="J337" s="6">
        <v>0</v>
      </c>
      <c r="K337" s="6">
        <v>0</v>
      </c>
      <c r="L337" s="6">
        <v>0</v>
      </c>
      <c r="M337" s="5"/>
      <c r="N337" s="6">
        <v>177</v>
      </c>
      <c r="O337" s="6">
        <v>800</v>
      </c>
      <c r="P337" s="6">
        <v>800</v>
      </c>
      <c r="Q337" s="6">
        <v>0</v>
      </c>
      <c r="R337" s="6">
        <v>623</v>
      </c>
      <c r="S337" s="5"/>
      <c r="T337" s="7">
        <v>15930</v>
      </c>
      <c r="U337" s="7">
        <v>54408.76</v>
      </c>
      <c r="V337" s="7">
        <v>0</v>
      </c>
      <c r="W337" s="7">
        <v>54408.76</v>
      </c>
      <c r="X337" s="7">
        <v>0</v>
      </c>
      <c r="Y337" s="7">
        <v>38478.76</v>
      </c>
    </row>
    <row r="338" spans="1:25" ht="51" x14ac:dyDescent="0.2">
      <c r="A338" s="5" t="s">
        <v>510</v>
      </c>
      <c r="B338" s="5" t="s">
        <v>51</v>
      </c>
      <c r="C338" s="5" t="s">
        <v>231</v>
      </c>
      <c r="D338" s="5" t="s">
        <v>506</v>
      </c>
      <c r="E338" s="5" t="s">
        <v>88</v>
      </c>
      <c r="F338" s="5" t="s">
        <v>18</v>
      </c>
      <c r="G338" s="5" t="s">
        <v>89</v>
      </c>
      <c r="H338" s="5"/>
      <c r="I338" s="6">
        <v>0</v>
      </c>
      <c r="J338" s="6">
        <v>0</v>
      </c>
      <c r="K338" s="6">
        <v>0</v>
      </c>
      <c r="L338" s="6">
        <v>0</v>
      </c>
      <c r="M338" s="5"/>
      <c r="N338" s="6">
        <v>174</v>
      </c>
      <c r="O338" s="6">
        <v>320</v>
      </c>
      <c r="P338" s="6">
        <v>320</v>
      </c>
      <c r="Q338" s="6">
        <v>0</v>
      </c>
      <c r="R338" s="6">
        <v>146</v>
      </c>
      <c r="S338" s="5"/>
      <c r="T338" s="7">
        <v>15660</v>
      </c>
      <c r="U338" s="7">
        <v>25036.2</v>
      </c>
      <c r="V338" s="7">
        <v>0</v>
      </c>
      <c r="W338" s="7">
        <v>25036.2</v>
      </c>
      <c r="X338" s="7">
        <v>0</v>
      </c>
      <c r="Y338" s="7">
        <v>9376.2000000000007</v>
      </c>
    </row>
    <row r="339" spans="1:25" ht="51" x14ac:dyDescent="0.2">
      <c r="A339" s="5" t="s">
        <v>511</v>
      </c>
      <c r="B339" s="5" t="s">
        <v>51</v>
      </c>
      <c r="C339" s="5" t="s">
        <v>233</v>
      </c>
      <c r="D339" s="5" t="s">
        <v>506</v>
      </c>
      <c r="E339" s="5" t="s">
        <v>88</v>
      </c>
      <c r="F339" s="5" t="s">
        <v>18</v>
      </c>
      <c r="G339" s="5" t="s">
        <v>89</v>
      </c>
      <c r="H339" s="5"/>
      <c r="I339" s="6">
        <v>0</v>
      </c>
      <c r="J339" s="6">
        <v>0</v>
      </c>
      <c r="K339" s="6">
        <v>0</v>
      </c>
      <c r="L339" s="6">
        <v>0</v>
      </c>
      <c r="M339" s="5"/>
      <c r="N339" s="6">
        <v>24</v>
      </c>
      <c r="O339" s="6">
        <v>14</v>
      </c>
      <c r="P339" s="6">
        <v>14</v>
      </c>
      <c r="Q339" s="6">
        <v>0</v>
      </c>
      <c r="R339" s="6">
        <v>-10</v>
      </c>
      <c r="S339" s="5"/>
      <c r="T339" s="7">
        <v>2160</v>
      </c>
      <c r="U339" s="7">
        <v>1374.51</v>
      </c>
      <c r="V339" s="7">
        <v>0</v>
      </c>
      <c r="W339" s="7">
        <v>1374.51</v>
      </c>
      <c r="X339" s="7">
        <v>0</v>
      </c>
      <c r="Y339" s="7">
        <v>-785.49</v>
      </c>
    </row>
    <row r="340" spans="1:25" ht="51" x14ac:dyDescent="0.2">
      <c r="A340" s="5" t="s">
        <v>512</v>
      </c>
      <c r="B340" s="5" t="s">
        <v>51</v>
      </c>
      <c r="C340" s="5" t="s">
        <v>235</v>
      </c>
      <c r="D340" s="5" t="s">
        <v>506</v>
      </c>
      <c r="E340" s="5" t="s">
        <v>88</v>
      </c>
      <c r="F340" s="5" t="s">
        <v>18</v>
      </c>
      <c r="G340" s="5" t="s">
        <v>89</v>
      </c>
      <c r="H340" s="5"/>
      <c r="I340" s="6">
        <v>0</v>
      </c>
      <c r="J340" s="6">
        <v>0</v>
      </c>
      <c r="K340" s="6">
        <v>0</v>
      </c>
      <c r="L340" s="6">
        <v>0</v>
      </c>
      <c r="M340" s="5"/>
      <c r="N340" s="6">
        <v>14</v>
      </c>
      <c r="O340" s="6">
        <v>10</v>
      </c>
      <c r="P340" s="6">
        <v>10</v>
      </c>
      <c r="Q340" s="6">
        <v>0</v>
      </c>
      <c r="R340" s="6">
        <v>-4</v>
      </c>
      <c r="S340" s="5"/>
      <c r="T340" s="7">
        <v>1260</v>
      </c>
      <c r="U340" s="7">
        <v>940.16</v>
      </c>
      <c r="V340" s="7">
        <v>0</v>
      </c>
      <c r="W340" s="7">
        <v>940.16</v>
      </c>
      <c r="X340" s="7">
        <v>0</v>
      </c>
      <c r="Y340" s="7">
        <v>-319.83999999999997</v>
      </c>
    </row>
    <row r="341" spans="1:25" ht="51" x14ac:dyDescent="0.2">
      <c r="A341" s="5" t="s">
        <v>513</v>
      </c>
      <c r="B341" s="5" t="s">
        <v>51</v>
      </c>
      <c r="C341" s="5" t="s">
        <v>237</v>
      </c>
      <c r="D341" s="5" t="s">
        <v>506</v>
      </c>
      <c r="E341" s="5" t="s">
        <v>88</v>
      </c>
      <c r="F341" s="5" t="s">
        <v>18</v>
      </c>
      <c r="G341" s="5" t="s">
        <v>89</v>
      </c>
      <c r="H341" s="5"/>
      <c r="I341" s="6">
        <v>0</v>
      </c>
      <c r="J341" s="6">
        <v>0</v>
      </c>
      <c r="K341" s="6">
        <v>0</v>
      </c>
      <c r="L341" s="6">
        <v>0</v>
      </c>
      <c r="M341" s="5"/>
      <c r="N341" s="6">
        <v>558</v>
      </c>
      <c r="O341" s="6">
        <v>861</v>
      </c>
      <c r="P341" s="6">
        <v>890</v>
      </c>
      <c r="Q341" s="6">
        <v>29</v>
      </c>
      <c r="R341" s="6">
        <v>332</v>
      </c>
      <c r="S341" s="5"/>
      <c r="T341" s="7">
        <v>50220</v>
      </c>
      <c r="U341" s="7">
        <v>67983.850000000006</v>
      </c>
      <c r="V341" s="7">
        <v>0</v>
      </c>
      <c r="W341" s="7">
        <v>71149.75</v>
      </c>
      <c r="X341" s="7">
        <v>3165.9</v>
      </c>
      <c r="Y341" s="7">
        <v>20929.75</v>
      </c>
    </row>
    <row r="342" spans="1:25" ht="51" x14ac:dyDescent="0.2">
      <c r="A342" s="5" t="s">
        <v>514</v>
      </c>
      <c r="B342" s="5" t="s">
        <v>51</v>
      </c>
      <c r="C342" s="5" t="s">
        <v>239</v>
      </c>
      <c r="D342" s="5" t="s">
        <v>506</v>
      </c>
      <c r="E342" s="5" t="s">
        <v>88</v>
      </c>
      <c r="F342" s="5" t="s">
        <v>18</v>
      </c>
      <c r="G342" s="5" t="s">
        <v>89</v>
      </c>
      <c r="H342" s="5"/>
      <c r="I342" s="6">
        <v>0</v>
      </c>
      <c r="J342" s="6">
        <v>0</v>
      </c>
      <c r="K342" s="6">
        <v>0</v>
      </c>
      <c r="L342" s="6">
        <v>0</v>
      </c>
      <c r="M342" s="5"/>
      <c r="N342" s="6">
        <v>247</v>
      </c>
      <c r="O342" s="6">
        <v>190</v>
      </c>
      <c r="P342" s="6">
        <v>190</v>
      </c>
      <c r="Q342" s="6">
        <v>0</v>
      </c>
      <c r="R342" s="6">
        <v>-57</v>
      </c>
      <c r="S342" s="5"/>
      <c r="T342" s="7">
        <v>22230</v>
      </c>
      <c r="U342" s="7">
        <v>12289.58</v>
      </c>
      <c r="V342" s="7">
        <v>0</v>
      </c>
      <c r="W342" s="7">
        <v>12289.58</v>
      </c>
      <c r="X342" s="7">
        <v>0</v>
      </c>
      <c r="Y342" s="7">
        <v>-9940.42</v>
      </c>
    </row>
    <row r="343" spans="1:25" ht="51" x14ac:dyDescent="0.2">
      <c r="A343" s="5" t="s">
        <v>515</v>
      </c>
      <c r="B343" s="5" t="s">
        <v>50</v>
      </c>
      <c r="C343" s="5" t="s">
        <v>16</v>
      </c>
      <c r="D343" s="5" t="s">
        <v>22</v>
      </c>
      <c r="E343" s="5" t="s">
        <v>123</v>
      </c>
      <c r="F343" s="5" t="s">
        <v>18</v>
      </c>
      <c r="G343" s="5" t="s">
        <v>89</v>
      </c>
      <c r="H343" s="5"/>
      <c r="I343" s="6">
        <v>0</v>
      </c>
      <c r="J343" s="6">
        <v>0</v>
      </c>
      <c r="K343" s="6">
        <v>0</v>
      </c>
      <c r="L343" s="6">
        <v>0</v>
      </c>
      <c r="M343" s="5"/>
      <c r="N343" s="6">
        <v>73</v>
      </c>
      <c r="O343" s="6">
        <v>838</v>
      </c>
      <c r="P343" s="6">
        <v>878</v>
      </c>
      <c r="Q343" s="6">
        <v>40</v>
      </c>
      <c r="R343" s="6">
        <v>805</v>
      </c>
      <c r="S343" s="5"/>
      <c r="T343" s="7">
        <v>6863.5</v>
      </c>
      <c r="U343" s="7">
        <v>65884.289999999994</v>
      </c>
      <c r="V343" s="7">
        <v>0</v>
      </c>
      <c r="W343" s="7">
        <v>69684.289999999994</v>
      </c>
      <c r="X343" s="7">
        <v>3800</v>
      </c>
      <c r="Y343" s="7">
        <v>62820.79</v>
      </c>
    </row>
    <row r="344" spans="1:25" ht="51" x14ac:dyDescent="0.2">
      <c r="A344" s="5" t="s">
        <v>516</v>
      </c>
      <c r="B344" s="5" t="s">
        <v>517</v>
      </c>
      <c r="C344" s="5" t="s">
        <v>16</v>
      </c>
      <c r="D344" s="5" t="s">
        <v>104</v>
      </c>
      <c r="E344" s="5" t="s">
        <v>123</v>
      </c>
      <c r="F344" s="5" t="s">
        <v>18</v>
      </c>
      <c r="G344" s="5" t="s">
        <v>89</v>
      </c>
      <c r="H344" s="5"/>
      <c r="I344" s="6">
        <v>0</v>
      </c>
      <c r="J344" s="6">
        <v>0</v>
      </c>
      <c r="K344" s="6">
        <v>0</v>
      </c>
      <c r="L344" s="6">
        <v>0</v>
      </c>
      <c r="M344" s="5"/>
      <c r="N344" s="6">
        <v>847</v>
      </c>
      <c r="O344" s="6">
        <v>815</v>
      </c>
      <c r="P344" s="6">
        <v>847</v>
      </c>
      <c r="Q344" s="6">
        <v>32</v>
      </c>
      <c r="R344" s="6">
        <v>0</v>
      </c>
      <c r="S344" s="5"/>
      <c r="T344" s="7">
        <v>76230</v>
      </c>
      <c r="U344" s="7">
        <v>64089.67</v>
      </c>
      <c r="V344" s="7">
        <v>0</v>
      </c>
      <c r="W344" s="7">
        <v>67091.59</v>
      </c>
      <c r="X344" s="7">
        <v>3001.92</v>
      </c>
      <c r="Y344" s="7">
        <v>-9138.41</v>
      </c>
    </row>
    <row r="345" spans="1:25" ht="51" x14ac:dyDescent="0.2">
      <c r="A345" s="5" t="s">
        <v>518</v>
      </c>
      <c r="B345" s="5" t="s">
        <v>47</v>
      </c>
      <c r="C345" s="5" t="s">
        <v>16</v>
      </c>
      <c r="D345" s="5" t="s">
        <v>22</v>
      </c>
      <c r="E345" s="5" t="s">
        <v>123</v>
      </c>
      <c r="F345" s="5" t="s">
        <v>18</v>
      </c>
      <c r="G345" s="5" t="s">
        <v>89</v>
      </c>
      <c r="H345" s="5"/>
      <c r="I345" s="6">
        <v>0</v>
      </c>
      <c r="J345" s="6">
        <v>0</v>
      </c>
      <c r="K345" s="6">
        <v>0</v>
      </c>
      <c r="L345" s="6">
        <v>0</v>
      </c>
      <c r="M345" s="5"/>
      <c r="N345" s="6">
        <v>408</v>
      </c>
      <c r="O345" s="6">
        <v>113</v>
      </c>
      <c r="P345" s="6">
        <v>368</v>
      </c>
      <c r="Q345" s="6">
        <v>255</v>
      </c>
      <c r="R345" s="6">
        <v>-40</v>
      </c>
      <c r="S345" s="5"/>
      <c r="T345" s="7">
        <v>36720</v>
      </c>
      <c r="U345" s="7">
        <v>10857.67</v>
      </c>
      <c r="V345" s="7">
        <v>0</v>
      </c>
      <c r="W345" s="7">
        <v>34553.79</v>
      </c>
      <c r="X345" s="7">
        <v>23696.12</v>
      </c>
      <c r="Y345" s="7">
        <v>-2166.21</v>
      </c>
    </row>
    <row r="346" spans="1:25" ht="51" x14ac:dyDescent="0.2">
      <c r="A346" s="5" t="s">
        <v>519</v>
      </c>
      <c r="B346" s="5" t="s">
        <v>520</v>
      </c>
      <c r="C346" s="5" t="s">
        <v>16</v>
      </c>
      <c r="D346" s="5" t="s">
        <v>22</v>
      </c>
      <c r="E346" s="5" t="s">
        <v>123</v>
      </c>
      <c r="F346" s="5" t="s">
        <v>18</v>
      </c>
      <c r="G346" s="5" t="s">
        <v>89</v>
      </c>
      <c r="H346" s="5"/>
      <c r="I346" s="6">
        <v>0</v>
      </c>
      <c r="J346" s="6">
        <v>0</v>
      </c>
      <c r="K346" s="6">
        <v>0</v>
      </c>
      <c r="L346" s="6">
        <v>0</v>
      </c>
      <c r="M346" s="5"/>
      <c r="N346" s="6">
        <v>0</v>
      </c>
      <c r="O346" s="6">
        <v>543</v>
      </c>
      <c r="P346" s="6">
        <v>543</v>
      </c>
      <c r="Q346" s="6">
        <v>0</v>
      </c>
      <c r="R346" s="6">
        <v>543</v>
      </c>
      <c r="S346" s="5"/>
      <c r="T346" s="7">
        <v>0</v>
      </c>
      <c r="U346" s="7">
        <v>50911.57</v>
      </c>
      <c r="V346" s="7">
        <v>0</v>
      </c>
      <c r="W346" s="7">
        <v>50911.57</v>
      </c>
      <c r="X346" s="7">
        <v>0</v>
      </c>
      <c r="Y346" s="7">
        <v>50911.57</v>
      </c>
    </row>
    <row r="347" spans="1:25" ht="51" x14ac:dyDescent="0.2">
      <c r="A347" s="5" t="s">
        <v>521</v>
      </c>
      <c r="B347" s="5" t="s">
        <v>522</v>
      </c>
      <c r="C347" s="5" t="s">
        <v>225</v>
      </c>
      <c r="D347" s="5" t="s">
        <v>523</v>
      </c>
      <c r="E347" s="5" t="s">
        <v>88</v>
      </c>
      <c r="F347" s="5" t="s">
        <v>18</v>
      </c>
      <c r="G347" s="5" t="s">
        <v>89</v>
      </c>
      <c r="H347" s="5"/>
      <c r="I347" s="6">
        <v>0</v>
      </c>
      <c r="J347" s="6">
        <v>0</v>
      </c>
      <c r="K347" s="6">
        <v>0</v>
      </c>
      <c r="L347" s="6">
        <v>0</v>
      </c>
      <c r="M347" s="5"/>
      <c r="N347" s="6">
        <v>149</v>
      </c>
      <c r="O347" s="6">
        <v>84</v>
      </c>
      <c r="P347" s="6">
        <v>84</v>
      </c>
      <c r="Q347" s="6">
        <v>0</v>
      </c>
      <c r="R347" s="6">
        <v>-65</v>
      </c>
      <c r="S347" s="5"/>
      <c r="T347" s="7">
        <v>13410</v>
      </c>
      <c r="U347" s="7">
        <v>8236.65</v>
      </c>
      <c r="V347" s="7">
        <v>0</v>
      </c>
      <c r="W347" s="7">
        <v>8236.65</v>
      </c>
      <c r="X347" s="7">
        <v>0</v>
      </c>
      <c r="Y347" s="7">
        <v>-5173.3500000000004</v>
      </c>
    </row>
    <row r="348" spans="1:25" ht="51" x14ac:dyDescent="0.2">
      <c r="A348" s="5" t="s">
        <v>524</v>
      </c>
      <c r="B348" s="5" t="s">
        <v>525</v>
      </c>
      <c r="C348" s="5" t="s">
        <v>16</v>
      </c>
      <c r="D348" s="5" t="s">
        <v>104</v>
      </c>
      <c r="E348" s="5" t="s">
        <v>123</v>
      </c>
      <c r="F348" s="5" t="s">
        <v>18</v>
      </c>
      <c r="G348" s="5" t="s">
        <v>89</v>
      </c>
      <c r="H348" s="5"/>
      <c r="I348" s="6">
        <v>0</v>
      </c>
      <c r="J348" s="6">
        <v>0</v>
      </c>
      <c r="K348" s="6">
        <v>0</v>
      </c>
      <c r="L348" s="6">
        <v>0</v>
      </c>
      <c r="M348" s="5"/>
      <c r="N348" s="6">
        <v>0</v>
      </c>
      <c r="O348" s="6">
        <v>188</v>
      </c>
      <c r="P348" s="6">
        <v>188</v>
      </c>
      <c r="Q348" s="6">
        <v>0</v>
      </c>
      <c r="R348" s="6">
        <v>188</v>
      </c>
      <c r="S348" s="5"/>
      <c r="T348" s="7">
        <v>0</v>
      </c>
      <c r="U348" s="7">
        <v>17455.3</v>
      </c>
      <c r="V348" s="7">
        <v>0</v>
      </c>
      <c r="W348" s="7">
        <v>17455.3</v>
      </c>
      <c r="X348" s="7">
        <v>0</v>
      </c>
      <c r="Y348" s="7">
        <v>17455.3</v>
      </c>
    </row>
    <row r="349" spans="1:25" ht="51" x14ac:dyDescent="0.2">
      <c r="A349" s="5" t="s">
        <v>526</v>
      </c>
      <c r="B349" s="5" t="s">
        <v>527</v>
      </c>
      <c r="C349" s="5" t="s">
        <v>16</v>
      </c>
      <c r="D349" s="5" t="s">
        <v>22</v>
      </c>
      <c r="E349" s="5" t="s">
        <v>123</v>
      </c>
      <c r="F349" s="5" t="s">
        <v>18</v>
      </c>
      <c r="G349" s="5" t="s">
        <v>89</v>
      </c>
      <c r="H349" s="5"/>
      <c r="I349" s="6">
        <v>0</v>
      </c>
      <c r="J349" s="6">
        <v>0</v>
      </c>
      <c r="K349" s="6">
        <v>0</v>
      </c>
      <c r="L349" s="6">
        <v>0</v>
      </c>
      <c r="M349" s="5"/>
      <c r="N349" s="6">
        <v>480</v>
      </c>
      <c r="O349" s="6">
        <v>846</v>
      </c>
      <c r="P349" s="6">
        <v>846</v>
      </c>
      <c r="Q349" s="6">
        <v>0</v>
      </c>
      <c r="R349" s="6">
        <v>366</v>
      </c>
      <c r="S349" s="5"/>
      <c r="T349" s="7">
        <v>43200</v>
      </c>
      <c r="U349" s="7">
        <v>72377.33</v>
      </c>
      <c r="V349" s="7">
        <v>0</v>
      </c>
      <c r="W349" s="7">
        <v>72907.11</v>
      </c>
      <c r="X349" s="7">
        <v>529.78</v>
      </c>
      <c r="Y349" s="7">
        <v>29707.11</v>
      </c>
    </row>
    <row r="350" spans="1:25" ht="51" x14ac:dyDescent="0.2">
      <c r="A350" s="5" t="s">
        <v>528</v>
      </c>
      <c r="B350" s="5" t="s">
        <v>529</v>
      </c>
      <c r="C350" s="5" t="s">
        <v>340</v>
      </c>
      <c r="D350" s="5" t="s">
        <v>46</v>
      </c>
      <c r="E350" s="5" t="s">
        <v>88</v>
      </c>
      <c r="F350" s="5" t="s">
        <v>18</v>
      </c>
      <c r="G350" s="5" t="s">
        <v>164</v>
      </c>
      <c r="H350" s="5"/>
      <c r="I350" s="6">
        <v>0</v>
      </c>
      <c r="J350" s="6">
        <v>0</v>
      </c>
      <c r="K350" s="6">
        <v>0</v>
      </c>
      <c r="L350" s="6">
        <v>0</v>
      </c>
      <c r="M350" s="5"/>
      <c r="N350" s="6">
        <v>18</v>
      </c>
      <c r="O350" s="6">
        <v>1703</v>
      </c>
      <c r="P350" s="6">
        <v>1762</v>
      </c>
      <c r="Q350" s="6">
        <v>59</v>
      </c>
      <c r="R350" s="6">
        <v>1744</v>
      </c>
      <c r="S350" s="5"/>
      <c r="T350" s="7">
        <v>1840</v>
      </c>
      <c r="U350" s="7">
        <v>157813.5</v>
      </c>
      <c r="V350" s="7">
        <v>0</v>
      </c>
      <c r="W350" s="7">
        <v>163955.34</v>
      </c>
      <c r="X350" s="7">
        <v>6141.84</v>
      </c>
      <c r="Y350" s="7">
        <v>162115.34</v>
      </c>
    </row>
    <row r="351" spans="1:25" ht="51" x14ac:dyDescent="0.2">
      <c r="A351" s="5" t="s">
        <v>530</v>
      </c>
      <c r="B351" s="5" t="s">
        <v>531</v>
      </c>
      <c r="C351" s="5" t="s">
        <v>225</v>
      </c>
      <c r="D351" s="5" t="s">
        <v>46</v>
      </c>
      <c r="E351" s="5" t="s">
        <v>88</v>
      </c>
      <c r="F351" s="5" t="s">
        <v>18</v>
      </c>
      <c r="G351" s="5" t="s">
        <v>164</v>
      </c>
      <c r="H351" s="5"/>
      <c r="I351" s="6">
        <v>0</v>
      </c>
      <c r="J351" s="6">
        <v>0</v>
      </c>
      <c r="K351" s="6">
        <v>0</v>
      </c>
      <c r="L351" s="6">
        <v>0</v>
      </c>
      <c r="M351" s="5"/>
      <c r="N351" s="6">
        <v>290</v>
      </c>
      <c r="O351" s="6">
        <v>184.5</v>
      </c>
      <c r="P351" s="6">
        <v>184.5</v>
      </c>
      <c r="Q351" s="6">
        <v>0</v>
      </c>
      <c r="R351" s="6">
        <v>-105.5</v>
      </c>
      <c r="S351" s="5"/>
      <c r="T351" s="7">
        <v>26100</v>
      </c>
      <c r="U351" s="7">
        <v>17834.55</v>
      </c>
      <c r="V351" s="7">
        <v>0</v>
      </c>
      <c r="W351" s="7">
        <v>17834.55</v>
      </c>
      <c r="X351" s="7">
        <v>0</v>
      </c>
      <c r="Y351" s="7">
        <v>-8265.4500000000007</v>
      </c>
    </row>
    <row r="352" spans="1:25" ht="51" x14ac:dyDescent="0.2">
      <c r="A352" s="5" t="s">
        <v>532</v>
      </c>
      <c r="B352" s="5" t="s">
        <v>531</v>
      </c>
      <c r="C352" s="5" t="s">
        <v>122</v>
      </c>
      <c r="D352" s="5" t="s">
        <v>46</v>
      </c>
      <c r="E352" s="5" t="s">
        <v>88</v>
      </c>
      <c r="F352" s="5" t="s">
        <v>18</v>
      </c>
      <c r="G352" s="5" t="s">
        <v>164</v>
      </c>
      <c r="H352" s="5"/>
      <c r="I352" s="6">
        <v>0</v>
      </c>
      <c r="J352" s="6">
        <v>0</v>
      </c>
      <c r="K352" s="6">
        <v>0</v>
      </c>
      <c r="L352" s="6">
        <v>0</v>
      </c>
      <c r="M352" s="5"/>
      <c r="N352" s="6">
        <v>12</v>
      </c>
      <c r="O352" s="6">
        <v>0</v>
      </c>
      <c r="P352" s="6">
        <v>0</v>
      </c>
      <c r="Q352" s="6">
        <v>0</v>
      </c>
      <c r="R352" s="6">
        <v>-12</v>
      </c>
      <c r="S352" s="5"/>
      <c r="T352" s="7">
        <v>1080</v>
      </c>
      <c r="U352" s="7">
        <v>0</v>
      </c>
      <c r="V352" s="7">
        <v>0</v>
      </c>
      <c r="W352" s="7">
        <v>0</v>
      </c>
      <c r="X352" s="7">
        <v>0</v>
      </c>
      <c r="Y352" s="7">
        <v>-1080</v>
      </c>
    </row>
    <row r="353" spans="1:25" ht="51" x14ac:dyDescent="0.2">
      <c r="A353" s="5" t="s">
        <v>533</v>
      </c>
      <c r="B353" s="5" t="s">
        <v>531</v>
      </c>
      <c r="C353" s="5" t="s">
        <v>227</v>
      </c>
      <c r="D353" s="5" t="s">
        <v>46</v>
      </c>
      <c r="E353" s="5" t="s">
        <v>88</v>
      </c>
      <c r="F353" s="5" t="s">
        <v>18</v>
      </c>
      <c r="G353" s="5" t="s">
        <v>164</v>
      </c>
      <c r="H353" s="5"/>
      <c r="I353" s="6">
        <v>0</v>
      </c>
      <c r="J353" s="6">
        <v>0</v>
      </c>
      <c r="K353" s="6">
        <v>0</v>
      </c>
      <c r="L353" s="6">
        <v>0</v>
      </c>
      <c r="M353" s="5"/>
      <c r="N353" s="6">
        <v>58</v>
      </c>
      <c r="O353" s="6">
        <v>0</v>
      </c>
      <c r="P353" s="6">
        <v>0</v>
      </c>
      <c r="Q353" s="6">
        <v>0</v>
      </c>
      <c r="R353" s="6">
        <v>-58</v>
      </c>
      <c r="S353" s="5"/>
      <c r="T353" s="7">
        <v>5220</v>
      </c>
      <c r="U353" s="7">
        <v>0</v>
      </c>
      <c r="V353" s="7">
        <v>0</v>
      </c>
      <c r="W353" s="7">
        <v>0</v>
      </c>
      <c r="X353" s="7">
        <v>0</v>
      </c>
      <c r="Y353" s="7">
        <v>-5220</v>
      </c>
    </row>
    <row r="354" spans="1:25" ht="51" x14ac:dyDescent="0.2">
      <c r="A354" s="5" t="s">
        <v>534</v>
      </c>
      <c r="B354" s="5" t="s">
        <v>531</v>
      </c>
      <c r="C354" s="5" t="s">
        <v>245</v>
      </c>
      <c r="D354" s="5" t="s">
        <v>46</v>
      </c>
      <c r="E354" s="5" t="s">
        <v>88</v>
      </c>
      <c r="F354" s="5" t="s">
        <v>18</v>
      </c>
      <c r="G354" s="5" t="s">
        <v>164</v>
      </c>
      <c r="H354" s="5"/>
      <c r="I354" s="6">
        <v>0</v>
      </c>
      <c r="J354" s="6">
        <v>0</v>
      </c>
      <c r="K354" s="6">
        <v>0</v>
      </c>
      <c r="L354" s="6">
        <v>0</v>
      </c>
      <c r="M354" s="5"/>
      <c r="N354" s="6">
        <v>20</v>
      </c>
      <c r="O354" s="6">
        <v>0</v>
      </c>
      <c r="P354" s="6">
        <v>0</v>
      </c>
      <c r="Q354" s="6">
        <v>0</v>
      </c>
      <c r="R354" s="6">
        <v>-20</v>
      </c>
      <c r="S354" s="5"/>
      <c r="T354" s="7">
        <v>1800</v>
      </c>
      <c r="U354" s="7">
        <v>0</v>
      </c>
      <c r="V354" s="7">
        <v>0</v>
      </c>
      <c r="W354" s="7">
        <v>0</v>
      </c>
      <c r="X354" s="7">
        <v>0</v>
      </c>
      <c r="Y354" s="7">
        <v>-1800</v>
      </c>
    </row>
    <row r="355" spans="1:25" ht="51" x14ac:dyDescent="0.2">
      <c r="A355" s="5" t="s">
        <v>535</v>
      </c>
      <c r="B355" s="5" t="s">
        <v>531</v>
      </c>
      <c r="C355" s="5" t="s">
        <v>229</v>
      </c>
      <c r="D355" s="5" t="s">
        <v>46</v>
      </c>
      <c r="E355" s="5" t="s">
        <v>88</v>
      </c>
      <c r="F355" s="5" t="s">
        <v>18</v>
      </c>
      <c r="G355" s="5" t="s">
        <v>164</v>
      </c>
      <c r="H355" s="5"/>
      <c r="I355" s="6">
        <v>0</v>
      </c>
      <c r="J355" s="6">
        <v>0</v>
      </c>
      <c r="K355" s="6">
        <v>0</v>
      </c>
      <c r="L355" s="6">
        <v>0</v>
      </c>
      <c r="M355" s="5"/>
      <c r="N355" s="6">
        <v>45</v>
      </c>
      <c r="O355" s="6">
        <v>124.5</v>
      </c>
      <c r="P355" s="6">
        <v>124.5</v>
      </c>
      <c r="Q355" s="6">
        <v>0</v>
      </c>
      <c r="R355" s="6">
        <v>79.5</v>
      </c>
      <c r="S355" s="5"/>
      <c r="T355" s="7">
        <v>4050</v>
      </c>
      <c r="U355" s="7">
        <v>11940.92</v>
      </c>
      <c r="V355" s="7">
        <v>0</v>
      </c>
      <c r="W355" s="7">
        <v>11940.92</v>
      </c>
      <c r="X355" s="7">
        <v>0</v>
      </c>
      <c r="Y355" s="7">
        <v>7890.92</v>
      </c>
    </row>
    <row r="356" spans="1:25" ht="51" x14ac:dyDescent="0.2">
      <c r="A356" s="5" t="s">
        <v>536</v>
      </c>
      <c r="B356" s="5" t="s">
        <v>531</v>
      </c>
      <c r="C356" s="5" t="s">
        <v>231</v>
      </c>
      <c r="D356" s="5" t="s">
        <v>46</v>
      </c>
      <c r="E356" s="5" t="s">
        <v>88</v>
      </c>
      <c r="F356" s="5" t="s">
        <v>18</v>
      </c>
      <c r="G356" s="5" t="s">
        <v>164</v>
      </c>
      <c r="H356" s="5"/>
      <c r="I356" s="6">
        <v>0</v>
      </c>
      <c r="J356" s="6">
        <v>0</v>
      </c>
      <c r="K356" s="6">
        <v>0</v>
      </c>
      <c r="L356" s="6">
        <v>0</v>
      </c>
      <c r="M356" s="5"/>
      <c r="N356" s="6">
        <v>56</v>
      </c>
      <c r="O356" s="6">
        <v>7</v>
      </c>
      <c r="P356" s="6">
        <v>7</v>
      </c>
      <c r="Q356" s="6">
        <v>0</v>
      </c>
      <c r="R356" s="6">
        <v>-49</v>
      </c>
      <c r="S356" s="5"/>
      <c r="T356" s="7">
        <v>5040</v>
      </c>
      <c r="U356" s="7">
        <v>691.49</v>
      </c>
      <c r="V356" s="7">
        <v>0</v>
      </c>
      <c r="W356" s="7">
        <v>691.49</v>
      </c>
      <c r="X356" s="7">
        <v>0</v>
      </c>
      <c r="Y356" s="7">
        <v>-4348.51</v>
      </c>
    </row>
    <row r="357" spans="1:25" ht="51" x14ac:dyDescent="0.2">
      <c r="A357" s="5" t="s">
        <v>537</v>
      </c>
      <c r="B357" s="5" t="s">
        <v>531</v>
      </c>
      <c r="C357" s="5" t="s">
        <v>233</v>
      </c>
      <c r="D357" s="5" t="s">
        <v>46</v>
      </c>
      <c r="E357" s="5" t="s">
        <v>88</v>
      </c>
      <c r="F357" s="5" t="s">
        <v>18</v>
      </c>
      <c r="G357" s="5" t="s">
        <v>164</v>
      </c>
      <c r="H357" s="5"/>
      <c r="I357" s="6">
        <v>0</v>
      </c>
      <c r="J357" s="6">
        <v>0</v>
      </c>
      <c r="K357" s="6">
        <v>0</v>
      </c>
      <c r="L357" s="6">
        <v>0</v>
      </c>
      <c r="M357" s="5"/>
      <c r="N357" s="6">
        <v>30</v>
      </c>
      <c r="O357" s="6">
        <v>0</v>
      </c>
      <c r="P357" s="6">
        <v>0</v>
      </c>
      <c r="Q357" s="6">
        <v>0</v>
      </c>
      <c r="R357" s="6">
        <v>-30</v>
      </c>
      <c r="S357" s="5"/>
      <c r="T357" s="7">
        <v>2700</v>
      </c>
      <c r="U357" s="7">
        <v>0</v>
      </c>
      <c r="V357" s="7">
        <v>0</v>
      </c>
      <c r="W357" s="7">
        <v>0</v>
      </c>
      <c r="X357" s="7">
        <v>0</v>
      </c>
      <c r="Y357" s="7">
        <v>-2700</v>
      </c>
    </row>
    <row r="358" spans="1:25" ht="51" x14ac:dyDescent="0.2">
      <c r="A358" s="5" t="s">
        <v>538</v>
      </c>
      <c r="B358" s="5" t="s">
        <v>531</v>
      </c>
      <c r="C358" s="5" t="s">
        <v>235</v>
      </c>
      <c r="D358" s="5" t="s">
        <v>46</v>
      </c>
      <c r="E358" s="5" t="s">
        <v>88</v>
      </c>
      <c r="F358" s="5" t="s">
        <v>18</v>
      </c>
      <c r="G358" s="5" t="s">
        <v>164</v>
      </c>
      <c r="H358" s="5"/>
      <c r="I358" s="6">
        <v>0</v>
      </c>
      <c r="J358" s="6">
        <v>0</v>
      </c>
      <c r="K358" s="6">
        <v>0</v>
      </c>
      <c r="L358" s="6">
        <v>0</v>
      </c>
      <c r="M358" s="5"/>
      <c r="N358" s="6">
        <v>30</v>
      </c>
      <c r="O358" s="6">
        <v>0</v>
      </c>
      <c r="P358" s="6">
        <v>0</v>
      </c>
      <c r="Q358" s="6">
        <v>0</v>
      </c>
      <c r="R358" s="6">
        <v>-30</v>
      </c>
      <c r="S358" s="5"/>
      <c r="T358" s="7">
        <v>2700</v>
      </c>
      <c r="U358" s="7">
        <v>0</v>
      </c>
      <c r="V358" s="7">
        <v>0</v>
      </c>
      <c r="W358" s="7">
        <v>0</v>
      </c>
      <c r="X358" s="7">
        <v>0</v>
      </c>
      <c r="Y358" s="7">
        <v>-2700</v>
      </c>
    </row>
    <row r="359" spans="1:25" ht="51" x14ac:dyDescent="0.2">
      <c r="A359" s="5" t="s">
        <v>539</v>
      </c>
      <c r="B359" s="5" t="s">
        <v>531</v>
      </c>
      <c r="C359" s="5" t="s">
        <v>237</v>
      </c>
      <c r="D359" s="5" t="s">
        <v>46</v>
      </c>
      <c r="E359" s="5" t="s">
        <v>88</v>
      </c>
      <c r="F359" s="5" t="s">
        <v>18</v>
      </c>
      <c r="G359" s="5" t="s">
        <v>164</v>
      </c>
      <c r="H359" s="5"/>
      <c r="I359" s="6">
        <v>0</v>
      </c>
      <c r="J359" s="6">
        <v>0</v>
      </c>
      <c r="K359" s="6">
        <v>0</v>
      </c>
      <c r="L359" s="6">
        <v>0</v>
      </c>
      <c r="M359" s="5"/>
      <c r="N359" s="6">
        <v>326</v>
      </c>
      <c r="O359" s="6">
        <v>168</v>
      </c>
      <c r="P359" s="6">
        <v>168</v>
      </c>
      <c r="Q359" s="6">
        <v>0</v>
      </c>
      <c r="R359" s="6">
        <v>-158</v>
      </c>
      <c r="S359" s="5"/>
      <c r="T359" s="7">
        <v>29340</v>
      </c>
      <c r="U359" s="7">
        <v>16023.9</v>
      </c>
      <c r="V359" s="7">
        <v>0</v>
      </c>
      <c r="W359" s="7">
        <v>16023.9</v>
      </c>
      <c r="X359" s="7">
        <v>0</v>
      </c>
      <c r="Y359" s="7">
        <v>-13316.1</v>
      </c>
    </row>
    <row r="360" spans="1:25" ht="51" x14ac:dyDescent="0.2">
      <c r="A360" s="5" t="s">
        <v>540</v>
      </c>
      <c r="B360" s="5" t="s">
        <v>531</v>
      </c>
      <c r="C360" s="5" t="s">
        <v>239</v>
      </c>
      <c r="D360" s="5" t="s">
        <v>46</v>
      </c>
      <c r="E360" s="5" t="s">
        <v>88</v>
      </c>
      <c r="F360" s="5" t="s">
        <v>18</v>
      </c>
      <c r="G360" s="5" t="s">
        <v>164</v>
      </c>
      <c r="H360" s="5"/>
      <c r="I360" s="6">
        <v>0</v>
      </c>
      <c r="J360" s="6">
        <v>0</v>
      </c>
      <c r="K360" s="6">
        <v>0</v>
      </c>
      <c r="L360" s="6">
        <v>0</v>
      </c>
      <c r="M360" s="5"/>
      <c r="N360" s="6">
        <v>50</v>
      </c>
      <c r="O360" s="6">
        <v>143</v>
      </c>
      <c r="P360" s="6">
        <v>143</v>
      </c>
      <c r="Q360" s="6">
        <v>0</v>
      </c>
      <c r="R360" s="6">
        <v>93</v>
      </c>
      <c r="S360" s="5"/>
      <c r="T360" s="7">
        <v>4500</v>
      </c>
      <c r="U360" s="7">
        <v>13779.98</v>
      </c>
      <c r="V360" s="7">
        <v>0</v>
      </c>
      <c r="W360" s="7">
        <v>13779.98</v>
      </c>
      <c r="X360" s="7">
        <v>0</v>
      </c>
      <c r="Y360" s="7">
        <v>9279.98</v>
      </c>
    </row>
    <row r="361" spans="1:25" ht="51" x14ac:dyDescent="0.2">
      <c r="A361" s="5" t="s">
        <v>541</v>
      </c>
      <c r="B361" s="5" t="s">
        <v>542</v>
      </c>
      <c r="C361" s="5" t="s">
        <v>340</v>
      </c>
      <c r="D361" s="5" t="s">
        <v>46</v>
      </c>
      <c r="E361" s="5" t="s">
        <v>88</v>
      </c>
      <c r="F361" s="5" t="s">
        <v>18</v>
      </c>
      <c r="G361" s="5" t="s">
        <v>164</v>
      </c>
      <c r="H361" s="5"/>
      <c r="I361" s="6">
        <v>0</v>
      </c>
      <c r="J361" s="6">
        <v>0</v>
      </c>
      <c r="K361" s="6">
        <v>0</v>
      </c>
      <c r="L361" s="6">
        <v>0</v>
      </c>
      <c r="M361" s="5"/>
      <c r="N361" s="6">
        <v>0</v>
      </c>
      <c r="O361" s="6">
        <v>53.5</v>
      </c>
      <c r="P361" s="6">
        <v>53.5</v>
      </c>
      <c r="Q361" s="6">
        <v>0</v>
      </c>
      <c r="R361" s="6">
        <v>53.5</v>
      </c>
      <c r="S361" s="5"/>
      <c r="T361" s="7">
        <v>0</v>
      </c>
      <c r="U361" s="7">
        <v>3976.35</v>
      </c>
      <c r="V361" s="7">
        <v>0</v>
      </c>
      <c r="W361" s="7">
        <v>3976.35</v>
      </c>
      <c r="X361" s="7">
        <v>0</v>
      </c>
      <c r="Y361" s="7">
        <v>3976.35</v>
      </c>
    </row>
    <row r="362" spans="1:25" ht="51" x14ac:dyDescent="0.2">
      <c r="A362" s="5" t="s">
        <v>543</v>
      </c>
      <c r="B362" s="5" t="s">
        <v>544</v>
      </c>
      <c r="C362" s="5" t="s">
        <v>225</v>
      </c>
      <c r="D362" s="5" t="s">
        <v>46</v>
      </c>
      <c r="E362" s="5" t="s">
        <v>88</v>
      </c>
      <c r="F362" s="5" t="s">
        <v>18</v>
      </c>
      <c r="G362" s="5" t="s">
        <v>164</v>
      </c>
      <c r="H362" s="5"/>
      <c r="I362" s="6">
        <v>0</v>
      </c>
      <c r="J362" s="6">
        <v>0</v>
      </c>
      <c r="K362" s="6">
        <v>0</v>
      </c>
      <c r="L362" s="6">
        <v>0</v>
      </c>
      <c r="M362" s="5"/>
      <c r="N362" s="6">
        <v>87</v>
      </c>
      <c r="O362" s="6">
        <v>0</v>
      </c>
      <c r="P362" s="6">
        <v>0</v>
      </c>
      <c r="Q362" s="6">
        <v>0</v>
      </c>
      <c r="R362" s="6">
        <v>-87</v>
      </c>
      <c r="S362" s="5"/>
      <c r="T362" s="7">
        <v>7830</v>
      </c>
      <c r="U362" s="7">
        <v>0</v>
      </c>
      <c r="V362" s="7">
        <v>0</v>
      </c>
      <c r="W362" s="7">
        <v>0</v>
      </c>
      <c r="X362" s="7">
        <v>0</v>
      </c>
      <c r="Y362" s="7">
        <v>-7830</v>
      </c>
    </row>
    <row r="363" spans="1:25" ht="51" x14ac:dyDescent="0.2">
      <c r="A363" s="5" t="s">
        <v>545</v>
      </c>
      <c r="B363" s="5" t="s">
        <v>544</v>
      </c>
      <c r="C363" s="5" t="s">
        <v>227</v>
      </c>
      <c r="D363" s="5" t="s">
        <v>46</v>
      </c>
      <c r="E363" s="5" t="s">
        <v>88</v>
      </c>
      <c r="F363" s="5" t="s">
        <v>18</v>
      </c>
      <c r="G363" s="5" t="s">
        <v>164</v>
      </c>
      <c r="H363" s="5"/>
      <c r="I363" s="6">
        <v>0</v>
      </c>
      <c r="J363" s="6">
        <v>0</v>
      </c>
      <c r="K363" s="6">
        <v>0</v>
      </c>
      <c r="L363" s="6">
        <v>0</v>
      </c>
      <c r="M363" s="5"/>
      <c r="N363" s="6">
        <v>17</v>
      </c>
      <c r="O363" s="6">
        <v>0</v>
      </c>
      <c r="P363" s="6">
        <v>0</v>
      </c>
      <c r="Q363" s="6">
        <v>0</v>
      </c>
      <c r="R363" s="6">
        <v>-17</v>
      </c>
      <c r="S363" s="5"/>
      <c r="T363" s="7">
        <v>1530</v>
      </c>
      <c r="U363" s="7">
        <v>0</v>
      </c>
      <c r="V363" s="7">
        <v>0</v>
      </c>
      <c r="W363" s="7">
        <v>0</v>
      </c>
      <c r="X363" s="7">
        <v>0</v>
      </c>
      <c r="Y363" s="7">
        <v>-1530</v>
      </c>
    </row>
    <row r="364" spans="1:25" ht="51" x14ac:dyDescent="0.2">
      <c r="A364" s="5" t="s">
        <v>546</v>
      </c>
      <c r="B364" s="5" t="s">
        <v>544</v>
      </c>
      <c r="C364" s="5" t="s">
        <v>245</v>
      </c>
      <c r="D364" s="5" t="s">
        <v>46</v>
      </c>
      <c r="E364" s="5" t="s">
        <v>88</v>
      </c>
      <c r="F364" s="5" t="s">
        <v>18</v>
      </c>
      <c r="G364" s="5" t="s">
        <v>164</v>
      </c>
      <c r="H364" s="5"/>
      <c r="I364" s="6">
        <v>0</v>
      </c>
      <c r="J364" s="6">
        <v>0</v>
      </c>
      <c r="K364" s="6">
        <v>0</v>
      </c>
      <c r="L364" s="6">
        <v>0</v>
      </c>
      <c r="M364" s="5"/>
      <c r="N364" s="6">
        <v>6</v>
      </c>
      <c r="O364" s="6">
        <v>0</v>
      </c>
      <c r="P364" s="6">
        <v>0</v>
      </c>
      <c r="Q364" s="6">
        <v>0</v>
      </c>
      <c r="R364" s="6">
        <v>-6</v>
      </c>
      <c r="S364" s="5"/>
      <c r="T364" s="7">
        <v>540</v>
      </c>
      <c r="U364" s="7">
        <v>0</v>
      </c>
      <c r="V364" s="7">
        <v>0</v>
      </c>
      <c r="W364" s="7">
        <v>0</v>
      </c>
      <c r="X364" s="7">
        <v>0</v>
      </c>
      <c r="Y364" s="7">
        <v>-540</v>
      </c>
    </row>
    <row r="365" spans="1:25" ht="51" x14ac:dyDescent="0.2">
      <c r="A365" s="5" t="s">
        <v>547</v>
      </c>
      <c r="B365" s="5" t="s">
        <v>544</v>
      </c>
      <c r="C365" s="5" t="s">
        <v>229</v>
      </c>
      <c r="D365" s="5" t="s">
        <v>46</v>
      </c>
      <c r="E365" s="5" t="s">
        <v>88</v>
      </c>
      <c r="F365" s="5" t="s">
        <v>18</v>
      </c>
      <c r="G365" s="5" t="s">
        <v>164</v>
      </c>
      <c r="H365" s="5"/>
      <c r="I365" s="6">
        <v>0</v>
      </c>
      <c r="J365" s="6">
        <v>0</v>
      </c>
      <c r="K365" s="6">
        <v>0</v>
      </c>
      <c r="L365" s="6">
        <v>0</v>
      </c>
      <c r="M365" s="5"/>
      <c r="N365" s="6">
        <v>14</v>
      </c>
      <c r="O365" s="6">
        <v>0</v>
      </c>
      <c r="P365" s="6">
        <v>0</v>
      </c>
      <c r="Q365" s="6">
        <v>0</v>
      </c>
      <c r="R365" s="6">
        <v>-14</v>
      </c>
      <c r="S365" s="5"/>
      <c r="T365" s="7">
        <v>1260</v>
      </c>
      <c r="U365" s="7">
        <v>0</v>
      </c>
      <c r="V365" s="7">
        <v>0</v>
      </c>
      <c r="W365" s="7">
        <v>0</v>
      </c>
      <c r="X365" s="7">
        <v>0</v>
      </c>
      <c r="Y365" s="7">
        <v>-1260</v>
      </c>
    </row>
    <row r="366" spans="1:25" ht="51" x14ac:dyDescent="0.2">
      <c r="A366" s="5" t="s">
        <v>548</v>
      </c>
      <c r="B366" s="5" t="s">
        <v>544</v>
      </c>
      <c r="C366" s="5" t="s">
        <v>231</v>
      </c>
      <c r="D366" s="5" t="s">
        <v>46</v>
      </c>
      <c r="E366" s="5" t="s">
        <v>88</v>
      </c>
      <c r="F366" s="5" t="s">
        <v>18</v>
      </c>
      <c r="G366" s="5" t="s">
        <v>164</v>
      </c>
      <c r="H366" s="5"/>
      <c r="I366" s="6">
        <v>0</v>
      </c>
      <c r="J366" s="6">
        <v>0</v>
      </c>
      <c r="K366" s="6">
        <v>0</v>
      </c>
      <c r="L366" s="6">
        <v>0</v>
      </c>
      <c r="M366" s="5"/>
      <c r="N366" s="6">
        <v>17</v>
      </c>
      <c r="O366" s="6">
        <v>0</v>
      </c>
      <c r="P366" s="6">
        <v>0</v>
      </c>
      <c r="Q366" s="6">
        <v>0</v>
      </c>
      <c r="R366" s="6">
        <v>-17</v>
      </c>
      <c r="S366" s="5"/>
      <c r="T366" s="7">
        <v>1530</v>
      </c>
      <c r="U366" s="7">
        <v>0</v>
      </c>
      <c r="V366" s="7">
        <v>0</v>
      </c>
      <c r="W366" s="7">
        <v>0</v>
      </c>
      <c r="X366" s="7">
        <v>0</v>
      </c>
      <c r="Y366" s="7">
        <v>-1530</v>
      </c>
    </row>
    <row r="367" spans="1:25" ht="51" x14ac:dyDescent="0.2">
      <c r="A367" s="5" t="s">
        <v>549</v>
      </c>
      <c r="B367" s="5" t="s">
        <v>544</v>
      </c>
      <c r="C367" s="5" t="s">
        <v>237</v>
      </c>
      <c r="D367" s="5" t="s">
        <v>46</v>
      </c>
      <c r="E367" s="5" t="s">
        <v>88</v>
      </c>
      <c r="F367" s="5" t="s">
        <v>18</v>
      </c>
      <c r="G367" s="5" t="s">
        <v>164</v>
      </c>
      <c r="H367" s="5"/>
      <c r="I367" s="6">
        <v>0</v>
      </c>
      <c r="J367" s="6">
        <v>0</v>
      </c>
      <c r="K367" s="6">
        <v>0</v>
      </c>
      <c r="L367" s="6">
        <v>0</v>
      </c>
      <c r="M367" s="5"/>
      <c r="N367" s="6">
        <v>98</v>
      </c>
      <c r="O367" s="6">
        <v>0</v>
      </c>
      <c r="P367" s="6">
        <v>0</v>
      </c>
      <c r="Q367" s="6">
        <v>0</v>
      </c>
      <c r="R367" s="6">
        <v>-98</v>
      </c>
      <c r="S367" s="5"/>
      <c r="T367" s="7">
        <v>8820</v>
      </c>
      <c r="U367" s="7">
        <v>0</v>
      </c>
      <c r="V367" s="7">
        <v>0</v>
      </c>
      <c r="W367" s="7">
        <v>0</v>
      </c>
      <c r="X367" s="7">
        <v>0</v>
      </c>
      <c r="Y367" s="7">
        <v>-8820</v>
      </c>
    </row>
    <row r="368" spans="1:25" ht="51" x14ac:dyDescent="0.2">
      <c r="A368" s="5" t="s">
        <v>550</v>
      </c>
      <c r="B368" s="5" t="s">
        <v>544</v>
      </c>
      <c r="C368" s="5" t="s">
        <v>239</v>
      </c>
      <c r="D368" s="5" t="s">
        <v>46</v>
      </c>
      <c r="E368" s="5" t="s">
        <v>88</v>
      </c>
      <c r="F368" s="5" t="s">
        <v>18</v>
      </c>
      <c r="G368" s="5" t="s">
        <v>164</v>
      </c>
      <c r="H368" s="5"/>
      <c r="I368" s="6">
        <v>0</v>
      </c>
      <c r="J368" s="6">
        <v>0</v>
      </c>
      <c r="K368" s="6">
        <v>0</v>
      </c>
      <c r="L368" s="6">
        <v>0</v>
      </c>
      <c r="M368" s="5"/>
      <c r="N368" s="6">
        <v>15</v>
      </c>
      <c r="O368" s="6">
        <v>0</v>
      </c>
      <c r="P368" s="6">
        <v>0</v>
      </c>
      <c r="Q368" s="6">
        <v>0</v>
      </c>
      <c r="R368" s="6">
        <v>-15</v>
      </c>
      <c r="S368" s="5"/>
      <c r="T368" s="7">
        <v>1350</v>
      </c>
      <c r="U368" s="7">
        <v>0</v>
      </c>
      <c r="V368" s="7">
        <v>0</v>
      </c>
      <c r="W368" s="7">
        <v>0</v>
      </c>
      <c r="X368" s="7">
        <v>0</v>
      </c>
      <c r="Y368" s="7">
        <v>-1350</v>
      </c>
    </row>
    <row r="369" spans="1:25" ht="51" x14ac:dyDescent="0.2">
      <c r="A369" s="5" t="s">
        <v>551</v>
      </c>
      <c r="B369" s="5" t="s">
        <v>552</v>
      </c>
      <c r="C369" s="5" t="s">
        <v>225</v>
      </c>
      <c r="D369" s="5" t="s">
        <v>46</v>
      </c>
      <c r="E369" s="5" t="s">
        <v>88</v>
      </c>
      <c r="F369" s="5" t="s">
        <v>18</v>
      </c>
      <c r="G369" s="5" t="s">
        <v>164</v>
      </c>
      <c r="H369" s="5"/>
      <c r="I369" s="6">
        <v>0</v>
      </c>
      <c r="J369" s="6">
        <v>0</v>
      </c>
      <c r="K369" s="6">
        <v>0</v>
      </c>
      <c r="L369" s="6">
        <v>0</v>
      </c>
      <c r="M369" s="5"/>
      <c r="N369" s="6">
        <v>733</v>
      </c>
      <c r="O369" s="6">
        <v>459</v>
      </c>
      <c r="P369" s="6">
        <v>459</v>
      </c>
      <c r="Q369" s="6">
        <v>0</v>
      </c>
      <c r="R369" s="6">
        <v>-274</v>
      </c>
      <c r="S369" s="5"/>
      <c r="T369" s="7">
        <v>76103.600000000006</v>
      </c>
      <c r="U369" s="7">
        <v>45445.53</v>
      </c>
      <c r="V369" s="7">
        <v>0</v>
      </c>
      <c r="W369" s="7">
        <v>45445.53</v>
      </c>
      <c r="X369" s="7">
        <v>0</v>
      </c>
      <c r="Y369" s="7">
        <v>-30658.07</v>
      </c>
    </row>
    <row r="370" spans="1:25" ht="51" x14ac:dyDescent="0.2">
      <c r="A370" s="5" t="s">
        <v>553</v>
      </c>
      <c r="B370" s="5" t="s">
        <v>552</v>
      </c>
      <c r="C370" s="5" t="s">
        <v>227</v>
      </c>
      <c r="D370" s="5" t="s">
        <v>46</v>
      </c>
      <c r="E370" s="5" t="s">
        <v>88</v>
      </c>
      <c r="F370" s="5" t="s">
        <v>18</v>
      </c>
      <c r="G370" s="5" t="s">
        <v>164</v>
      </c>
      <c r="H370" s="5"/>
      <c r="I370" s="6">
        <v>0</v>
      </c>
      <c r="J370" s="6">
        <v>0</v>
      </c>
      <c r="K370" s="6">
        <v>0</v>
      </c>
      <c r="L370" s="6">
        <v>0</v>
      </c>
      <c r="M370" s="5"/>
      <c r="N370" s="6">
        <v>40</v>
      </c>
      <c r="O370" s="6">
        <v>0</v>
      </c>
      <c r="P370" s="6">
        <v>0</v>
      </c>
      <c r="Q370" s="6">
        <v>0</v>
      </c>
      <c r="R370" s="6">
        <v>-40</v>
      </c>
      <c r="S370" s="5"/>
      <c r="T370" s="7">
        <v>3600</v>
      </c>
      <c r="U370" s="7">
        <v>0</v>
      </c>
      <c r="V370" s="7">
        <v>0</v>
      </c>
      <c r="W370" s="7">
        <v>0</v>
      </c>
      <c r="X370" s="7">
        <v>0</v>
      </c>
      <c r="Y370" s="7">
        <v>-3600</v>
      </c>
    </row>
    <row r="371" spans="1:25" ht="51" x14ac:dyDescent="0.2">
      <c r="A371" s="5" t="s">
        <v>554</v>
      </c>
      <c r="B371" s="5" t="s">
        <v>552</v>
      </c>
      <c r="C371" s="5" t="s">
        <v>245</v>
      </c>
      <c r="D371" s="5" t="s">
        <v>46</v>
      </c>
      <c r="E371" s="5" t="s">
        <v>88</v>
      </c>
      <c r="F371" s="5" t="s">
        <v>18</v>
      </c>
      <c r="G371" s="5" t="s">
        <v>164</v>
      </c>
      <c r="H371" s="5"/>
      <c r="I371" s="6">
        <v>0</v>
      </c>
      <c r="J371" s="6">
        <v>0</v>
      </c>
      <c r="K371" s="6">
        <v>0</v>
      </c>
      <c r="L371" s="6">
        <v>0</v>
      </c>
      <c r="M371" s="5"/>
      <c r="N371" s="6">
        <v>14</v>
      </c>
      <c r="O371" s="6">
        <v>0</v>
      </c>
      <c r="P371" s="6">
        <v>0</v>
      </c>
      <c r="Q371" s="6">
        <v>0</v>
      </c>
      <c r="R371" s="6">
        <v>-14</v>
      </c>
      <c r="S371" s="5"/>
      <c r="T371" s="7">
        <v>1260</v>
      </c>
      <c r="U371" s="7">
        <v>0</v>
      </c>
      <c r="V371" s="7">
        <v>0</v>
      </c>
      <c r="W371" s="7">
        <v>0</v>
      </c>
      <c r="X371" s="7">
        <v>0</v>
      </c>
      <c r="Y371" s="7">
        <v>-1260</v>
      </c>
    </row>
    <row r="372" spans="1:25" ht="51" x14ac:dyDescent="0.2">
      <c r="A372" s="5" t="s">
        <v>555</v>
      </c>
      <c r="B372" s="5" t="s">
        <v>552</v>
      </c>
      <c r="C372" s="5" t="s">
        <v>229</v>
      </c>
      <c r="D372" s="5" t="s">
        <v>46</v>
      </c>
      <c r="E372" s="5" t="s">
        <v>88</v>
      </c>
      <c r="F372" s="5" t="s">
        <v>18</v>
      </c>
      <c r="G372" s="5" t="s">
        <v>164</v>
      </c>
      <c r="H372" s="5"/>
      <c r="I372" s="6">
        <v>0</v>
      </c>
      <c r="J372" s="6">
        <v>0</v>
      </c>
      <c r="K372" s="6">
        <v>0</v>
      </c>
      <c r="L372" s="6">
        <v>0</v>
      </c>
      <c r="M372" s="5"/>
      <c r="N372" s="6">
        <v>32</v>
      </c>
      <c r="O372" s="6">
        <v>0</v>
      </c>
      <c r="P372" s="6">
        <v>0</v>
      </c>
      <c r="Q372" s="6">
        <v>0</v>
      </c>
      <c r="R372" s="6">
        <v>-32</v>
      </c>
      <c r="S372" s="5"/>
      <c r="T372" s="7">
        <v>2880</v>
      </c>
      <c r="U372" s="7">
        <v>0</v>
      </c>
      <c r="V372" s="7">
        <v>0</v>
      </c>
      <c r="W372" s="7">
        <v>0</v>
      </c>
      <c r="X372" s="7">
        <v>0</v>
      </c>
      <c r="Y372" s="7">
        <v>-2880</v>
      </c>
    </row>
    <row r="373" spans="1:25" ht="51" x14ac:dyDescent="0.2">
      <c r="A373" s="5" t="s">
        <v>556</v>
      </c>
      <c r="B373" s="5" t="s">
        <v>552</v>
      </c>
      <c r="C373" s="5" t="s">
        <v>231</v>
      </c>
      <c r="D373" s="5" t="s">
        <v>46</v>
      </c>
      <c r="E373" s="5" t="s">
        <v>88</v>
      </c>
      <c r="F373" s="5" t="s">
        <v>18</v>
      </c>
      <c r="G373" s="5" t="s">
        <v>164</v>
      </c>
      <c r="H373" s="5"/>
      <c r="I373" s="6">
        <v>0</v>
      </c>
      <c r="J373" s="6">
        <v>0</v>
      </c>
      <c r="K373" s="6">
        <v>0</v>
      </c>
      <c r="L373" s="6">
        <v>0</v>
      </c>
      <c r="M373" s="5"/>
      <c r="N373" s="6">
        <v>39</v>
      </c>
      <c r="O373" s="6">
        <v>0</v>
      </c>
      <c r="P373" s="6">
        <v>0</v>
      </c>
      <c r="Q373" s="6">
        <v>0</v>
      </c>
      <c r="R373" s="6">
        <v>-39</v>
      </c>
      <c r="S373" s="5"/>
      <c r="T373" s="7">
        <v>3510</v>
      </c>
      <c r="U373" s="7">
        <v>0</v>
      </c>
      <c r="V373" s="7">
        <v>0</v>
      </c>
      <c r="W373" s="7">
        <v>0</v>
      </c>
      <c r="X373" s="7">
        <v>0</v>
      </c>
      <c r="Y373" s="7">
        <v>-3510</v>
      </c>
    </row>
    <row r="374" spans="1:25" ht="51" x14ac:dyDescent="0.2">
      <c r="A374" s="5" t="s">
        <v>557</v>
      </c>
      <c r="B374" s="5" t="s">
        <v>552</v>
      </c>
      <c r="C374" s="5" t="s">
        <v>237</v>
      </c>
      <c r="D374" s="5" t="s">
        <v>46</v>
      </c>
      <c r="E374" s="5" t="s">
        <v>88</v>
      </c>
      <c r="F374" s="5" t="s">
        <v>18</v>
      </c>
      <c r="G374" s="5" t="s">
        <v>164</v>
      </c>
      <c r="H374" s="5"/>
      <c r="I374" s="6">
        <v>0</v>
      </c>
      <c r="J374" s="6">
        <v>0</v>
      </c>
      <c r="K374" s="6">
        <v>0</v>
      </c>
      <c r="L374" s="6">
        <v>0</v>
      </c>
      <c r="M374" s="5"/>
      <c r="N374" s="6">
        <v>228</v>
      </c>
      <c r="O374" s="6">
        <v>0</v>
      </c>
      <c r="P374" s="6">
        <v>0</v>
      </c>
      <c r="Q374" s="6">
        <v>0</v>
      </c>
      <c r="R374" s="6">
        <v>-228</v>
      </c>
      <c r="S374" s="5"/>
      <c r="T374" s="7">
        <v>20520</v>
      </c>
      <c r="U374" s="7">
        <v>0</v>
      </c>
      <c r="V374" s="7">
        <v>0</v>
      </c>
      <c r="W374" s="7">
        <v>0</v>
      </c>
      <c r="X374" s="7">
        <v>0</v>
      </c>
      <c r="Y374" s="7">
        <v>-20520</v>
      </c>
    </row>
    <row r="375" spans="1:25" ht="51" x14ac:dyDescent="0.2">
      <c r="A375" s="5" t="s">
        <v>558</v>
      </c>
      <c r="B375" s="5" t="s">
        <v>552</v>
      </c>
      <c r="C375" s="5" t="s">
        <v>239</v>
      </c>
      <c r="D375" s="5" t="s">
        <v>46</v>
      </c>
      <c r="E375" s="5" t="s">
        <v>88</v>
      </c>
      <c r="F375" s="5" t="s">
        <v>18</v>
      </c>
      <c r="G375" s="5" t="s">
        <v>164</v>
      </c>
      <c r="H375" s="5"/>
      <c r="I375" s="6">
        <v>0</v>
      </c>
      <c r="J375" s="6">
        <v>0</v>
      </c>
      <c r="K375" s="6">
        <v>0</v>
      </c>
      <c r="L375" s="6">
        <v>0</v>
      </c>
      <c r="M375" s="5"/>
      <c r="N375" s="6">
        <v>35</v>
      </c>
      <c r="O375" s="6">
        <v>0</v>
      </c>
      <c r="P375" s="6">
        <v>0</v>
      </c>
      <c r="Q375" s="6">
        <v>0</v>
      </c>
      <c r="R375" s="6">
        <v>-35</v>
      </c>
      <c r="S375" s="5"/>
      <c r="T375" s="7">
        <v>3150</v>
      </c>
      <c r="U375" s="7">
        <v>0</v>
      </c>
      <c r="V375" s="7">
        <v>0</v>
      </c>
      <c r="W375" s="7">
        <v>0</v>
      </c>
      <c r="X375" s="7">
        <v>0</v>
      </c>
      <c r="Y375" s="7">
        <v>-3150</v>
      </c>
    </row>
    <row r="376" spans="1:25" ht="51" x14ac:dyDescent="0.2">
      <c r="A376" s="5" t="s">
        <v>559</v>
      </c>
      <c r="B376" s="5" t="s">
        <v>560</v>
      </c>
      <c r="C376" s="5" t="s">
        <v>16</v>
      </c>
      <c r="D376" s="5" t="s">
        <v>335</v>
      </c>
      <c r="E376" s="5" t="s">
        <v>88</v>
      </c>
      <c r="F376" s="5" t="s">
        <v>18</v>
      </c>
      <c r="G376" s="5" t="s">
        <v>164</v>
      </c>
      <c r="H376" s="5"/>
      <c r="I376" s="6">
        <v>0</v>
      </c>
      <c r="J376" s="6">
        <v>0</v>
      </c>
      <c r="K376" s="6">
        <v>0</v>
      </c>
      <c r="L376" s="6">
        <v>0</v>
      </c>
      <c r="M376" s="5"/>
      <c r="N376" s="6">
        <v>2067</v>
      </c>
      <c r="O376" s="6">
        <v>5512.5</v>
      </c>
      <c r="P376" s="6">
        <v>5512.5</v>
      </c>
      <c r="Q376" s="6">
        <v>0</v>
      </c>
      <c r="R376" s="6">
        <v>3445.5</v>
      </c>
      <c r="S376" s="5"/>
      <c r="T376" s="7">
        <v>185959.76</v>
      </c>
      <c r="U376" s="7">
        <v>577464.25</v>
      </c>
      <c r="V376" s="7">
        <v>0</v>
      </c>
      <c r="W376" s="7">
        <v>577464.25</v>
      </c>
      <c r="X376" s="7">
        <v>0</v>
      </c>
      <c r="Y376" s="7">
        <v>391504.49</v>
      </c>
    </row>
    <row r="377" spans="1:25" ht="51" x14ac:dyDescent="0.2">
      <c r="A377" s="5" t="s">
        <v>561</v>
      </c>
      <c r="B377" s="5" t="s">
        <v>562</v>
      </c>
      <c r="C377" s="5" t="s">
        <v>16</v>
      </c>
      <c r="D377" s="5" t="s">
        <v>23</v>
      </c>
      <c r="E377" s="5" t="s">
        <v>88</v>
      </c>
      <c r="F377" s="5" t="s">
        <v>18</v>
      </c>
      <c r="G377" s="5"/>
      <c r="H377" s="5"/>
      <c r="I377" s="6">
        <v>0</v>
      </c>
      <c r="J377" s="6">
        <v>0</v>
      </c>
      <c r="K377" s="6">
        <v>0</v>
      </c>
      <c r="L377" s="6">
        <v>0</v>
      </c>
      <c r="M377" s="5"/>
      <c r="N377" s="6">
        <v>0</v>
      </c>
      <c r="O377" s="6">
        <v>0</v>
      </c>
      <c r="P377" s="6">
        <v>0</v>
      </c>
      <c r="Q377" s="6">
        <v>0</v>
      </c>
      <c r="R377" s="6">
        <v>0</v>
      </c>
      <c r="S377" s="5"/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</row>
    <row r="378" spans="1:25" ht="63.75" x14ac:dyDescent="0.2">
      <c r="A378" s="5" t="s">
        <v>563</v>
      </c>
      <c r="B378" s="5" t="s">
        <v>564</v>
      </c>
      <c r="C378" s="5" t="s">
        <v>225</v>
      </c>
      <c r="D378" s="5" t="s">
        <v>493</v>
      </c>
      <c r="E378" s="5" t="s">
        <v>88</v>
      </c>
      <c r="F378" s="5" t="s">
        <v>18</v>
      </c>
      <c r="G378" s="5" t="s">
        <v>164</v>
      </c>
      <c r="H378" s="5"/>
      <c r="I378" s="6">
        <v>0</v>
      </c>
      <c r="J378" s="6">
        <v>0</v>
      </c>
      <c r="K378" s="6">
        <v>0</v>
      </c>
      <c r="L378" s="6">
        <v>0</v>
      </c>
      <c r="M378" s="5"/>
      <c r="N378" s="6">
        <v>0</v>
      </c>
      <c r="O378" s="6">
        <v>144</v>
      </c>
      <c r="P378" s="6">
        <v>144</v>
      </c>
      <c r="Q378" s="6">
        <v>0</v>
      </c>
      <c r="R378" s="6">
        <v>144</v>
      </c>
      <c r="S378" s="5"/>
      <c r="T378" s="7">
        <v>0</v>
      </c>
      <c r="U378" s="7">
        <v>12307.41</v>
      </c>
      <c r="V378" s="7">
        <v>0</v>
      </c>
      <c r="W378" s="7">
        <v>12307.41</v>
      </c>
      <c r="X378" s="7">
        <v>0</v>
      </c>
      <c r="Y378" s="7">
        <v>12307.41</v>
      </c>
    </row>
    <row r="379" spans="1:25" ht="63.75" x14ac:dyDescent="0.2">
      <c r="A379" s="5" t="s">
        <v>565</v>
      </c>
      <c r="B379" s="5" t="s">
        <v>566</v>
      </c>
      <c r="C379" s="5" t="s">
        <v>385</v>
      </c>
      <c r="D379" s="5" t="s">
        <v>493</v>
      </c>
      <c r="E379" s="5" t="s">
        <v>88</v>
      </c>
      <c r="F379" s="5" t="s">
        <v>18</v>
      </c>
      <c r="G379" s="5" t="s">
        <v>164</v>
      </c>
      <c r="H379" s="5"/>
      <c r="I379" s="6">
        <v>0</v>
      </c>
      <c r="J379" s="6">
        <v>0</v>
      </c>
      <c r="K379" s="6">
        <v>0</v>
      </c>
      <c r="L379" s="6">
        <v>0</v>
      </c>
      <c r="M379" s="5"/>
      <c r="N379" s="6">
        <v>0</v>
      </c>
      <c r="O379" s="6">
        <v>176</v>
      </c>
      <c r="P379" s="6">
        <v>176</v>
      </c>
      <c r="Q379" s="6">
        <v>0</v>
      </c>
      <c r="R379" s="6">
        <v>176</v>
      </c>
      <c r="S379" s="5"/>
      <c r="T379" s="7">
        <v>0</v>
      </c>
      <c r="U379" s="7">
        <v>14496.77</v>
      </c>
      <c r="V379" s="7">
        <v>0</v>
      </c>
      <c r="W379" s="7">
        <v>14496.77</v>
      </c>
      <c r="X379" s="7">
        <v>0</v>
      </c>
      <c r="Y379" s="7">
        <v>14496.77</v>
      </c>
    </row>
    <row r="380" spans="1:25" ht="51" x14ac:dyDescent="0.2">
      <c r="A380" s="5" t="s">
        <v>567</v>
      </c>
      <c r="B380" s="5" t="s">
        <v>568</v>
      </c>
      <c r="C380" s="5" t="s">
        <v>385</v>
      </c>
      <c r="D380" s="5" t="s">
        <v>28</v>
      </c>
      <c r="E380" s="5" t="s">
        <v>88</v>
      </c>
      <c r="F380" s="5" t="s">
        <v>18</v>
      </c>
      <c r="G380" s="5" t="s">
        <v>164</v>
      </c>
      <c r="H380" s="5"/>
      <c r="I380" s="6">
        <v>0</v>
      </c>
      <c r="J380" s="6">
        <v>0</v>
      </c>
      <c r="K380" s="6">
        <v>0</v>
      </c>
      <c r="L380" s="6">
        <v>0</v>
      </c>
      <c r="M380" s="5"/>
      <c r="N380" s="6">
        <v>0</v>
      </c>
      <c r="O380" s="6">
        <v>784</v>
      </c>
      <c r="P380" s="6">
        <v>784</v>
      </c>
      <c r="Q380" s="6">
        <v>0</v>
      </c>
      <c r="R380" s="6">
        <v>784</v>
      </c>
      <c r="S380" s="5"/>
      <c r="T380" s="7">
        <v>0</v>
      </c>
      <c r="U380" s="7">
        <v>64475.37</v>
      </c>
      <c r="V380" s="7">
        <v>0</v>
      </c>
      <c r="W380" s="7">
        <v>64475.37</v>
      </c>
      <c r="X380" s="7">
        <v>0</v>
      </c>
      <c r="Y380" s="7">
        <v>64475.37</v>
      </c>
    </row>
    <row r="381" spans="1:25" ht="51" x14ac:dyDescent="0.2">
      <c r="A381" s="5" t="s">
        <v>569</v>
      </c>
      <c r="B381" s="5" t="s">
        <v>570</v>
      </c>
      <c r="C381" s="5" t="s">
        <v>225</v>
      </c>
      <c r="D381" s="5" t="s">
        <v>28</v>
      </c>
      <c r="E381" s="5" t="s">
        <v>88</v>
      </c>
      <c r="F381" s="5" t="s">
        <v>18</v>
      </c>
      <c r="G381" s="5" t="s">
        <v>164</v>
      </c>
      <c r="H381" s="5"/>
      <c r="I381" s="6">
        <v>0</v>
      </c>
      <c r="J381" s="6">
        <v>0</v>
      </c>
      <c r="K381" s="6">
        <v>0</v>
      </c>
      <c r="L381" s="6">
        <v>0</v>
      </c>
      <c r="M381" s="5"/>
      <c r="N381" s="6">
        <v>600</v>
      </c>
      <c r="O381" s="6">
        <v>1722.5</v>
      </c>
      <c r="P381" s="6">
        <v>1722.5</v>
      </c>
      <c r="Q381" s="6">
        <v>0</v>
      </c>
      <c r="R381" s="6">
        <v>1122.5</v>
      </c>
      <c r="S381" s="5"/>
      <c r="T381" s="7">
        <v>54000</v>
      </c>
      <c r="U381" s="7">
        <v>137863.91</v>
      </c>
      <c r="V381" s="7">
        <v>0</v>
      </c>
      <c r="W381" s="7">
        <v>137863.91</v>
      </c>
      <c r="X381" s="7">
        <v>0</v>
      </c>
      <c r="Y381" s="7">
        <v>83863.91</v>
      </c>
    </row>
    <row r="382" spans="1:25" ht="51" x14ac:dyDescent="0.2">
      <c r="A382" s="5" t="s">
        <v>571</v>
      </c>
      <c r="B382" s="5" t="s">
        <v>570</v>
      </c>
      <c r="C382" s="5" t="s">
        <v>237</v>
      </c>
      <c r="D382" s="5" t="s">
        <v>28</v>
      </c>
      <c r="E382" s="5" t="s">
        <v>88</v>
      </c>
      <c r="F382" s="5" t="s">
        <v>18</v>
      </c>
      <c r="G382" s="5" t="s">
        <v>164</v>
      </c>
      <c r="H382" s="5"/>
      <c r="I382" s="6">
        <v>0</v>
      </c>
      <c r="J382" s="6">
        <v>0</v>
      </c>
      <c r="K382" s="6">
        <v>0</v>
      </c>
      <c r="L382" s="6">
        <v>0</v>
      </c>
      <c r="M382" s="5"/>
      <c r="N382" s="6">
        <v>239</v>
      </c>
      <c r="O382" s="6">
        <v>485</v>
      </c>
      <c r="P382" s="6">
        <v>493</v>
      </c>
      <c r="Q382" s="6">
        <v>8</v>
      </c>
      <c r="R382" s="6">
        <v>254</v>
      </c>
      <c r="S382" s="5"/>
      <c r="T382" s="7">
        <v>21510</v>
      </c>
      <c r="U382" s="7">
        <v>43267.4</v>
      </c>
      <c r="V382" s="7">
        <v>0</v>
      </c>
      <c r="W382" s="7">
        <v>43987.4</v>
      </c>
      <c r="X382" s="7">
        <v>720</v>
      </c>
      <c r="Y382" s="7">
        <v>22477.4</v>
      </c>
    </row>
    <row r="383" spans="1:25" ht="51" x14ac:dyDescent="0.2">
      <c r="A383" s="5" t="s">
        <v>572</v>
      </c>
      <c r="B383" s="5" t="s">
        <v>573</v>
      </c>
      <c r="C383" s="5" t="s">
        <v>225</v>
      </c>
      <c r="D383" s="5" t="s">
        <v>28</v>
      </c>
      <c r="E383" s="5" t="s">
        <v>88</v>
      </c>
      <c r="F383" s="5" t="s">
        <v>18</v>
      </c>
      <c r="G383" s="5" t="s">
        <v>164</v>
      </c>
      <c r="H383" s="5"/>
      <c r="I383" s="6">
        <v>0</v>
      </c>
      <c r="J383" s="6">
        <v>0</v>
      </c>
      <c r="K383" s="6">
        <v>0</v>
      </c>
      <c r="L383" s="6">
        <v>0</v>
      </c>
      <c r="M383" s="5"/>
      <c r="N383" s="6">
        <v>700</v>
      </c>
      <c r="O383" s="6">
        <v>2261</v>
      </c>
      <c r="P383" s="6">
        <v>2261</v>
      </c>
      <c r="Q383" s="6">
        <v>0</v>
      </c>
      <c r="R383" s="6">
        <v>1561</v>
      </c>
      <c r="S383" s="5"/>
      <c r="T383" s="7">
        <v>63000</v>
      </c>
      <c r="U383" s="7">
        <v>177565.84</v>
      </c>
      <c r="V383" s="7">
        <v>0</v>
      </c>
      <c r="W383" s="7">
        <v>177565.84</v>
      </c>
      <c r="X383" s="7">
        <v>0</v>
      </c>
      <c r="Y383" s="7">
        <v>114565.84</v>
      </c>
    </row>
    <row r="384" spans="1:25" ht="51" x14ac:dyDescent="0.2">
      <c r="A384" s="5" t="s">
        <v>574</v>
      </c>
      <c r="B384" s="5" t="s">
        <v>573</v>
      </c>
      <c r="C384" s="5" t="s">
        <v>233</v>
      </c>
      <c r="D384" s="5" t="s">
        <v>28</v>
      </c>
      <c r="E384" s="5" t="s">
        <v>88</v>
      </c>
      <c r="F384" s="5" t="s">
        <v>18</v>
      </c>
      <c r="G384" s="5" t="s">
        <v>164</v>
      </c>
      <c r="H384" s="5"/>
      <c r="I384" s="6">
        <v>0</v>
      </c>
      <c r="J384" s="6">
        <v>0</v>
      </c>
      <c r="K384" s="6">
        <v>0</v>
      </c>
      <c r="L384" s="6">
        <v>0</v>
      </c>
      <c r="M384" s="5"/>
      <c r="N384" s="6">
        <v>75</v>
      </c>
      <c r="O384" s="6">
        <v>96</v>
      </c>
      <c r="P384" s="6">
        <v>96</v>
      </c>
      <c r="Q384" s="6">
        <v>0</v>
      </c>
      <c r="R384" s="6">
        <v>21</v>
      </c>
      <c r="S384" s="5"/>
      <c r="T384" s="7">
        <v>6750</v>
      </c>
      <c r="U384" s="7">
        <v>9282.57</v>
      </c>
      <c r="V384" s="7">
        <v>0</v>
      </c>
      <c r="W384" s="7">
        <v>9282.57</v>
      </c>
      <c r="X384" s="7">
        <v>0</v>
      </c>
      <c r="Y384" s="7">
        <v>2532.5700000000002</v>
      </c>
    </row>
    <row r="385" spans="1:25" ht="51" x14ac:dyDescent="0.2">
      <c r="A385" s="5" t="s">
        <v>575</v>
      </c>
      <c r="B385" s="5" t="s">
        <v>573</v>
      </c>
      <c r="C385" s="5" t="s">
        <v>235</v>
      </c>
      <c r="D385" s="5" t="s">
        <v>28</v>
      </c>
      <c r="E385" s="5" t="s">
        <v>88</v>
      </c>
      <c r="F385" s="5" t="s">
        <v>18</v>
      </c>
      <c r="G385" s="5" t="s">
        <v>164</v>
      </c>
      <c r="H385" s="5"/>
      <c r="I385" s="6">
        <v>0</v>
      </c>
      <c r="J385" s="6">
        <v>0</v>
      </c>
      <c r="K385" s="6">
        <v>0</v>
      </c>
      <c r="L385" s="6">
        <v>0</v>
      </c>
      <c r="M385" s="5"/>
      <c r="N385" s="6">
        <v>83</v>
      </c>
      <c r="O385" s="6">
        <v>0</v>
      </c>
      <c r="P385" s="6">
        <v>0</v>
      </c>
      <c r="Q385" s="6">
        <v>0</v>
      </c>
      <c r="R385" s="6">
        <v>-83</v>
      </c>
      <c r="S385" s="5"/>
      <c r="T385" s="7">
        <v>6990.88</v>
      </c>
      <c r="U385" s="7">
        <v>0</v>
      </c>
      <c r="V385" s="7">
        <v>0</v>
      </c>
      <c r="W385" s="7">
        <v>0</v>
      </c>
      <c r="X385" s="7">
        <v>0</v>
      </c>
      <c r="Y385" s="7">
        <v>-6990.88</v>
      </c>
    </row>
    <row r="386" spans="1:25" ht="63.75" x14ac:dyDescent="0.2">
      <c r="A386" s="5" t="s">
        <v>576</v>
      </c>
      <c r="B386" s="5" t="s">
        <v>577</v>
      </c>
      <c r="C386" s="5" t="s">
        <v>225</v>
      </c>
      <c r="D386" s="5" t="s">
        <v>28</v>
      </c>
      <c r="E386" s="5" t="s">
        <v>88</v>
      </c>
      <c r="F386" s="5" t="s">
        <v>18</v>
      </c>
      <c r="G386" s="5" t="s">
        <v>164</v>
      </c>
      <c r="H386" s="5"/>
      <c r="I386" s="6">
        <v>0</v>
      </c>
      <c r="J386" s="6">
        <v>0</v>
      </c>
      <c r="K386" s="6">
        <v>0</v>
      </c>
      <c r="L386" s="6">
        <v>0</v>
      </c>
      <c r="M386" s="5"/>
      <c r="N386" s="6">
        <v>82</v>
      </c>
      <c r="O386" s="6">
        <v>245</v>
      </c>
      <c r="P386" s="6">
        <v>245</v>
      </c>
      <c r="Q386" s="6">
        <v>0</v>
      </c>
      <c r="R386" s="6">
        <v>163</v>
      </c>
      <c r="S386" s="5"/>
      <c r="T386" s="7">
        <v>7380</v>
      </c>
      <c r="U386" s="7">
        <v>19454.73</v>
      </c>
      <c r="V386" s="7">
        <v>0</v>
      </c>
      <c r="W386" s="7">
        <v>19454.73</v>
      </c>
      <c r="X386" s="7">
        <v>0</v>
      </c>
      <c r="Y386" s="7">
        <v>12074.73</v>
      </c>
    </row>
    <row r="387" spans="1:25" ht="63.75" x14ac:dyDescent="0.2">
      <c r="A387" s="5" t="s">
        <v>578</v>
      </c>
      <c r="B387" s="5" t="s">
        <v>577</v>
      </c>
      <c r="C387" s="5" t="s">
        <v>122</v>
      </c>
      <c r="D387" s="5" t="s">
        <v>28</v>
      </c>
      <c r="E387" s="5" t="s">
        <v>88</v>
      </c>
      <c r="F387" s="5" t="s">
        <v>18</v>
      </c>
      <c r="G387" s="5" t="s">
        <v>164</v>
      </c>
      <c r="H387" s="5"/>
      <c r="I387" s="6">
        <v>0</v>
      </c>
      <c r="J387" s="6">
        <v>0</v>
      </c>
      <c r="K387" s="6">
        <v>0</v>
      </c>
      <c r="L387" s="6">
        <v>0</v>
      </c>
      <c r="M387" s="5"/>
      <c r="N387" s="6">
        <v>62</v>
      </c>
      <c r="O387" s="6">
        <v>69</v>
      </c>
      <c r="P387" s="6">
        <v>69</v>
      </c>
      <c r="Q387" s="6">
        <v>0</v>
      </c>
      <c r="R387" s="6">
        <v>7</v>
      </c>
      <c r="S387" s="5"/>
      <c r="T387" s="7">
        <v>5580</v>
      </c>
      <c r="U387" s="7">
        <v>6501.13</v>
      </c>
      <c r="V387" s="7">
        <v>0</v>
      </c>
      <c r="W387" s="7">
        <v>6501.13</v>
      </c>
      <c r="X387" s="7">
        <v>0</v>
      </c>
      <c r="Y387" s="7">
        <v>921.13</v>
      </c>
    </row>
    <row r="388" spans="1:25" ht="63.75" x14ac:dyDescent="0.2">
      <c r="A388" s="5" t="s">
        <v>579</v>
      </c>
      <c r="B388" s="5" t="s">
        <v>577</v>
      </c>
      <c r="C388" s="5" t="s">
        <v>227</v>
      </c>
      <c r="D388" s="5" t="s">
        <v>28</v>
      </c>
      <c r="E388" s="5" t="s">
        <v>88</v>
      </c>
      <c r="F388" s="5" t="s">
        <v>18</v>
      </c>
      <c r="G388" s="5" t="s">
        <v>164</v>
      </c>
      <c r="H388" s="5"/>
      <c r="I388" s="6">
        <v>0</v>
      </c>
      <c r="J388" s="6">
        <v>0</v>
      </c>
      <c r="K388" s="6">
        <v>0</v>
      </c>
      <c r="L388" s="6">
        <v>0</v>
      </c>
      <c r="M388" s="5"/>
      <c r="N388" s="6">
        <v>371</v>
      </c>
      <c r="O388" s="6">
        <v>728</v>
      </c>
      <c r="P388" s="6">
        <v>728</v>
      </c>
      <c r="Q388" s="6">
        <v>0</v>
      </c>
      <c r="R388" s="6">
        <v>357</v>
      </c>
      <c r="S388" s="5"/>
      <c r="T388" s="7">
        <v>33390</v>
      </c>
      <c r="U388" s="7">
        <v>62998.07</v>
      </c>
      <c r="V388" s="7">
        <v>0</v>
      </c>
      <c r="W388" s="7">
        <v>62998.07</v>
      </c>
      <c r="X388" s="7">
        <v>0</v>
      </c>
      <c r="Y388" s="7">
        <v>29608.07</v>
      </c>
    </row>
    <row r="389" spans="1:25" ht="63.75" x14ac:dyDescent="0.2">
      <c r="A389" s="5" t="s">
        <v>580</v>
      </c>
      <c r="B389" s="5" t="s">
        <v>577</v>
      </c>
      <c r="C389" s="5" t="s">
        <v>245</v>
      </c>
      <c r="D389" s="5" t="s">
        <v>28</v>
      </c>
      <c r="E389" s="5" t="s">
        <v>88</v>
      </c>
      <c r="F389" s="5" t="s">
        <v>18</v>
      </c>
      <c r="G389" s="5" t="s">
        <v>164</v>
      </c>
      <c r="H389" s="5"/>
      <c r="I389" s="6">
        <v>0</v>
      </c>
      <c r="J389" s="6">
        <v>0</v>
      </c>
      <c r="K389" s="6">
        <v>0</v>
      </c>
      <c r="L389" s="6">
        <v>0</v>
      </c>
      <c r="M389" s="5"/>
      <c r="N389" s="6">
        <v>200</v>
      </c>
      <c r="O389" s="6">
        <v>210</v>
      </c>
      <c r="P389" s="6">
        <v>210</v>
      </c>
      <c r="Q389" s="6">
        <v>0</v>
      </c>
      <c r="R389" s="6">
        <v>10</v>
      </c>
      <c r="S389" s="5"/>
      <c r="T389" s="7">
        <v>18000</v>
      </c>
      <c r="U389" s="7">
        <v>18404.39</v>
      </c>
      <c r="V389" s="7">
        <v>0</v>
      </c>
      <c r="W389" s="7">
        <v>18404.39</v>
      </c>
      <c r="X389" s="7">
        <v>0</v>
      </c>
      <c r="Y389" s="7">
        <v>404.39</v>
      </c>
    </row>
    <row r="390" spans="1:25" ht="63.75" x14ac:dyDescent="0.2">
      <c r="A390" s="5" t="s">
        <v>581</v>
      </c>
      <c r="B390" s="5" t="s">
        <v>577</v>
      </c>
      <c r="C390" s="5" t="s">
        <v>229</v>
      </c>
      <c r="D390" s="5" t="s">
        <v>28</v>
      </c>
      <c r="E390" s="5" t="s">
        <v>88</v>
      </c>
      <c r="F390" s="5" t="s">
        <v>18</v>
      </c>
      <c r="G390" s="5" t="s">
        <v>164</v>
      </c>
      <c r="H390" s="5"/>
      <c r="I390" s="6">
        <v>0</v>
      </c>
      <c r="J390" s="6">
        <v>0</v>
      </c>
      <c r="K390" s="6">
        <v>0</v>
      </c>
      <c r="L390" s="6">
        <v>0</v>
      </c>
      <c r="M390" s="5"/>
      <c r="N390" s="6">
        <v>300</v>
      </c>
      <c r="O390" s="6">
        <v>527</v>
      </c>
      <c r="P390" s="6">
        <v>527</v>
      </c>
      <c r="Q390" s="6">
        <v>0</v>
      </c>
      <c r="R390" s="6">
        <v>227</v>
      </c>
      <c r="S390" s="5"/>
      <c r="T390" s="7">
        <v>27000</v>
      </c>
      <c r="U390" s="7">
        <v>45590.5</v>
      </c>
      <c r="V390" s="7">
        <v>0</v>
      </c>
      <c r="W390" s="7">
        <v>45617.08</v>
      </c>
      <c r="X390" s="7">
        <v>26.58</v>
      </c>
      <c r="Y390" s="7">
        <v>18617.080000000002</v>
      </c>
    </row>
    <row r="391" spans="1:25" ht="63.75" x14ac:dyDescent="0.2">
      <c r="A391" s="5" t="s">
        <v>582</v>
      </c>
      <c r="B391" s="5" t="s">
        <v>577</v>
      </c>
      <c r="C391" s="5" t="s">
        <v>231</v>
      </c>
      <c r="D391" s="5" t="s">
        <v>28</v>
      </c>
      <c r="E391" s="5" t="s">
        <v>88</v>
      </c>
      <c r="F391" s="5" t="s">
        <v>18</v>
      </c>
      <c r="G391" s="5" t="s">
        <v>164</v>
      </c>
      <c r="H391" s="5"/>
      <c r="I391" s="6">
        <v>0</v>
      </c>
      <c r="J391" s="6">
        <v>0</v>
      </c>
      <c r="K391" s="6">
        <v>0</v>
      </c>
      <c r="L391" s="6">
        <v>0</v>
      </c>
      <c r="M391" s="5"/>
      <c r="N391" s="6">
        <v>320</v>
      </c>
      <c r="O391" s="6">
        <v>351</v>
      </c>
      <c r="P391" s="6">
        <v>351</v>
      </c>
      <c r="Q391" s="6">
        <v>0</v>
      </c>
      <c r="R391" s="6">
        <v>31</v>
      </c>
      <c r="S391" s="5"/>
      <c r="T391" s="7">
        <v>28800</v>
      </c>
      <c r="U391" s="7">
        <v>24353.11</v>
      </c>
      <c r="V391" s="7">
        <v>0</v>
      </c>
      <c r="W391" s="7">
        <v>24353.11</v>
      </c>
      <c r="X391" s="7">
        <v>0</v>
      </c>
      <c r="Y391" s="7">
        <v>-4446.8900000000003</v>
      </c>
    </row>
    <row r="392" spans="1:25" ht="63.75" x14ac:dyDescent="0.2">
      <c r="A392" s="5" t="s">
        <v>583</v>
      </c>
      <c r="B392" s="5" t="s">
        <v>577</v>
      </c>
      <c r="C392" s="5" t="s">
        <v>233</v>
      </c>
      <c r="D392" s="5" t="s">
        <v>28</v>
      </c>
      <c r="E392" s="5" t="s">
        <v>88</v>
      </c>
      <c r="F392" s="5" t="s">
        <v>18</v>
      </c>
      <c r="G392" s="5" t="s">
        <v>164</v>
      </c>
      <c r="H392" s="5"/>
      <c r="I392" s="6">
        <v>0</v>
      </c>
      <c r="J392" s="6">
        <v>0</v>
      </c>
      <c r="K392" s="6">
        <v>0</v>
      </c>
      <c r="L392" s="6">
        <v>0</v>
      </c>
      <c r="M392" s="5"/>
      <c r="N392" s="6">
        <v>180</v>
      </c>
      <c r="O392" s="6">
        <v>448</v>
      </c>
      <c r="P392" s="6">
        <v>448</v>
      </c>
      <c r="Q392" s="6">
        <v>0</v>
      </c>
      <c r="R392" s="6">
        <v>268</v>
      </c>
      <c r="S392" s="5"/>
      <c r="T392" s="7">
        <v>16200</v>
      </c>
      <c r="U392" s="7">
        <v>34987.32</v>
      </c>
      <c r="V392" s="7">
        <v>0</v>
      </c>
      <c r="W392" s="7">
        <v>34987.32</v>
      </c>
      <c r="X392" s="7">
        <v>0</v>
      </c>
      <c r="Y392" s="7">
        <v>18787.32</v>
      </c>
    </row>
    <row r="393" spans="1:25" ht="63.75" x14ac:dyDescent="0.2">
      <c r="A393" s="5" t="s">
        <v>584</v>
      </c>
      <c r="B393" s="5" t="s">
        <v>577</v>
      </c>
      <c r="C393" s="5" t="s">
        <v>235</v>
      </c>
      <c r="D393" s="5" t="s">
        <v>28</v>
      </c>
      <c r="E393" s="5" t="s">
        <v>88</v>
      </c>
      <c r="F393" s="5" t="s">
        <v>18</v>
      </c>
      <c r="G393" s="5" t="s">
        <v>164</v>
      </c>
      <c r="H393" s="5"/>
      <c r="I393" s="6">
        <v>0</v>
      </c>
      <c r="J393" s="6">
        <v>0</v>
      </c>
      <c r="K393" s="6">
        <v>0</v>
      </c>
      <c r="L393" s="6">
        <v>0</v>
      </c>
      <c r="M393" s="5"/>
      <c r="N393" s="6">
        <v>180</v>
      </c>
      <c r="O393" s="6">
        <v>466</v>
      </c>
      <c r="P393" s="6">
        <v>466</v>
      </c>
      <c r="Q393" s="6">
        <v>0</v>
      </c>
      <c r="R393" s="6">
        <v>286</v>
      </c>
      <c r="S393" s="5"/>
      <c r="T393" s="7">
        <v>16200</v>
      </c>
      <c r="U393" s="7">
        <v>36522.47</v>
      </c>
      <c r="V393" s="7">
        <v>0</v>
      </c>
      <c r="W393" s="7">
        <v>36522.47</v>
      </c>
      <c r="X393" s="7">
        <v>0</v>
      </c>
      <c r="Y393" s="7">
        <v>20322.47</v>
      </c>
    </row>
    <row r="394" spans="1:25" ht="63.75" x14ac:dyDescent="0.2">
      <c r="A394" s="5" t="s">
        <v>585</v>
      </c>
      <c r="B394" s="5" t="s">
        <v>577</v>
      </c>
      <c r="C394" s="5" t="s">
        <v>237</v>
      </c>
      <c r="D394" s="5" t="s">
        <v>28</v>
      </c>
      <c r="E394" s="5" t="s">
        <v>88</v>
      </c>
      <c r="F394" s="5" t="s">
        <v>18</v>
      </c>
      <c r="G394" s="5" t="s">
        <v>164</v>
      </c>
      <c r="H394" s="5"/>
      <c r="I394" s="6">
        <v>0</v>
      </c>
      <c r="J394" s="6">
        <v>0</v>
      </c>
      <c r="K394" s="6">
        <v>0</v>
      </c>
      <c r="L394" s="6">
        <v>0</v>
      </c>
      <c r="M394" s="5"/>
      <c r="N394" s="6">
        <v>1710</v>
      </c>
      <c r="O394" s="6">
        <v>2898.5</v>
      </c>
      <c r="P394" s="6">
        <v>2946.5</v>
      </c>
      <c r="Q394" s="6">
        <v>48</v>
      </c>
      <c r="R394" s="6">
        <v>1236.5</v>
      </c>
      <c r="S394" s="5"/>
      <c r="T394" s="7">
        <v>154355</v>
      </c>
      <c r="U394" s="7">
        <v>243168.46</v>
      </c>
      <c r="V394" s="7">
        <v>0</v>
      </c>
      <c r="W394" s="7">
        <v>248811.88</v>
      </c>
      <c r="X394" s="7">
        <v>5643.42</v>
      </c>
      <c r="Y394" s="7">
        <v>94456.88</v>
      </c>
    </row>
    <row r="395" spans="1:25" ht="63.75" x14ac:dyDescent="0.2">
      <c r="A395" s="5" t="s">
        <v>586</v>
      </c>
      <c r="B395" s="5" t="s">
        <v>577</v>
      </c>
      <c r="C395" s="5" t="s">
        <v>239</v>
      </c>
      <c r="D395" s="5" t="s">
        <v>28</v>
      </c>
      <c r="E395" s="5" t="s">
        <v>88</v>
      </c>
      <c r="F395" s="5" t="s">
        <v>18</v>
      </c>
      <c r="G395" s="5" t="s">
        <v>164</v>
      </c>
      <c r="H395" s="5"/>
      <c r="I395" s="6">
        <v>0</v>
      </c>
      <c r="J395" s="6">
        <v>0</v>
      </c>
      <c r="K395" s="6">
        <v>0</v>
      </c>
      <c r="L395" s="6">
        <v>0</v>
      </c>
      <c r="M395" s="5"/>
      <c r="N395" s="6">
        <v>300</v>
      </c>
      <c r="O395" s="6">
        <v>646</v>
      </c>
      <c r="P395" s="6">
        <v>646</v>
      </c>
      <c r="Q395" s="6">
        <v>0</v>
      </c>
      <c r="R395" s="6">
        <v>346</v>
      </c>
      <c r="S395" s="5"/>
      <c r="T395" s="7">
        <v>27000</v>
      </c>
      <c r="U395" s="7">
        <v>51102.1</v>
      </c>
      <c r="V395" s="7">
        <v>0</v>
      </c>
      <c r="W395" s="7">
        <v>51102.1</v>
      </c>
      <c r="X395" s="7">
        <v>0</v>
      </c>
      <c r="Y395" s="7">
        <v>24102.1</v>
      </c>
    </row>
    <row r="396" spans="1:25" ht="63.75" x14ac:dyDescent="0.2">
      <c r="A396" s="5" t="s">
        <v>587</v>
      </c>
      <c r="B396" s="5" t="s">
        <v>588</v>
      </c>
      <c r="C396" s="5" t="s">
        <v>385</v>
      </c>
      <c r="D396" s="5" t="s">
        <v>28</v>
      </c>
      <c r="E396" s="5" t="s">
        <v>88</v>
      </c>
      <c r="F396" s="5" t="s">
        <v>18</v>
      </c>
      <c r="G396" s="5" t="s">
        <v>164</v>
      </c>
      <c r="H396" s="5"/>
      <c r="I396" s="6">
        <v>0</v>
      </c>
      <c r="J396" s="6">
        <v>0</v>
      </c>
      <c r="K396" s="6">
        <v>0</v>
      </c>
      <c r="L396" s="6">
        <v>0</v>
      </c>
      <c r="M396" s="5"/>
      <c r="N396" s="6">
        <v>0</v>
      </c>
      <c r="O396" s="6">
        <v>21</v>
      </c>
      <c r="P396" s="6">
        <v>21</v>
      </c>
      <c r="Q396" s="6">
        <v>0</v>
      </c>
      <c r="R396" s="6">
        <v>21</v>
      </c>
      <c r="S396" s="5"/>
      <c r="T396" s="7">
        <v>0</v>
      </c>
      <c r="U396" s="7">
        <v>1668.22</v>
      </c>
      <c r="V396" s="7">
        <v>0</v>
      </c>
      <c r="W396" s="7">
        <v>1668.22</v>
      </c>
      <c r="X396" s="7">
        <v>0</v>
      </c>
      <c r="Y396" s="7">
        <v>1668.22</v>
      </c>
    </row>
    <row r="397" spans="1:25" ht="51" x14ac:dyDescent="0.2">
      <c r="A397" s="5" t="s">
        <v>589</v>
      </c>
      <c r="B397" s="5" t="s">
        <v>174</v>
      </c>
      <c r="C397" s="5" t="s">
        <v>225</v>
      </c>
      <c r="D397" s="5" t="s">
        <v>107</v>
      </c>
      <c r="E397" s="5" t="s">
        <v>88</v>
      </c>
      <c r="F397" s="5" t="s">
        <v>18</v>
      </c>
      <c r="G397" s="5" t="s">
        <v>164</v>
      </c>
      <c r="H397" s="5"/>
      <c r="I397" s="6">
        <v>0</v>
      </c>
      <c r="J397" s="6">
        <v>0</v>
      </c>
      <c r="K397" s="6">
        <v>0</v>
      </c>
      <c r="L397" s="6">
        <v>0</v>
      </c>
      <c r="M397" s="5"/>
      <c r="N397" s="6">
        <v>824</v>
      </c>
      <c r="O397" s="6">
        <v>1738</v>
      </c>
      <c r="P397" s="6">
        <v>1738</v>
      </c>
      <c r="Q397" s="6">
        <v>0</v>
      </c>
      <c r="R397" s="6">
        <v>914</v>
      </c>
      <c r="S397" s="5"/>
      <c r="T397" s="7">
        <v>74160</v>
      </c>
      <c r="U397" s="7">
        <v>139437.57999999999</v>
      </c>
      <c r="V397" s="7">
        <v>0</v>
      </c>
      <c r="W397" s="7">
        <v>139437.57999999999</v>
      </c>
      <c r="X397" s="7">
        <v>0</v>
      </c>
      <c r="Y397" s="7">
        <v>65277.58</v>
      </c>
    </row>
    <row r="398" spans="1:25" ht="51" x14ac:dyDescent="0.2">
      <c r="A398" s="5" t="s">
        <v>590</v>
      </c>
      <c r="B398" s="5" t="s">
        <v>174</v>
      </c>
      <c r="C398" s="5" t="s">
        <v>227</v>
      </c>
      <c r="D398" s="5" t="s">
        <v>107</v>
      </c>
      <c r="E398" s="5" t="s">
        <v>88</v>
      </c>
      <c r="F398" s="5" t="s">
        <v>18</v>
      </c>
      <c r="G398" s="5" t="s">
        <v>164</v>
      </c>
      <c r="H398" s="5"/>
      <c r="I398" s="6">
        <v>0</v>
      </c>
      <c r="J398" s="6">
        <v>0</v>
      </c>
      <c r="K398" s="6">
        <v>0</v>
      </c>
      <c r="L398" s="6">
        <v>0</v>
      </c>
      <c r="M398" s="5"/>
      <c r="N398" s="6">
        <v>250</v>
      </c>
      <c r="O398" s="6">
        <v>274</v>
      </c>
      <c r="P398" s="6">
        <v>274</v>
      </c>
      <c r="Q398" s="6">
        <v>0</v>
      </c>
      <c r="R398" s="6">
        <v>24</v>
      </c>
      <c r="S398" s="5"/>
      <c r="T398" s="7">
        <v>22500</v>
      </c>
      <c r="U398" s="7">
        <v>19812.63</v>
      </c>
      <c r="V398" s="7">
        <v>0</v>
      </c>
      <c r="W398" s="7">
        <v>19812.63</v>
      </c>
      <c r="X398" s="7">
        <v>0</v>
      </c>
      <c r="Y398" s="7">
        <v>-2687.37</v>
      </c>
    </row>
    <row r="399" spans="1:25" ht="51" x14ac:dyDescent="0.2">
      <c r="A399" s="5" t="s">
        <v>591</v>
      </c>
      <c r="B399" s="5" t="s">
        <v>174</v>
      </c>
      <c r="C399" s="5" t="s">
        <v>245</v>
      </c>
      <c r="D399" s="5" t="s">
        <v>107</v>
      </c>
      <c r="E399" s="5" t="s">
        <v>88</v>
      </c>
      <c r="F399" s="5" t="s">
        <v>18</v>
      </c>
      <c r="G399" s="5" t="s">
        <v>164</v>
      </c>
      <c r="H399" s="5"/>
      <c r="I399" s="6">
        <v>0</v>
      </c>
      <c r="J399" s="6">
        <v>0</v>
      </c>
      <c r="K399" s="6">
        <v>0</v>
      </c>
      <c r="L399" s="6">
        <v>0</v>
      </c>
      <c r="M399" s="5"/>
      <c r="N399" s="6">
        <v>84</v>
      </c>
      <c r="O399" s="6">
        <v>132</v>
      </c>
      <c r="P399" s="6">
        <v>132</v>
      </c>
      <c r="Q399" s="6">
        <v>0</v>
      </c>
      <c r="R399" s="6">
        <v>48</v>
      </c>
      <c r="S399" s="5"/>
      <c r="T399" s="7">
        <v>7560</v>
      </c>
      <c r="U399" s="7">
        <v>11944.23</v>
      </c>
      <c r="V399" s="7">
        <v>0</v>
      </c>
      <c r="W399" s="7">
        <v>11944.23</v>
      </c>
      <c r="X399" s="7">
        <v>0</v>
      </c>
      <c r="Y399" s="7">
        <v>4384.2299999999996</v>
      </c>
    </row>
    <row r="400" spans="1:25" ht="51" x14ac:dyDescent="0.2">
      <c r="A400" s="5" t="s">
        <v>592</v>
      </c>
      <c r="B400" s="5" t="s">
        <v>174</v>
      </c>
      <c r="C400" s="5" t="s">
        <v>229</v>
      </c>
      <c r="D400" s="5" t="s">
        <v>107</v>
      </c>
      <c r="E400" s="5" t="s">
        <v>88</v>
      </c>
      <c r="F400" s="5" t="s">
        <v>18</v>
      </c>
      <c r="G400" s="5" t="s">
        <v>164</v>
      </c>
      <c r="H400" s="5"/>
      <c r="I400" s="6">
        <v>0</v>
      </c>
      <c r="J400" s="6">
        <v>0</v>
      </c>
      <c r="K400" s="6">
        <v>0</v>
      </c>
      <c r="L400" s="6">
        <v>0</v>
      </c>
      <c r="M400" s="5"/>
      <c r="N400" s="6">
        <v>200</v>
      </c>
      <c r="O400" s="6">
        <v>260</v>
      </c>
      <c r="P400" s="6">
        <v>260</v>
      </c>
      <c r="Q400" s="6">
        <v>0</v>
      </c>
      <c r="R400" s="6">
        <v>60</v>
      </c>
      <c r="S400" s="5"/>
      <c r="T400" s="7">
        <v>18000</v>
      </c>
      <c r="U400" s="7">
        <v>18956.62</v>
      </c>
      <c r="V400" s="7">
        <v>0</v>
      </c>
      <c r="W400" s="7">
        <v>18956.62</v>
      </c>
      <c r="X400" s="7">
        <v>0</v>
      </c>
      <c r="Y400" s="7">
        <v>956.62</v>
      </c>
    </row>
    <row r="401" spans="1:25" ht="51" x14ac:dyDescent="0.2">
      <c r="A401" s="5" t="s">
        <v>593</v>
      </c>
      <c r="B401" s="5" t="s">
        <v>174</v>
      </c>
      <c r="C401" s="5" t="s">
        <v>231</v>
      </c>
      <c r="D401" s="5" t="s">
        <v>107</v>
      </c>
      <c r="E401" s="5" t="s">
        <v>88</v>
      </c>
      <c r="F401" s="5" t="s">
        <v>18</v>
      </c>
      <c r="G401" s="5" t="s">
        <v>164</v>
      </c>
      <c r="H401" s="5"/>
      <c r="I401" s="6">
        <v>0</v>
      </c>
      <c r="J401" s="6">
        <v>0</v>
      </c>
      <c r="K401" s="6">
        <v>0</v>
      </c>
      <c r="L401" s="6">
        <v>0</v>
      </c>
      <c r="M401" s="5"/>
      <c r="N401" s="6">
        <v>251</v>
      </c>
      <c r="O401" s="6">
        <v>463.5</v>
      </c>
      <c r="P401" s="6">
        <v>463.5</v>
      </c>
      <c r="Q401" s="6">
        <v>0</v>
      </c>
      <c r="R401" s="6">
        <v>212.5</v>
      </c>
      <c r="S401" s="5"/>
      <c r="T401" s="7">
        <v>22590</v>
      </c>
      <c r="U401" s="7">
        <v>37782.199999999997</v>
      </c>
      <c r="V401" s="7">
        <v>0</v>
      </c>
      <c r="W401" s="7">
        <v>37782.199999999997</v>
      </c>
      <c r="X401" s="7">
        <v>0</v>
      </c>
      <c r="Y401" s="7">
        <v>15192.2</v>
      </c>
    </row>
    <row r="402" spans="1:25" ht="51" x14ac:dyDescent="0.2">
      <c r="A402" s="5" t="s">
        <v>594</v>
      </c>
      <c r="B402" s="5" t="s">
        <v>174</v>
      </c>
      <c r="C402" s="5" t="s">
        <v>237</v>
      </c>
      <c r="D402" s="5" t="s">
        <v>107</v>
      </c>
      <c r="E402" s="5" t="s">
        <v>88</v>
      </c>
      <c r="F402" s="5" t="s">
        <v>18</v>
      </c>
      <c r="G402" s="5" t="s">
        <v>164</v>
      </c>
      <c r="H402" s="5"/>
      <c r="I402" s="6">
        <v>0</v>
      </c>
      <c r="J402" s="6">
        <v>0</v>
      </c>
      <c r="K402" s="6">
        <v>0</v>
      </c>
      <c r="L402" s="6">
        <v>0</v>
      </c>
      <c r="M402" s="5"/>
      <c r="N402" s="6">
        <v>1623</v>
      </c>
      <c r="O402" s="6">
        <v>2603</v>
      </c>
      <c r="P402" s="6">
        <v>2603</v>
      </c>
      <c r="Q402" s="6">
        <v>0</v>
      </c>
      <c r="R402" s="6">
        <v>980</v>
      </c>
      <c r="S402" s="5"/>
      <c r="T402" s="7">
        <v>146070</v>
      </c>
      <c r="U402" s="7">
        <v>194090.93</v>
      </c>
      <c r="V402" s="7">
        <v>0</v>
      </c>
      <c r="W402" s="7">
        <v>194090.93</v>
      </c>
      <c r="X402" s="7">
        <v>0</v>
      </c>
      <c r="Y402" s="7">
        <v>48020.93</v>
      </c>
    </row>
    <row r="403" spans="1:25" ht="51" x14ac:dyDescent="0.2">
      <c r="A403" s="5" t="s">
        <v>595</v>
      </c>
      <c r="B403" s="5" t="s">
        <v>174</v>
      </c>
      <c r="C403" s="5" t="s">
        <v>239</v>
      </c>
      <c r="D403" s="5" t="s">
        <v>107</v>
      </c>
      <c r="E403" s="5" t="s">
        <v>88</v>
      </c>
      <c r="F403" s="5" t="s">
        <v>18</v>
      </c>
      <c r="G403" s="5" t="s">
        <v>164</v>
      </c>
      <c r="H403" s="5"/>
      <c r="I403" s="6">
        <v>0</v>
      </c>
      <c r="J403" s="6">
        <v>0</v>
      </c>
      <c r="K403" s="6">
        <v>0</v>
      </c>
      <c r="L403" s="6">
        <v>0</v>
      </c>
      <c r="M403" s="5"/>
      <c r="N403" s="6">
        <v>150</v>
      </c>
      <c r="O403" s="6">
        <v>563</v>
      </c>
      <c r="P403" s="6">
        <v>563</v>
      </c>
      <c r="Q403" s="6">
        <v>0</v>
      </c>
      <c r="R403" s="6">
        <v>413</v>
      </c>
      <c r="S403" s="5"/>
      <c r="T403" s="7">
        <v>13500</v>
      </c>
      <c r="U403" s="7">
        <v>43511.16</v>
      </c>
      <c r="V403" s="7">
        <v>0</v>
      </c>
      <c r="W403" s="7">
        <v>43511.16</v>
      </c>
      <c r="X403" s="7">
        <v>0</v>
      </c>
      <c r="Y403" s="7">
        <v>30011.16</v>
      </c>
    </row>
    <row r="404" spans="1:25" ht="51" x14ac:dyDescent="0.2">
      <c r="A404" s="5" t="s">
        <v>596</v>
      </c>
      <c r="B404" s="5" t="s">
        <v>597</v>
      </c>
      <c r="C404" s="5" t="s">
        <v>16</v>
      </c>
      <c r="D404" s="5" t="s">
        <v>506</v>
      </c>
      <c r="E404" s="5" t="s">
        <v>88</v>
      </c>
      <c r="F404" s="5" t="s">
        <v>18</v>
      </c>
      <c r="G404" s="5" t="s">
        <v>164</v>
      </c>
      <c r="H404" s="5"/>
      <c r="I404" s="6">
        <v>0</v>
      </c>
      <c r="J404" s="6">
        <v>0</v>
      </c>
      <c r="K404" s="6">
        <v>0</v>
      </c>
      <c r="L404" s="6">
        <v>0</v>
      </c>
      <c r="M404" s="5"/>
      <c r="N404" s="6">
        <v>0</v>
      </c>
      <c r="O404" s="6">
        <v>16</v>
      </c>
      <c r="P404" s="6">
        <v>16</v>
      </c>
      <c r="Q404" s="6">
        <v>0</v>
      </c>
      <c r="R404" s="6">
        <v>16</v>
      </c>
      <c r="S404" s="5"/>
      <c r="T404" s="7">
        <v>0</v>
      </c>
      <c r="U404" s="7">
        <v>1096.6199999999999</v>
      </c>
      <c r="V404" s="7">
        <v>0</v>
      </c>
      <c r="W404" s="7">
        <v>1096.6199999999999</v>
      </c>
      <c r="X404" s="7">
        <v>0</v>
      </c>
      <c r="Y404" s="7">
        <v>1096.6199999999999</v>
      </c>
    </row>
    <row r="405" spans="1:25" ht="51" x14ac:dyDescent="0.2">
      <c r="A405" s="5" t="s">
        <v>598</v>
      </c>
      <c r="B405" s="5" t="s">
        <v>599</v>
      </c>
      <c r="C405" s="5" t="s">
        <v>225</v>
      </c>
      <c r="D405" s="5" t="s">
        <v>506</v>
      </c>
      <c r="E405" s="5" t="s">
        <v>88</v>
      </c>
      <c r="F405" s="5" t="s">
        <v>18</v>
      </c>
      <c r="G405" s="5" t="s">
        <v>164</v>
      </c>
      <c r="H405" s="5"/>
      <c r="I405" s="6">
        <v>0</v>
      </c>
      <c r="J405" s="6">
        <v>0</v>
      </c>
      <c r="K405" s="6">
        <v>0</v>
      </c>
      <c r="L405" s="6">
        <v>0</v>
      </c>
      <c r="M405" s="5"/>
      <c r="N405" s="6">
        <v>22</v>
      </c>
      <c r="O405" s="6">
        <v>38</v>
      </c>
      <c r="P405" s="6">
        <v>38</v>
      </c>
      <c r="Q405" s="6">
        <v>0</v>
      </c>
      <c r="R405" s="6">
        <v>16</v>
      </c>
      <c r="S405" s="5"/>
      <c r="T405" s="7">
        <v>1980</v>
      </c>
      <c r="U405" s="7">
        <v>2560.3000000000002</v>
      </c>
      <c r="V405" s="7">
        <v>0</v>
      </c>
      <c r="W405" s="7">
        <v>2560.3000000000002</v>
      </c>
      <c r="X405" s="7">
        <v>0</v>
      </c>
      <c r="Y405" s="7">
        <v>580.29999999999995</v>
      </c>
    </row>
    <row r="406" spans="1:25" ht="51" x14ac:dyDescent="0.2">
      <c r="A406" s="5" t="s">
        <v>600</v>
      </c>
      <c r="B406" s="5" t="s">
        <v>599</v>
      </c>
      <c r="C406" s="5" t="s">
        <v>227</v>
      </c>
      <c r="D406" s="5" t="s">
        <v>506</v>
      </c>
      <c r="E406" s="5" t="s">
        <v>88</v>
      </c>
      <c r="F406" s="5" t="s">
        <v>18</v>
      </c>
      <c r="G406" s="5" t="s">
        <v>164</v>
      </c>
      <c r="H406" s="5"/>
      <c r="I406" s="6">
        <v>0</v>
      </c>
      <c r="J406" s="6">
        <v>0</v>
      </c>
      <c r="K406" s="6">
        <v>0</v>
      </c>
      <c r="L406" s="6">
        <v>0</v>
      </c>
      <c r="M406" s="5"/>
      <c r="N406" s="6">
        <v>45</v>
      </c>
      <c r="O406" s="6">
        <v>0</v>
      </c>
      <c r="P406" s="6">
        <v>0</v>
      </c>
      <c r="Q406" s="6">
        <v>0</v>
      </c>
      <c r="R406" s="6">
        <v>-45</v>
      </c>
      <c r="S406" s="5"/>
      <c r="T406" s="7">
        <v>4050</v>
      </c>
      <c r="U406" s="7">
        <v>0</v>
      </c>
      <c r="V406" s="7">
        <v>0</v>
      </c>
      <c r="W406" s="7">
        <v>0</v>
      </c>
      <c r="X406" s="7">
        <v>0</v>
      </c>
      <c r="Y406" s="7">
        <v>-4050</v>
      </c>
    </row>
    <row r="407" spans="1:25" ht="51" x14ac:dyDescent="0.2">
      <c r="A407" s="5" t="s">
        <v>601</v>
      </c>
      <c r="B407" s="5" t="s">
        <v>599</v>
      </c>
      <c r="C407" s="5" t="s">
        <v>245</v>
      </c>
      <c r="D407" s="5" t="s">
        <v>506</v>
      </c>
      <c r="E407" s="5" t="s">
        <v>88</v>
      </c>
      <c r="F407" s="5" t="s">
        <v>18</v>
      </c>
      <c r="G407" s="5" t="s">
        <v>164</v>
      </c>
      <c r="H407" s="5"/>
      <c r="I407" s="6">
        <v>0</v>
      </c>
      <c r="J407" s="6">
        <v>0</v>
      </c>
      <c r="K407" s="6">
        <v>0</v>
      </c>
      <c r="L407" s="6">
        <v>0</v>
      </c>
      <c r="M407" s="5"/>
      <c r="N407" s="6">
        <v>16</v>
      </c>
      <c r="O407" s="6">
        <v>0</v>
      </c>
      <c r="P407" s="6">
        <v>0</v>
      </c>
      <c r="Q407" s="6">
        <v>0</v>
      </c>
      <c r="R407" s="6">
        <v>-16</v>
      </c>
      <c r="S407" s="5"/>
      <c r="T407" s="7">
        <v>1440</v>
      </c>
      <c r="U407" s="7">
        <v>0</v>
      </c>
      <c r="V407" s="7">
        <v>0</v>
      </c>
      <c r="W407" s="7">
        <v>0</v>
      </c>
      <c r="X407" s="7">
        <v>0</v>
      </c>
      <c r="Y407" s="7">
        <v>-1440</v>
      </c>
    </row>
    <row r="408" spans="1:25" ht="51" x14ac:dyDescent="0.2">
      <c r="A408" s="5" t="s">
        <v>602</v>
      </c>
      <c r="B408" s="5" t="s">
        <v>599</v>
      </c>
      <c r="C408" s="5" t="s">
        <v>229</v>
      </c>
      <c r="D408" s="5" t="s">
        <v>506</v>
      </c>
      <c r="E408" s="5" t="s">
        <v>88</v>
      </c>
      <c r="F408" s="5" t="s">
        <v>18</v>
      </c>
      <c r="G408" s="5" t="s">
        <v>164</v>
      </c>
      <c r="H408" s="5"/>
      <c r="I408" s="6">
        <v>0</v>
      </c>
      <c r="J408" s="6">
        <v>0</v>
      </c>
      <c r="K408" s="6">
        <v>0</v>
      </c>
      <c r="L408" s="6">
        <v>0</v>
      </c>
      <c r="M408" s="5"/>
      <c r="N408" s="6">
        <v>35</v>
      </c>
      <c r="O408" s="6">
        <v>0</v>
      </c>
      <c r="P408" s="6">
        <v>0</v>
      </c>
      <c r="Q408" s="6">
        <v>0</v>
      </c>
      <c r="R408" s="6">
        <v>-35</v>
      </c>
      <c r="S408" s="5"/>
      <c r="T408" s="7">
        <v>3150</v>
      </c>
      <c r="U408" s="7">
        <v>0</v>
      </c>
      <c r="V408" s="7">
        <v>0</v>
      </c>
      <c r="W408" s="7">
        <v>0</v>
      </c>
      <c r="X408" s="7">
        <v>0</v>
      </c>
      <c r="Y408" s="7">
        <v>-3150</v>
      </c>
    </row>
    <row r="409" spans="1:25" ht="51" x14ac:dyDescent="0.2">
      <c r="A409" s="5" t="s">
        <v>603</v>
      </c>
      <c r="B409" s="5" t="s">
        <v>599</v>
      </c>
      <c r="C409" s="5" t="s">
        <v>231</v>
      </c>
      <c r="D409" s="5" t="s">
        <v>506</v>
      </c>
      <c r="E409" s="5" t="s">
        <v>88</v>
      </c>
      <c r="F409" s="5" t="s">
        <v>18</v>
      </c>
      <c r="G409" s="5" t="s">
        <v>164</v>
      </c>
      <c r="H409" s="5"/>
      <c r="I409" s="6">
        <v>0</v>
      </c>
      <c r="J409" s="6">
        <v>0</v>
      </c>
      <c r="K409" s="6">
        <v>0</v>
      </c>
      <c r="L409" s="6">
        <v>0</v>
      </c>
      <c r="M409" s="5"/>
      <c r="N409" s="6">
        <v>32</v>
      </c>
      <c r="O409" s="6">
        <v>0</v>
      </c>
      <c r="P409" s="6">
        <v>0</v>
      </c>
      <c r="Q409" s="6">
        <v>0</v>
      </c>
      <c r="R409" s="6">
        <v>-32</v>
      </c>
      <c r="S409" s="5"/>
      <c r="T409" s="7">
        <v>2880</v>
      </c>
      <c r="U409" s="7">
        <v>0</v>
      </c>
      <c r="V409" s="7">
        <v>0</v>
      </c>
      <c r="W409" s="7">
        <v>0</v>
      </c>
      <c r="X409" s="7">
        <v>0</v>
      </c>
      <c r="Y409" s="7">
        <v>-2880</v>
      </c>
    </row>
    <row r="410" spans="1:25" ht="51" x14ac:dyDescent="0.2">
      <c r="A410" s="5" t="s">
        <v>604</v>
      </c>
      <c r="B410" s="5" t="s">
        <v>599</v>
      </c>
      <c r="C410" s="5" t="s">
        <v>237</v>
      </c>
      <c r="D410" s="5" t="s">
        <v>506</v>
      </c>
      <c r="E410" s="5" t="s">
        <v>88</v>
      </c>
      <c r="F410" s="5" t="s">
        <v>18</v>
      </c>
      <c r="G410" s="5" t="s">
        <v>164</v>
      </c>
      <c r="H410" s="5"/>
      <c r="I410" s="6">
        <v>0</v>
      </c>
      <c r="J410" s="6">
        <v>0</v>
      </c>
      <c r="K410" s="6">
        <v>0</v>
      </c>
      <c r="L410" s="6">
        <v>0</v>
      </c>
      <c r="M410" s="5"/>
      <c r="N410" s="6">
        <v>148</v>
      </c>
      <c r="O410" s="6">
        <v>132</v>
      </c>
      <c r="P410" s="6">
        <v>132</v>
      </c>
      <c r="Q410" s="6">
        <v>0</v>
      </c>
      <c r="R410" s="6">
        <v>-16</v>
      </c>
      <c r="S410" s="5"/>
      <c r="T410" s="7">
        <v>13320</v>
      </c>
      <c r="U410" s="7">
        <v>12230.97</v>
      </c>
      <c r="V410" s="7">
        <v>0</v>
      </c>
      <c r="W410" s="7">
        <v>12230.97</v>
      </c>
      <c r="X410" s="7">
        <v>0</v>
      </c>
      <c r="Y410" s="7">
        <v>-1089.03</v>
      </c>
    </row>
    <row r="411" spans="1:25" ht="51" x14ac:dyDescent="0.2">
      <c r="A411" s="5" t="s">
        <v>605</v>
      </c>
      <c r="B411" s="5" t="s">
        <v>599</v>
      </c>
      <c r="C411" s="5" t="s">
        <v>239</v>
      </c>
      <c r="D411" s="5" t="s">
        <v>506</v>
      </c>
      <c r="E411" s="5" t="s">
        <v>88</v>
      </c>
      <c r="F411" s="5" t="s">
        <v>18</v>
      </c>
      <c r="G411" s="5" t="s">
        <v>164</v>
      </c>
      <c r="H411" s="5"/>
      <c r="I411" s="6">
        <v>0</v>
      </c>
      <c r="J411" s="6">
        <v>0</v>
      </c>
      <c r="K411" s="6">
        <v>0</v>
      </c>
      <c r="L411" s="6">
        <v>0</v>
      </c>
      <c r="M411" s="5"/>
      <c r="N411" s="6">
        <v>40</v>
      </c>
      <c r="O411" s="6">
        <v>0</v>
      </c>
      <c r="P411" s="6">
        <v>0</v>
      </c>
      <c r="Q411" s="6">
        <v>0</v>
      </c>
      <c r="R411" s="6">
        <v>-40</v>
      </c>
      <c r="S411" s="5"/>
      <c r="T411" s="7">
        <v>3600</v>
      </c>
      <c r="U411" s="7">
        <v>0</v>
      </c>
      <c r="V411" s="7">
        <v>0</v>
      </c>
      <c r="W411" s="7">
        <v>0</v>
      </c>
      <c r="X411" s="7">
        <v>0</v>
      </c>
      <c r="Y411" s="7">
        <v>-3600</v>
      </c>
    </row>
    <row r="412" spans="1:25" ht="51" x14ac:dyDescent="0.2">
      <c r="A412" s="5" t="s">
        <v>606</v>
      </c>
      <c r="B412" s="5" t="s">
        <v>607</v>
      </c>
      <c r="C412" s="5" t="s">
        <v>16</v>
      </c>
      <c r="D412" s="5" t="s">
        <v>104</v>
      </c>
      <c r="E412" s="5" t="s">
        <v>88</v>
      </c>
      <c r="F412" s="5" t="s">
        <v>18</v>
      </c>
      <c r="G412" s="5" t="s">
        <v>164</v>
      </c>
      <c r="H412" s="5"/>
      <c r="I412" s="6">
        <v>0</v>
      </c>
      <c r="J412" s="6">
        <v>0</v>
      </c>
      <c r="K412" s="6">
        <v>0</v>
      </c>
      <c r="L412" s="6">
        <v>0</v>
      </c>
      <c r="M412" s="5"/>
      <c r="N412" s="6">
        <v>252</v>
      </c>
      <c r="O412" s="6">
        <v>288</v>
      </c>
      <c r="P412" s="6">
        <v>320</v>
      </c>
      <c r="Q412" s="6">
        <v>32</v>
      </c>
      <c r="R412" s="6">
        <v>68</v>
      </c>
      <c r="S412" s="5"/>
      <c r="T412" s="7">
        <v>22680</v>
      </c>
      <c r="U412" s="7">
        <v>19948.560000000001</v>
      </c>
      <c r="V412" s="7">
        <v>0</v>
      </c>
      <c r="W412" s="7">
        <v>22264.2</v>
      </c>
      <c r="X412" s="7">
        <v>2315.64</v>
      </c>
      <c r="Y412" s="7">
        <v>-415.8</v>
      </c>
    </row>
    <row r="413" spans="1:25" ht="51" x14ac:dyDescent="0.2">
      <c r="A413" s="5" t="s">
        <v>608</v>
      </c>
      <c r="B413" s="5" t="s">
        <v>609</v>
      </c>
      <c r="C413" s="5" t="s">
        <v>16</v>
      </c>
      <c r="D413" s="5" t="s">
        <v>104</v>
      </c>
      <c r="E413" s="5" t="s">
        <v>88</v>
      </c>
      <c r="F413" s="5" t="s">
        <v>18</v>
      </c>
      <c r="G413" s="5" t="s">
        <v>164</v>
      </c>
      <c r="H413" s="5"/>
      <c r="I413" s="6">
        <v>0</v>
      </c>
      <c r="J413" s="6">
        <v>0</v>
      </c>
      <c r="K413" s="6">
        <v>0</v>
      </c>
      <c r="L413" s="6">
        <v>0</v>
      </c>
      <c r="M413" s="5"/>
      <c r="N413" s="6">
        <v>0</v>
      </c>
      <c r="O413" s="6">
        <v>386</v>
      </c>
      <c r="P413" s="6">
        <v>398</v>
      </c>
      <c r="Q413" s="6">
        <v>12</v>
      </c>
      <c r="R413" s="6">
        <v>398</v>
      </c>
      <c r="S413" s="5"/>
      <c r="T413" s="7">
        <v>0</v>
      </c>
      <c r="U413" s="7">
        <v>31363.88</v>
      </c>
      <c r="V413" s="7">
        <v>0</v>
      </c>
      <c r="W413" s="7">
        <v>32503.88</v>
      </c>
      <c r="X413" s="7">
        <v>1140</v>
      </c>
      <c r="Y413" s="7">
        <v>32503.88</v>
      </c>
    </row>
    <row r="414" spans="1:25" ht="51" x14ac:dyDescent="0.2">
      <c r="A414" s="5" t="s">
        <v>610</v>
      </c>
      <c r="B414" s="5" t="s">
        <v>611</v>
      </c>
      <c r="C414" s="5" t="s">
        <v>16</v>
      </c>
      <c r="D414" s="5" t="s">
        <v>22</v>
      </c>
      <c r="E414" s="5" t="s">
        <v>88</v>
      </c>
      <c r="F414" s="5" t="s">
        <v>18</v>
      </c>
      <c r="G414" s="5" t="s">
        <v>164</v>
      </c>
      <c r="H414" s="5"/>
      <c r="I414" s="6">
        <v>0</v>
      </c>
      <c r="J414" s="6">
        <v>0</v>
      </c>
      <c r="K414" s="6">
        <v>0</v>
      </c>
      <c r="L414" s="6">
        <v>0</v>
      </c>
      <c r="M414" s="5"/>
      <c r="N414" s="6">
        <v>0</v>
      </c>
      <c r="O414" s="6">
        <v>0</v>
      </c>
      <c r="P414" s="6">
        <v>0</v>
      </c>
      <c r="Q414" s="6">
        <v>0</v>
      </c>
      <c r="R414" s="6">
        <v>0</v>
      </c>
      <c r="S414" s="5"/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</row>
    <row r="415" spans="1:25" ht="51" x14ac:dyDescent="0.2">
      <c r="A415" s="5" t="s">
        <v>612</v>
      </c>
      <c r="B415" s="5" t="s">
        <v>613</v>
      </c>
      <c r="C415" s="5" t="s">
        <v>225</v>
      </c>
      <c r="D415" s="5" t="s">
        <v>22</v>
      </c>
      <c r="E415" s="5" t="s">
        <v>88</v>
      </c>
      <c r="F415" s="5" t="s">
        <v>18</v>
      </c>
      <c r="G415" s="5" t="s">
        <v>164</v>
      </c>
      <c r="H415" s="5"/>
      <c r="I415" s="6">
        <v>0</v>
      </c>
      <c r="J415" s="6">
        <v>0</v>
      </c>
      <c r="K415" s="6">
        <v>0</v>
      </c>
      <c r="L415" s="6">
        <v>0</v>
      </c>
      <c r="M415" s="5"/>
      <c r="N415" s="6">
        <v>99</v>
      </c>
      <c r="O415" s="6">
        <v>137</v>
      </c>
      <c r="P415" s="6">
        <v>137</v>
      </c>
      <c r="Q415" s="6">
        <v>0</v>
      </c>
      <c r="R415" s="6">
        <v>38</v>
      </c>
      <c r="S415" s="5"/>
      <c r="T415" s="7">
        <v>8910</v>
      </c>
      <c r="U415" s="7">
        <v>13518.67</v>
      </c>
      <c r="V415" s="7">
        <v>0</v>
      </c>
      <c r="W415" s="7">
        <v>13518.67</v>
      </c>
      <c r="X415" s="7">
        <v>0</v>
      </c>
      <c r="Y415" s="7">
        <v>4608.67</v>
      </c>
    </row>
    <row r="416" spans="1:25" ht="51" x14ac:dyDescent="0.2">
      <c r="A416" s="5" t="s">
        <v>614</v>
      </c>
      <c r="B416" s="5" t="s">
        <v>613</v>
      </c>
      <c r="C416" s="5" t="s">
        <v>227</v>
      </c>
      <c r="D416" s="5" t="s">
        <v>22</v>
      </c>
      <c r="E416" s="5" t="s">
        <v>88</v>
      </c>
      <c r="F416" s="5" t="s">
        <v>18</v>
      </c>
      <c r="G416" s="5" t="s">
        <v>164</v>
      </c>
      <c r="H416" s="5"/>
      <c r="I416" s="6">
        <v>0</v>
      </c>
      <c r="J416" s="6">
        <v>0</v>
      </c>
      <c r="K416" s="6">
        <v>0</v>
      </c>
      <c r="L416" s="6">
        <v>0</v>
      </c>
      <c r="M416" s="5"/>
      <c r="N416" s="6">
        <v>17</v>
      </c>
      <c r="O416" s="6">
        <v>0</v>
      </c>
      <c r="P416" s="6">
        <v>0</v>
      </c>
      <c r="Q416" s="6">
        <v>0</v>
      </c>
      <c r="R416" s="6">
        <v>-17</v>
      </c>
      <c r="S416" s="5"/>
      <c r="T416" s="7">
        <v>1530</v>
      </c>
      <c r="U416" s="7">
        <v>0</v>
      </c>
      <c r="V416" s="7">
        <v>0</v>
      </c>
      <c r="W416" s="7">
        <v>0</v>
      </c>
      <c r="X416" s="7">
        <v>0</v>
      </c>
      <c r="Y416" s="7">
        <v>-1530</v>
      </c>
    </row>
    <row r="417" spans="1:25" ht="51" x14ac:dyDescent="0.2">
      <c r="A417" s="5" t="s">
        <v>615</v>
      </c>
      <c r="B417" s="5" t="s">
        <v>613</v>
      </c>
      <c r="C417" s="5" t="s">
        <v>245</v>
      </c>
      <c r="D417" s="5" t="s">
        <v>22</v>
      </c>
      <c r="E417" s="5" t="s">
        <v>88</v>
      </c>
      <c r="F417" s="5" t="s">
        <v>18</v>
      </c>
      <c r="G417" s="5" t="s">
        <v>164</v>
      </c>
      <c r="H417" s="5"/>
      <c r="I417" s="6">
        <v>0</v>
      </c>
      <c r="J417" s="6">
        <v>0</v>
      </c>
      <c r="K417" s="6">
        <v>0</v>
      </c>
      <c r="L417" s="6">
        <v>0</v>
      </c>
      <c r="M417" s="5"/>
      <c r="N417" s="6">
        <v>8</v>
      </c>
      <c r="O417" s="6">
        <v>0</v>
      </c>
      <c r="P417" s="6">
        <v>0</v>
      </c>
      <c r="Q417" s="6">
        <v>0</v>
      </c>
      <c r="R417" s="6">
        <v>-8</v>
      </c>
      <c r="S417" s="5"/>
      <c r="T417" s="7">
        <v>720</v>
      </c>
      <c r="U417" s="7">
        <v>0</v>
      </c>
      <c r="V417" s="7">
        <v>0</v>
      </c>
      <c r="W417" s="7">
        <v>0</v>
      </c>
      <c r="X417" s="7">
        <v>0</v>
      </c>
      <c r="Y417" s="7">
        <v>-720</v>
      </c>
    </row>
    <row r="418" spans="1:25" ht="51" x14ac:dyDescent="0.2">
      <c r="A418" s="5" t="s">
        <v>616</v>
      </c>
      <c r="B418" s="5" t="s">
        <v>613</v>
      </c>
      <c r="C418" s="5" t="s">
        <v>229</v>
      </c>
      <c r="D418" s="5" t="s">
        <v>22</v>
      </c>
      <c r="E418" s="5" t="s">
        <v>88</v>
      </c>
      <c r="F418" s="5" t="s">
        <v>18</v>
      </c>
      <c r="G418" s="5" t="s">
        <v>164</v>
      </c>
      <c r="H418" s="5"/>
      <c r="I418" s="6">
        <v>0</v>
      </c>
      <c r="J418" s="6">
        <v>0</v>
      </c>
      <c r="K418" s="6">
        <v>0</v>
      </c>
      <c r="L418" s="6">
        <v>0</v>
      </c>
      <c r="M418" s="5"/>
      <c r="N418" s="6">
        <v>14</v>
      </c>
      <c r="O418" s="6">
        <v>0</v>
      </c>
      <c r="P418" s="6">
        <v>0</v>
      </c>
      <c r="Q418" s="6">
        <v>0</v>
      </c>
      <c r="R418" s="6">
        <v>-14</v>
      </c>
      <c r="S418" s="5"/>
      <c r="T418" s="7">
        <v>1260</v>
      </c>
      <c r="U418" s="7">
        <v>0</v>
      </c>
      <c r="V418" s="7">
        <v>0</v>
      </c>
      <c r="W418" s="7">
        <v>0</v>
      </c>
      <c r="X418" s="7">
        <v>0</v>
      </c>
      <c r="Y418" s="7">
        <v>-1260</v>
      </c>
    </row>
    <row r="419" spans="1:25" ht="51" x14ac:dyDescent="0.2">
      <c r="A419" s="5" t="s">
        <v>617</v>
      </c>
      <c r="B419" s="5" t="s">
        <v>613</v>
      </c>
      <c r="C419" s="5" t="s">
        <v>231</v>
      </c>
      <c r="D419" s="5" t="s">
        <v>22</v>
      </c>
      <c r="E419" s="5" t="s">
        <v>88</v>
      </c>
      <c r="F419" s="5" t="s">
        <v>18</v>
      </c>
      <c r="G419" s="5" t="s">
        <v>164</v>
      </c>
      <c r="H419" s="5"/>
      <c r="I419" s="6">
        <v>0</v>
      </c>
      <c r="J419" s="6">
        <v>0</v>
      </c>
      <c r="K419" s="6">
        <v>0</v>
      </c>
      <c r="L419" s="6">
        <v>0</v>
      </c>
      <c r="M419" s="5"/>
      <c r="N419" s="6">
        <v>18</v>
      </c>
      <c r="O419" s="6">
        <v>0</v>
      </c>
      <c r="P419" s="6">
        <v>0</v>
      </c>
      <c r="Q419" s="6">
        <v>0</v>
      </c>
      <c r="R419" s="6">
        <v>-18</v>
      </c>
      <c r="S419" s="5"/>
      <c r="T419" s="7">
        <v>1620</v>
      </c>
      <c r="U419" s="7">
        <v>0</v>
      </c>
      <c r="V419" s="7">
        <v>0</v>
      </c>
      <c r="W419" s="7">
        <v>0</v>
      </c>
      <c r="X419" s="7">
        <v>0</v>
      </c>
      <c r="Y419" s="7">
        <v>-1620</v>
      </c>
    </row>
    <row r="420" spans="1:25" ht="51" x14ac:dyDescent="0.2">
      <c r="A420" s="5" t="s">
        <v>618</v>
      </c>
      <c r="B420" s="5" t="s">
        <v>613</v>
      </c>
      <c r="C420" s="5" t="s">
        <v>237</v>
      </c>
      <c r="D420" s="5" t="s">
        <v>22</v>
      </c>
      <c r="E420" s="5" t="s">
        <v>88</v>
      </c>
      <c r="F420" s="5" t="s">
        <v>18</v>
      </c>
      <c r="G420" s="5" t="s">
        <v>164</v>
      </c>
      <c r="H420" s="5"/>
      <c r="I420" s="6">
        <v>0</v>
      </c>
      <c r="J420" s="6">
        <v>0</v>
      </c>
      <c r="K420" s="6">
        <v>0</v>
      </c>
      <c r="L420" s="6">
        <v>0</v>
      </c>
      <c r="M420" s="5"/>
      <c r="N420" s="6">
        <v>110</v>
      </c>
      <c r="O420" s="6">
        <v>92</v>
      </c>
      <c r="P420" s="6">
        <v>110</v>
      </c>
      <c r="Q420" s="6">
        <v>18</v>
      </c>
      <c r="R420" s="6">
        <v>0</v>
      </c>
      <c r="S420" s="5"/>
      <c r="T420" s="7">
        <v>9900</v>
      </c>
      <c r="U420" s="7">
        <v>7380.97</v>
      </c>
      <c r="V420" s="7">
        <v>0</v>
      </c>
      <c r="W420" s="7">
        <v>9090.9699999999993</v>
      </c>
      <c r="X420" s="7">
        <v>1710</v>
      </c>
      <c r="Y420" s="7">
        <v>-809.03</v>
      </c>
    </row>
    <row r="421" spans="1:25" ht="51" x14ac:dyDescent="0.2">
      <c r="A421" s="5" t="s">
        <v>619</v>
      </c>
      <c r="B421" s="5" t="s">
        <v>613</v>
      </c>
      <c r="C421" s="5" t="s">
        <v>239</v>
      </c>
      <c r="D421" s="5" t="s">
        <v>22</v>
      </c>
      <c r="E421" s="5" t="s">
        <v>88</v>
      </c>
      <c r="F421" s="5" t="s">
        <v>18</v>
      </c>
      <c r="G421" s="5" t="s">
        <v>164</v>
      </c>
      <c r="H421" s="5"/>
      <c r="I421" s="6">
        <v>0</v>
      </c>
      <c r="J421" s="6">
        <v>0</v>
      </c>
      <c r="K421" s="6">
        <v>0</v>
      </c>
      <c r="L421" s="6">
        <v>0</v>
      </c>
      <c r="M421" s="5"/>
      <c r="N421" s="6">
        <v>16</v>
      </c>
      <c r="O421" s="6">
        <v>0</v>
      </c>
      <c r="P421" s="6">
        <v>0</v>
      </c>
      <c r="Q421" s="6">
        <v>0</v>
      </c>
      <c r="R421" s="6">
        <v>-16</v>
      </c>
      <c r="S421" s="5"/>
      <c r="T421" s="7">
        <v>1440</v>
      </c>
      <c r="U421" s="7">
        <v>0</v>
      </c>
      <c r="V421" s="7">
        <v>0</v>
      </c>
      <c r="W421" s="7">
        <v>0</v>
      </c>
      <c r="X421" s="7">
        <v>0</v>
      </c>
      <c r="Y421" s="7">
        <v>-1440</v>
      </c>
    </row>
    <row r="422" spans="1:25" ht="51" x14ac:dyDescent="0.2">
      <c r="A422" s="5" t="s">
        <v>620</v>
      </c>
      <c r="B422" s="5" t="s">
        <v>621</v>
      </c>
      <c r="C422" s="5" t="s">
        <v>16</v>
      </c>
      <c r="D422" s="5" t="s">
        <v>22</v>
      </c>
      <c r="E422" s="5" t="s">
        <v>88</v>
      </c>
      <c r="F422" s="5" t="s">
        <v>18</v>
      </c>
      <c r="G422" s="5" t="s">
        <v>164</v>
      </c>
      <c r="H422" s="5"/>
      <c r="I422" s="6">
        <v>0</v>
      </c>
      <c r="J422" s="6">
        <v>0</v>
      </c>
      <c r="K422" s="6">
        <v>0</v>
      </c>
      <c r="L422" s="6">
        <v>0</v>
      </c>
      <c r="M422" s="5"/>
      <c r="N422" s="6">
        <v>0</v>
      </c>
      <c r="O422" s="6">
        <v>196</v>
      </c>
      <c r="P422" s="6">
        <v>196</v>
      </c>
      <c r="Q422" s="6">
        <v>0</v>
      </c>
      <c r="R422" s="6">
        <v>196</v>
      </c>
      <c r="S422" s="5"/>
      <c r="T422" s="7">
        <v>0</v>
      </c>
      <c r="U422" s="7">
        <v>16833.78</v>
      </c>
      <c r="V422" s="7">
        <v>0</v>
      </c>
      <c r="W422" s="7">
        <v>16833.78</v>
      </c>
      <c r="X422" s="7">
        <v>0</v>
      </c>
      <c r="Y422" s="7">
        <v>16833.78</v>
      </c>
    </row>
    <row r="423" spans="1:25" ht="51" x14ac:dyDescent="0.2">
      <c r="A423" s="5" t="s">
        <v>622</v>
      </c>
      <c r="B423" s="5" t="s">
        <v>623</v>
      </c>
      <c r="C423" s="5" t="s">
        <v>225</v>
      </c>
      <c r="D423" s="5" t="s">
        <v>22</v>
      </c>
      <c r="E423" s="5" t="s">
        <v>88</v>
      </c>
      <c r="F423" s="5" t="s">
        <v>18</v>
      </c>
      <c r="G423" s="5" t="s">
        <v>164</v>
      </c>
      <c r="H423" s="5"/>
      <c r="I423" s="6">
        <v>0</v>
      </c>
      <c r="J423" s="6">
        <v>0</v>
      </c>
      <c r="K423" s="6">
        <v>0</v>
      </c>
      <c r="L423" s="6">
        <v>0</v>
      </c>
      <c r="M423" s="5"/>
      <c r="N423" s="6">
        <v>140</v>
      </c>
      <c r="O423" s="6">
        <v>305</v>
      </c>
      <c r="P423" s="6">
        <v>305</v>
      </c>
      <c r="Q423" s="6">
        <v>0</v>
      </c>
      <c r="R423" s="6">
        <v>165</v>
      </c>
      <c r="S423" s="5"/>
      <c r="T423" s="7">
        <v>12600</v>
      </c>
      <c r="U423" s="7">
        <v>24596.15</v>
      </c>
      <c r="V423" s="7">
        <v>0</v>
      </c>
      <c r="W423" s="7">
        <v>24596.15</v>
      </c>
      <c r="X423" s="7">
        <v>0</v>
      </c>
      <c r="Y423" s="7">
        <v>11996.15</v>
      </c>
    </row>
    <row r="424" spans="1:25" ht="51" x14ac:dyDescent="0.2">
      <c r="A424" s="5" t="s">
        <v>624</v>
      </c>
      <c r="B424" s="5" t="s">
        <v>623</v>
      </c>
      <c r="C424" s="5" t="s">
        <v>227</v>
      </c>
      <c r="D424" s="5" t="s">
        <v>22</v>
      </c>
      <c r="E424" s="5" t="s">
        <v>88</v>
      </c>
      <c r="F424" s="5" t="s">
        <v>18</v>
      </c>
      <c r="G424" s="5" t="s">
        <v>164</v>
      </c>
      <c r="H424" s="5"/>
      <c r="I424" s="6">
        <v>0</v>
      </c>
      <c r="J424" s="6">
        <v>0</v>
      </c>
      <c r="K424" s="6">
        <v>0</v>
      </c>
      <c r="L424" s="6">
        <v>0</v>
      </c>
      <c r="M424" s="5"/>
      <c r="N424" s="6">
        <v>24</v>
      </c>
      <c r="O424" s="6">
        <v>18</v>
      </c>
      <c r="P424" s="6">
        <v>18</v>
      </c>
      <c r="Q424" s="6">
        <v>0</v>
      </c>
      <c r="R424" s="6">
        <v>-6</v>
      </c>
      <c r="S424" s="5"/>
      <c r="T424" s="7">
        <v>2160</v>
      </c>
      <c r="U424" s="7">
        <v>1746.68</v>
      </c>
      <c r="V424" s="7">
        <v>0</v>
      </c>
      <c r="W424" s="7">
        <v>1746.68</v>
      </c>
      <c r="X424" s="7">
        <v>0</v>
      </c>
      <c r="Y424" s="7">
        <v>-413.32</v>
      </c>
    </row>
    <row r="425" spans="1:25" ht="51" x14ac:dyDescent="0.2">
      <c r="A425" s="5" t="s">
        <v>625</v>
      </c>
      <c r="B425" s="5" t="s">
        <v>623</v>
      </c>
      <c r="C425" s="5" t="s">
        <v>245</v>
      </c>
      <c r="D425" s="5" t="s">
        <v>22</v>
      </c>
      <c r="E425" s="5" t="s">
        <v>88</v>
      </c>
      <c r="F425" s="5" t="s">
        <v>18</v>
      </c>
      <c r="G425" s="5" t="s">
        <v>164</v>
      </c>
      <c r="H425" s="5"/>
      <c r="I425" s="6">
        <v>0</v>
      </c>
      <c r="J425" s="6">
        <v>0</v>
      </c>
      <c r="K425" s="6">
        <v>0</v>
      </c>
      <c r="L425" s="6">
        <v>0</v>
      </c>
      <c r="M425" s="5"/>
      <c r="N425" s="6">
        <v>10</v>
      </c>
      <c r="O425" s="6">
        <v>38</v>
      </c>
      <c r="P425" s="6">
        <v>38</v>
      </c>
      <c r="Q425" s="6">
        <v>0</v>
      </c>
      <c r="R425" s="6">
        <v>28</v>
      </c>
      <c r="S425" s="5"/>
      <c r="T425" s="7">
        <v>900</v>
      </c>
      <c r="U425" s="7">
        <v>2511.4499999999998</v>
      </c>
      <c r="V425" s="7">
        <v>0</v>
      </c>
      <c r="W425" s="7">
        <v>2511.4499999999998</v>
      </c>
      <c r="X425" s="7">
        <v>0</v>
      </c>
      <c r="Y425" s="7">
        <v>1611.45</v>
      </c>
    </row>
    <row r="426" spans="1:25" ht="51" x14ac:dyDescent="0.2">
      <c r="A426" s="5" t="s">
        <v>626</v>
      </c>
      <c r="B426" s="5" t="s">
        <v>623</v>
      </c>
      <c r="C426" s="5" t="s">
        <v>229</v>
      </c>
      <c r="D426" s="5" t="s">
        <v>22</v>
      </c>
      <c r="E426" s="5" t="s">
        <v>88</v>
      </c>
      <c r="F426" s="5" t="s">
        <v>18</v>
      </c>
      <c r="G426" s="5" t="s">
        <v>164</v>
      </c>
      <c r="H426" s="5"/>
      <c r="I426" s="6">
        <v>0</v>
      </c>
      <c r="J426" s="6">
        <v>0</v>
      </c>
      <c r="K426" s="6">
        <v>0</v>
      </c>
      <c r="L426" s="6">
        <v>0</v>
      </c>
      <c r="M426" s="5"/>
      <c r="N426" s="6">
        <v>18</v>
      </c>
      <c r="O426" s="6">
        <v>16</v>
      </c>
      <c r="P426" s="6">
        <v>24</v>
      </c>
      <c r="Q426" s="6">
        <v>8</v>
      </c>
      <c r="R426" s="6">
        <v>6</v>
      </c>
      <c r="S426" s="5"/>
      <c r="T426" s="7">
        <v>1620</v>
      </c>
      <c r="U426" s="7">
        <v>1373.47</v>
      </c>
      <c r="V426" s="7">
        <v>0</v>
      </c>
      <c r="W426" s="7">
        <v>2060.21</v>
      </c>
      <c r="X426" s="7">
        <v>686.74</v>
      </c>
      <c r="Y426" s="7">
        <v>440.21</v>
      </c>
    </row>
    <row r="427" spans="1:25" ht="51" x14ac:dyDescent="0.2">
      <c r="A427" s="5" t="s">
        <v>627</v>
      </c>
      <c r="B427" s="5" t="s">
        <v>623</v>
      </c>
      <c r="C427" s="5" t="s">
        <v>231</v>
      </c>
      <c r="D427" s="5" t="s">
        <v>22</v>
      </c>
      <c r="E427" s="5" t="s">
        <v>88</v>
      </c>
      <c r="F427" s="5" t="s">
        <v>18</v>
      </c>
      <c r="G427" s="5" t="s">
        <v>164</v>
      </c>
      <c r="H427" s="5"/>
      <c r="I427" s="6">
        <v>0</v>
      </c>
      <c r="J427" s="6">
        <v>0</v>
      </c>
      <c r="K427" s="6">
        <v>0</v>
      </c>
      <c r="L427" s="6">
        <v>0</v>
      </c>
      <c r="M427" s="5"/>
      <c r="N427" s="6">
        <v>25</v>
      </c>
      <c r="O427" s="6">
        <v>24</v>
      </c>
      <c r="P427" s="6">
        <v>24</v>
      </c>
      <c r="Q427" s="6">
        <v>0</v>
      </c>
      <c r="R427" s="6">
        <v>-1</v>
      </c>
      <c r="S427" s="5"/>
      <c r="T427" s="7">
        <v>2250</v>
      </c>
      <c r="U427" s="7">
        <v>2323.83</v>
      </c>
      <c r="V427" s="7">
        <v>0</v>
      </c>
      <c r="W427" s="7">
        <v>2323.83</v>
      </c>
      <c r="X427" s="7">
        <v>0</v>
      </c>
      <c r="Y427" s="7">
        <v>73.83</v>
      </c>
    </row>
    <row r="428" spans="1:25" ht="51" x14ac:dyDescent="0.2">
      <c r="A428" s="5" t="s">
        <v>628</v>
      </c>
      <c r="B428" s="5" t="s">
        <v>623</v>
      </c>
      <c r="C428" s="5" t="s">
        <v>237</v>
      </c>
      <c r="D428" s="5" t="s">
        <v>22</v>
      </c>
      <c r="E428" s="5" t="s">
        <v>88</v>
      </c>
      <c r="F428" s="5" t="s">
        <v>18</v>
      </c>
      <c r="G428" s="5" t="s">
        <v>164</v>
      </c>
      <c r="H428" s="5"/>
      <c r="I428" s="6">
        <v>0</v>
      </c>
      <c r="J428" s="6">
        <v>0</v>
      </c>
      <c r="K428" s="6">
        <v>0</v>
      </c>
      <c r="L428" s="6">
        <v>0</v>
      </c>
      <c r="M428" s="5"/>
      <c r="N428" s="6">
        <v>152</v>
      </c>
      <c r="O428" s="6">
        <v>196</v>
      </c>
      <c r="P428" s="6">
        <v>212</v>
      </c>
      <c r="Q428" s="6">
        <v>16</v>
      </c>
      <c r="R428" s="6">
        <v>60</v>
      </c>
      <c r="S428" s="5"/>
      <c r="T428" s="7">
        <v>13680</v>
      </c>
      <c r="U428" s="7">
        <v>14562.76</v>
      </c>
      <c r="V428" s="7">
        <v>0</v>
      </c>
      <c r="W428" s="7">
        <v>16082.76</v>
      </c>
      <c r="X428" s="7">
        <v>1520</v>
      </c>
      <c r="Y428" s="7">
        <v>2402.7600000000002</v>
      </c>
    </row>
    <row r="429" spans="1:25" ht="51" x14ac:dyDescent="0.2">
      <c r="A429" s="5" t="s">
        <v>629</v>
      </c>
      <c r="B429" s="5" t="s">
        <v>623</v>
      </c>
      <c r="C429" s="5" t="s">
        <v>239</v>
      </c>
      <c r="D429" s="5" t="s">
        <v>22</v>
      </c>
      <c r="E429" s="5" t="s">
        <v>88</v>
      </c>
      <c r="F429" s="5" t="s">
        <v>18</v>
      </c>
      <c r="G429" s="5" t="s">
        <v>164</v>
      </c>
      <c r="H429" s="5"/>
      <c r="I429" s="6">
        <v>0</v>
      </c>
      <c r="J429" s="6">
        <v>0</v>
      </c>
      <c r="K429" s="6">
        <v>0</v>
      </c>
      <c r="L429" s="6">
        <v>0</v>
      </c>
      <c r="M429" s="5"/>
      <c r="N429" s="6">
        <v>22</v>
      </c>
      <c r="O429" s="6">
        <v>32</v>
      </c>
      <c r="P429" s="6">
        <v>32</v>
      </c>
      <c r="Q429" s="6">
        <v>0</v>
      </c>
      <c r="R429" s="6">
        <v>10</v>
      </c>
      <c r="S429" s="5"/>
      <c r="T429" s="7">
        <v>1980</v>
      </c>
      <c r="U429" s="7">
        <v>3037.22</v>
      </c>
      <c r="V429" s="7">
        <v>0</v>
      </c>
      <c r="W429" s="7">
        <v>3037.22</v>
      </c>
      <c r="X429" s="7">
        <v>0</v>
      </c>
      <c r="Y429" s="7">
        <v>1057.22</v>
      </c>
    </row>
    <row r="430" spans="1:25" ht="51" x14ac:dyDescent="0.2">
      <c r="A430" s="5" t="s">
        <v>630</v>
      </c>
      <c r="B430" s="5" t="s">
        <v>631</v>
      </c>
      <c r="C430" s="5" t="s">
        <v>16</v>
      </c>
      <c r="D430" s="5" t="s">
        <v>22</v>
      </c>
      <c r="E430" s="5" t="s">
        <v>88</v>
      </c>
      <c r="F430" s="5" t="s">
        <v>18</v>
      </c>
      <c r="G430" s="5" t="s">
        <v>164</v>
      </c>
      <c r="H430" s="5"/>
      <c r="I430" s="6">
        <v>0</v>
      </c>
      <c r="J430" s="6">
        <v>0</v>
      </c>
      <c r="K430" s="6">
        <v>0</v>
      </c>
      <c r="L430" s="6">
        <v>0</v>
      </c>
      <c r="M430" s="5"/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5"/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</row>
    <row r="431" spans="1:25" ht="51" x14ac:dyDescent="0.2">
      <c r="A431" s="5" t="s">
        <v>632</v>
      </c>
      <c r="B431" s="5" t="s">
        <v>633</v>
      </c>
      <c r="C431" s="5" t="s">
        <v>16</v>
      </c>
      <c r="D431" s="5" t="s">
        <v>22</v>
      </c>
      <c r="E431" s="5" t="s">
        <v>88</v>
      </c>
      <c r="F431" s="5" t="s">
        <v>18</v>
      </c>
      <c r="G431" s="5" t="s">
        <v>164</v>
      </c>
      <c r="H431" s="5"/>
      <c r="I431" s="6">
        <v>0</v>
      </c>
      <c r="J431" s="6">
        <v>0</v>
      </c>
      <c r="K431" s="6">
        <v>0</v>
      </c>
      <c r="L431" s="6">
        <v>0</v>
      </c>
      <c r="M431" s="5"/>
      <c r="N431" s="6">
        <v>873</v>
      </c>
      <c r="O431" s="6">
        <v>554</v>
      </c>
      <c r="P431" s="6">
        <v>578</v>
      </c>
      <c r="Q431" s="6">
        <v>24</v>
      </c>
      <c r="R431" s="6">
        <v>-295</v>
      </c>
      <c r="S431" s="5"/>
      <c r="T431" s="7">
        <v>78570</v>
      </c>
      <c r="U431" s="7">
        <v>43816.06</v>
      </c>
      <c r="V431" s="7">
        <v>0</v>
      </c>
      <c r="W431" s="7">
        <v>46096.06</v>
      </c>
      <c r="X431" s="7">
        <v>2280</v>
      </c>
      <c r="Y431" s="7">
        <v>-32473.94</v>
      </c>
    </row>
    <row r="432" spans="1:25" ht="51" x14ac:dyDescent="0.2">
      <c r="A432" s="5" t="s">
        <v>634</v>
      </c>
      <c r="B432" s="5" t="s">
        <v>635</v>
      </c>
      <c r="C432" s="5" t="s">
        <v>16</v>
      </c>
      <c r="D432" s="5" t="s">
        <v>22</v>
      </c>
      <c r="E432" s="5" t="s">
        <v>88</v>
      </c>
      <c r="F432" s="5" t="s">
        <v>18</v>
      </c>
      <c r="G432" s="5" t="s">
        <v>164</v>
      </c>
      <c r="H432" s="5"/>
      <c r="I432" s="6">
        <v>0</v>
      </c>
      <c r="J432" s="6">
        <v>0</v>
      </c>
      <c r="K432" s="6">
        <v>0</v>
      </c>
      <c r="L432" s="6">
        <v>0</v>
      </c>
      <c r="M432" s="5"/>
      <c r="N432" s="6">
        <v>223</v>
      </c>
      <c r="O432" s="6">
        <v>296</v>
      </c>
      <c r="P432" s="6">
        <v>376</v>
      </c>
      <c r="Q432" s="6">
        <v>80</v>
      </c>
      <c r="R432" s="6">
        <v>153</v>
      </c>
      <c r="S432" s="5"/>
      <c r="T432" s="7">
        <v>20070</v>
      </c>
      <c r="U432" s="7">
        <v>22081.34</v>
      </c>
      <c r="V432" s="7">
        <v>0</v>
      </c>
      <c r="W432" s="7">
        <v>30081.34</v>
      </c>
      <c r="X432" s="7">
        <v>8000</v>
      </c>
      <c r="Y432" s="7">
        <v>10011.34</v>
      </c>
    </row>
    <row r="433" spans="1:25" ht="51" x14ac:dyDescent="0.2">
      <c r="A433" s="5" t="s">
        <v>636</v>
      </c>
      <c r="B433" s="5" t="s">
        <v>637</v>
      </c>
      <c r="C433" s="5" t="s">
        <v>16</v>
      </c>
      <c r="D433" s="5" t="s">
        <v>22</v>
      </c>
      <c r="E433" s="5" t="s">
        <v>88</v>
      </c>
      <c r="F433" s="5" t="s">
        <v>18</v>
      </c>
      <c r="G433" s="5" t="s">
        <v>164</v>
      </c>
      <c r="H433" s="5"/>
      <c r="I433" s="6">
        <v>0</v>
      </c>
      <c r="J433" s="6">
        <v>0</v>
      </c>
      <c r="K433" s="6">
        <v>0</v>
      </c>
      <c r="L433" s="6">
        <v>0</v>
      </c>
      <c r="M433" s="5"/>
      <c r="N433" s="6">
        <v>349</v>
      </c>
      <c r="O433" s="6">
        <v>1056.5</v>
      </c>
      <c r="P433" s="6">
        <v>1056.5</v>
      </c>
      <c r="Q433" s="6">
        <v>0</v>
      </c>
      <c r="R433" s="6">
        <v>707.5</v>
      </c>
      <c r="S433" s="5"/>
      <c r="T433" s="7">
        <v>31410</v>
      </c>
      <c r="U433" s="7">
        <v>74772.94</v>
      </c>
      <c r="V433" s="7">
        <v>0</v>
      </c>
      <c r="W433" s="7">
        <v>74772.94</v>
      </c>
      <c r="X433" s="7">
        <v>0</v>
      </c>
      <c r="Y433" s="7">
        <v>43362.94</v>
      </c>
    </row>
    <row r="434" spans="1:25" ht="76.5" x14ac:dyDescent="0.2">
      <c r="A434" s="5" t="s">
        <v>638</v>
      </c>
      <c r="B434" s="5" t="s">
        <v>639</v>
      </c>
      <c r="C434" s="5" t="s">
        <v>225</v>
      </c>
      <c r="D434" s="5" t="s">
        <v>523</v>
      </c>
      <c r="E434" s="5" t="s">
        <v>88</v>
      </c>
      <c r="F434" s="5" t="s">
        <v>18</v>
      </c>
      <c r="G434" s="5" t="s">
        <v>164</v>
      </c>
      <c r="H434" s="5"/>
      <c r="I434" s="6">
        <v>0</v>
      </c>
      <c r="J434" s="6">
        <v>0</v>
      </c>
      <c r="K434" s="6">
        <v>0</v>
      </c>
      <c r="L434" s="6">
        <v>0</v>
      </c>
      <c r="M434" s="5"/>
      <c r="N434" s="6">
        <v>240</v>
      </c>
      <c r="O434" s="6">
        <v>141</v>
      </c>
      <c r="P434" s="6">
        <v>141</v>
      </c>
      <c r="Q434" s="6">
        <v>0</v>
      </c>
      <c r="R434" s="6">
        <v>-99</v>
      </c>
      <c r="S434" s="5"/>
      <c r="T434" s="7">
        <v>21600</v>
      </c>
      <c r="U434" s="7">
        <v>12089.27</v>
      </c>
      <c r="V434" s="7">
        <v>0</v>
      </c>
      <c r="W434" s="7">
        <v>12089.27</v>
      </c>
      <c r="X434" s="7">
        <v>0</v>
      </c>
      <c r="Y434" s="7">
        <v>-9510.73</v>
      </c>
    </row>
    <row r="435" spans="1:25" ht="76.5" x14ac:dyDescent="0.2">
      <c r="A435" s="5" t="s">
        <v>640</v>
      </c>
      <c r="B435" s="5" t="s">
        <v>639</v>
      </c>
      <c r="C435" s="5" t="s">
        <v>227</v>
      </c>
      <c r="D435" s="5" t="s">
        <v>523</v>
      </c>
      <c r="E435" s="5" t="s">
        <v>88</v>
      </c>
      <c r="F435" s="5" t="s">
        <v>18</v>
      </c>
      <c r="G435" s="5" t="s">
        <v>164</v>
      </c>
      <c r="H435" s="5"/>
      <c r="I435" s="6">
        <v>0</v>
      </c>
      <c r="J435" s="6">
        <v>0</v>
      </c>
      <c r="K435" s="6">
        <v>0</v>
      </c>
      <c r="L435" s="6">
        <v>0</v>
      </c>
      <c r="M435" s="5"/>
      <c r="N435" s="6">
        <v>60</v>
      </c>
      <c r="O435" s="6">
        <v>36</v>
      </c>
      <c r="P435" s="6">
        <v>36</v>
      </c>
      <c r="Q435" s="6">
        <v>0</v>
      </c>
      <c r="R435" s="6">
        <v>-24</v>
      </c>
      <c r="S435" s="5"/>
      <c r="T435" s="7">
        <v>5400</v>
      </c>
      <c r="U435" s="7">
        <v>2196.96</v>
      </c>
      <c r="V435" s="7">
        <v>0</v>
      </c>
      <c r="W435" s="7">
        <v>2196.96</v>
      </c>
      <c r="X435" s="7">
        <v>0</v>
      </c>
      <c r="Y435" s="7">
        <v>-3203.04</v>
      </c>
    </row>
    <row r="436" spans="1:25" ht="76.5" x14ac:dyDescent="0.2">
      <c r="A436" s="5" t="s">
        <v>641</v>
      </c>
      <c r="B436" s="5" t="s">
        <v>639</v>
      </c>
      <c r="C436" s="5" t="s">
        <v>229</v>
      </c>
      <c r="D436" s="5" t="s">
        <v>523</v>
      </c>
      <c r="E436" s="5" t="s">
        <v>88</v>
      </c>
      <c r="F436" s="5" t="s">
        <v>18</v>
      </c>
      <c r="G436" s="5" t="s">
        <v>164</v>
      </c>
      <c r="H436" s="5"/>
      <c r="I436" s="6">
        <v>0</v>
      </c>
      <c r="J436" s="6">
        <v>0</v>
      </c>
      <c r="K436" s="6">
        <v>0</v>
      </c>
      <c r="L436" s="6">
        <v>0</v>
      </c>
      <c r="M436" s="5"/>
      <c r="N436" s="6">
        <v>40</v>
      </c>
      <c r="O436" s="6">
        <v>0</v>
      </c>
      <c r="P436" s="6">
        <v>0</v>
      </c>
      <c r="Q436" s="6">
        <v>0</v>
      </c>
      <c r="R436" s="6">
        <v>-40</v>
      </c>
      <c r="S436" s="5"/>
      <c r="T436" s="7">
        <v>3600</v>
      </c>
      <c r="U436" s="7">
        <v>0</v>
      </c>
      <c r="V436" s="7">
        <v>0</v>
      </c>
      <c r="W436" s="7">
        <v>0</v>
      </c>
      <c r="X436" s="7">
        <v>0</v>
      </c>
      <c r="Y436" s="7">
        <v>-3600</v>
      </c>
    </row>
    <row r="437" spans="1:25" ht="76.5" x14ac:dyDescent="0.2">
      <c r="A437" s="5" t="s">
        <v>642</v>
      </c>
      <c r="B437" s="5" t="s">
        <v>639</v>
      </c>
      <c r="C437" s="5" t="s">
        <v>231</v>
      </c>
      <c r="D437" s="5" t="s">
        <v>523</v>
      </c>
      <c r="E437" s="5" t="s">
        <v>88</v>
      </c>
      <c r="F437" s="5" t="s">
        <v>18</v>
      </c>
      <c r="G437" s="5" t="s">
        <v>164</v>
      </c>
      <c r="H437" s="5"/>
      <c r="I437" s="6">
        <v>0</v>
      </c>
      <c r="J437" s="6">
        <v>0</v>
      </c>
      <c r="K437" s="6">
        <v>0</v>
      </c>
      <c r="L437" s="6">
        <v>0</v>
      </c>
      <c r="M437" s="5"/>
      <c r="N437" s="6">
        <v>40</v>
      </c>
      <c r="O437" s="6">
        <v>0</v>
      </c>
      <c r="P437" s="6">
        <v>0</v>
      </c>
      <c r="Q437" s="6">
        <v>0</v>
      </c>
      <c r="R437" s="6">
        <v>-40</v>
      </c>
      <c r="S437" s="5"/>
      <c r="T437" s="7">
        <v>3600</v>
      </c>
      <c r="U437" s="7">
        <v>0</v>
      </c>
      <c r="V437" s="7">
        <v>0</v>
      </c>
      <c r="W437" s="7">
        <v>0</v>
      </c>
      <c r="X437" s="7">
        <v>0</v>
      </c>
      <c r="Y437" s="7">
        <v>-3600</v>
      </c>
    </row>
    <row r="438" spans="1:25" ht="76.5" x14ac:dyDescent="0.2">
      <c r="A438" s="5" t="s">
        <v>643</v>
      </c>
      <c r="B438" s="5" t="s">
        <v>639</v>
      </c>
      <c r="C438" s="5" t="s">
        <v>233</v>
      </c>
      <c r="D438" s="5" t="s">
        <v>523</v>
      </c>
      <c r="E438" s="5" t="s">
        <v>88</v>
      </c>
      <c r="F438" s="5" t="s">
        <v>18</v>
      </c>
      <c r="G438" s="5" t="s">
        <v>164</v>
      </c>
      <c r="H438" s="5"/>
      <c r="I438" s="6">
        <v>0</v>
      </c>
      <c r="J438" s="6">
        <v>0</v>
      </c>
      <c r="K438" s="6">
        <v>0</v>
      </c>
      <c r="L438" s="6">
        <v>0</v>
      </c>
      <c r="M438" s="5"/>
      <c r="N438" s="6">
        <v>20</v>
      </c>
      <c r="O438" s="6">
        <v>0</v>
      </c>
      <c r="P438" s="6">
        <v>0</v>
      </c>
      <c r="Q438" s="6">
        <v>0</v>
      </c>
      <c r="R438" s="6">
        <v>-20</v>
      </c>
      <c r="S438" s="5"/>
      <c r="T438" s="7">
        <v>1800</v>
      </c>
      <c r="U438" s="7">
        <v>0</v>
      </c>
      <c r="V438" s="7">
        <v>0</v>
      </c>
      <c r="W438" s="7">
        <v>0</v>
      </c>
      <c r="X438" s="7">
        <v>0</v>
      </c>
      <c r="Y438" s="7">
        <v>-1800</v>
      </c>
    </row>
    <row r="439" spans="1:25" ht="76.5" x14ac:dyDescent="0.2">
      <c r="A439" s="5" t="s">
        <v>644</v>
      </c>
      <c r="B439" s="5" t="s">
        <v>639</v>
      </c>
      <c r="C439" s="5" t="s">
        <v>235</v>
      </c>
      <c r="D439" s="5" t="s">
        <v>523</v>
      </c>
      <c r="E439" s="5" t="s">
        <v>88</v>
      </c>
      <c r="F439" s="5" t="s">
        <v>18</v>
      </c>
      <c r="G439" s="5" t="s">
        <v>164</v>
      </c>
      <c r="H439" s="5"/>
      <c r="I439" s="6">
        <v>0</v>
      </c>
      <c r="J439" s="6">
        <v>0</v>
      </c>
      <c r="K439" s="6">
        <v>0</v>
      </c>
      <c r="L439" s="6">
        <v>0</v>
      </c>
      <c r="M439" s="5"/>
      <c r="N439" s="6">
        <v>20</v>
      </c>
      <c r="O439" s="6">
        <v>0</v>
      </c>
      <c r="P439" s="6">
        <v>0</v>
      </c>
      <c r="Q439" s="6">
        <v>0</v>
      </c>
      <c r="R439" s="6">
        <v>-20</v>
      </c>
      <c r="S439" s="5"/>
      <c r="T439" s="7">
        <v>1800</v>
      </c>
      <c r="U439" s="7">
        <v>0</v>
      </c>
      <c r="V439" s="7">
        <v>0</v>
      </c>
      <c r="W439" s="7">
        <v>0</v>
      </c>
      <c r="X439" s="7">
        <v>0</v>
      </c>
      <c r="Y439" s="7">
        <v>-1800</v>
      </c>
    </row>
    <row r="440" spans="1:25" ht="76.5" x14ac:dyDescent="0.2">
      <c r="A440" s="5" t="s">
        <v>645</v>
      </c>
      <c r="B440" s="5" t="s">
        <v>639</v>
      </c>
      <c r="C440" s="5" t="s">
        <v>237</v>
      </c>
      <c r="D440" s="5" t="s">
        <v>523</v>
      </c>
      <c r="E440" s="5" t="s">
        <v>88</v>
      </c>
      <c r="F440" s="5" t="s">
        <v>18</v>
      </c>
      <c r="G440" s="5" t="s">
        <v>164</v>
      </c>
      <c r="H440" s="5"/>
      <c r="I440" s="6">
        <v>0</v>
      </c>
      <c r="J440" s="6">
        <v>0</v>
      </c>
      <c r="K440" s="6">
        <v>0</v>
      </c>
      <c r="L440" s="6">
        <v>0</v>
      </c>
      <c r="M440" s="5"/>
      <c r="N440" s="6">
        <v>300</v>
      </c>
      <c r="O440" s="6">
        <v>141</v>
      </c>
      <c r="P440" s="6">
        <v>141</v>
      </c>
      <c r="Q440" s="6">
        <v>0</v>
      </c>
      <c r="R440" s="6">
        <v>-159</v>
      </c>
      <c r="S440" s="5"/>
      <c r="T440" s="7">
        <v>27000</v>
      </c>
      <c r="U440" s="7">
        <v>9683.68</v>
      </c>
      <c r="V440" s="7">
        <v>0</v>
      </c>
      <c r="W440" s="7">
        <v>9683.68</v>
      </c>
      <c r="X440" s="7">
        <v>0</v>
      </c>
      <c r="Y440" s="7">
        <v>-17316.32</v>
      </c>
    </row>
    <row r="441" spans="1:25" ht="51" x14ac:dyDescent="0.2">
      <c r="A441" s="5" t="s">
        <v>646</v>
      </c>
      <c r="B441" s="5" t="s">
        <v>647</v>
      </c>
      <c r="C441" s="5" t="s">
        <v>340</v>
      </c>
      <c r="D441" s="5" t="s">
        <v>46</v>
      </c>
      <c r="E441" s="5" t="s">
        <v>88</v>
      </c>
      <c r="F441" s="5" t="s">
        <v>18</v>
      </c>
      <c r="G441" s="5" t="s">
        <v>139</v>
      </c>
      <c r="H441" s="5"/>
      <c r="I441" s="6">
        <v>0</v>
      </c>
      <c r="J441" s="6">
        <v>0</v>
      </c>
      <c r="K441" s="6">
        <v>0</v>
      </c>
      <c r="L441" s="6">
        <v>0</v>
      </c>
      <c r="M441" s="5"/>
      <c r="N441" s="6">
        <v>530</v>
      </c>
      <c r="O441" s="6">
        <v>1331</v>
      </c>
      <c r="P441" s="6">
        <v>1385</v>
      </c>
      <c r="Q441" s="6">
        <v>54</v>
      </c>
      <c r="R441" s="6">
        <v>855</v>
      </c>
      <c r="S441" s="5"/>
      <c r="T441" s="7">
        <v>57833.599999999999</v>
      </c>
      <c r="U441" s="7">
        <v>134654.07999999999</v>
      </c>
      <c r="V441" s="7">
        <v>0</v>
      </c>
      <c r="W441" s="7">
        <v>140089.22</v>
      </c>
      <c r="X441" s="7">
        <v>5435.14</v>
      </c>
      <c r="Y441" s="7">
        <v>82255.62</v>
      </c>
    </row>
    <row r="442" spans="1:25" ht="51" x14ac:dyDescent="0.2">
      <c r="A442" s="5" t="s">
        <v>648</v>
      </c>
      <c r="B442" s="5" t="s">
        <v>647</v>
      </c>
      <c r="C442" s="5" t="s">
        <v>225</v>
      </c>
      <c r="D442" s="5" t="s">
        <v>46</v>
      </c>
      <c r="E442" s="5" t="s">
        <v>88</v>
      </c>
      <c r="F442" s="5" t="s">
        <v>18</v>
      </c>
      <c r="G442" s="5" t="s">
        <v>139</v>
      </c>
      <c r="H442" s="5"/>
      <c r="I442" s="6">
        <v>0</v>
      </c>
      <c r="J442" s="6">
        <v>0</v>
      </c>
      <c r="K442" s="6">
        <v>0</v>
      </c>
      <c r="L442" s="6">
        <v>0</v>
      </c>
      <c r="M442" s="5"/>
      <c r="N442" s="6">
        <v>873</v>
      </c>
      <c r="O442" s="6">
        <v>1632</v>
      </c>
      <c r="P442" s="6">
        <v>1632</v>
      </c>
      <c r="Q442" s="6">
        <v>0</v>
      </c>
      <c r="R442" s="6">
        <v>759</v>
      </c>
      <c r="S442" s="5"/>
      <c r="T442" s="7">
        <v>78570</v>
      </c>
      <c r="U442" s="7">
        <v>164914.66</v>
      </c>
      <c r="V442" s="7">
        <v>0</v>
      </c>
      <c r="W442" s="7">
        <v>164914.66</v>
      </c>
      <c r="X442" s="7">
        <v>0</v>
      </c>
      <c r="Y442" s="7">
        <v>86344.66</v>
      </c>
    </row>
    <row r="443" spans="1:25" ht="51" x14ac:dyDescent="0.2">
      <c r="A443" s="5" t="s">
        <v>649</v>
      </c>
      <c r="B443" s="5" t="s">
        <v>647</v>
      </c>
      <c r="C443" s="5" t="s">
        <v>122</v>
      </c>
      <c r="D443" s="5" t="s">
        <v>46</v>
      </c>
      <c r="E443" s="5" t="s">
        <v>88</v>
      </c>
      <c r="F443" s="5" t="s">
        <v>18</v>
      </c>
      <c r="G443" s="5" t="s">
        <v>139</v>
      </c>
      <c r="H443" s="5"/>
      <c r="I443" s="6">
        <v>0</v>
      </c>
      <c r="J443" s="6">
        <v>0</v>
      </c>
      <c r="K443" s="6">
        <v>0</v>
      </c>
      <c r="L443" s="6">
        <v>0</v>
      </c>
      <c r="M443" s="5"/>
      <c r="N443" s="6">
        <v>10</v>
      </c>
      <c r="O443" s="6">
        <v>0</v>
      </c>
      <c r="P443" s="6">
        <v>0</v>
      </c>
      <c r="Q443" s="6">
        <v>0</v>
      </c>
      <c r="R443" s="6">
        <v>-10</v>
      </c>
      <c r="S443" s="5"/>
      <c r="T443" s="7">
        <v>900</v>
      </c>
      <c r="U443" s="7">
        <v>0</v>
      </c>
      <c r="V443" s="7">
        <v>0</v>
      </c>
      <c r="W443" s="7">
        <v>0</v>
      </c>
      <c r="X443" s="7">
        <v>0</v>
      </c>
      <c r="Y443" s="7">
        <v>-900</v>
      </c>
    </row>
    <row r="444" spans="1:25" ht="51" x14ac:dyDescent="0.2">
      <c r="A444" s="5" t="s">
        <v>650</v>
      </c>
      <c r="B444" s="5" t="s">
        <v>647</v>
      </c>
      <c r="C444" s="5" t="s">
        <v>227</v>
      </c>
      <c r="D444" s="5" t="s">
        <v>46</v>
      </c>
      <c r="E444" s="5" t="s">
        <v>88</v>
      </c>
      <c r="F444" s="5" t="s">
        <v>18</v>
      </c>
      <c r="G444" s="5" t="s">
        <v>139</v>
      </c>
      <c r="H444" s="5"/>
      <c r="I444" s="6">
        <v>0</v>
      </c>
      <c r="J444" s="6">
        <v>0</v>
      </c>
      <c r="K444" s="6">
        <v>0</v>
      </c>
      <c r="L444" s="6">
        <v>0</v>
      </c>
      <c r="M444" s="5"/>
      <c r="N444" s="6">
        <v>210</v>
      </c>
      <c r="O444" s="6">
        <v>0</v>
      </c>
      <c r="P444" s="6">
        <v>0</v>
      </c>
      <c r="Q444" s="6">
        <v>0</v>
      </c>
      <c r="R444" s="6">
        <v>-210</v>
      </c>
      <c r="S444" s="5"/>
      <c r="T444" s="7">
        <v>18900</v>
      </c>
      <c r="U444" s="7">
        <v>0</v>
      </c>
      <c r="V444" s="7">
        <v>0</v>
      </c>
      <c r="W444" s="7">
        <v>0</v>
      </c>
      <c r="X444" s="7">
        <v>0</v>
      </c>
      <c r="Y444" s="7">
        <v>-18900</v>
      </c>
    </row>
    <row r="445" spans="1:25" ht="51" x14ac:dyDescent="0.2">
      <c r="A445" s="5" t="s">
        <v>651</v>
      </c>
      <c r="B445" s="5" t="s">
        <v>647</v>
      </c>
      <c r="C445" s="5" t="s">
        <v>245</v>
      </c>
      <c r="D445" s="5" t="s">
        <v>46</v>
      </c>
      <c r="E445" s="5" t="s">
        <v>88</v>
      </c>
      <c r="F445" s="5" t="s">
        <v>18</v>
      </c>
      <c r="G445" s="5" t="s">
        <v>139</v>
      </c>
      <c r="H445" s="5"/>
      <c r="I445" s="6">
        <v>0</v>
      </c>
      <c r="J445" s="6">
        <v>0</v>
      </c>
      <c r="K445" s="6">
        <v>0</v>
      </c>
      <c r="L445" s="6">
        <v>0</v>
      </c>
      <c r="M445" s="5"/>
      <c r="N445" s="6">
        <v>35</v>
      </c>
      <c r="O445" s="6">
        <v>0</v>
      </c>
      <c r="P445" s="6">
        <v>0</v>
      </c>
      <c r="Q445" s="6">
        <v>0</v>
      </c>
      <c r="R445" s="6">
        <v>-35</v>
      </c>
      <c r="S445" s="5"/>
      <c r="T445" s="7">
        <v>3150</v>
      </c>
      <c r="U445" s="7">
        <v>0</v>
      </c>
      <c r="V445" s="7">
        <v>0</v>
      </c>
      <c r="W445" s="7">
        <v>0</v>
      </c>
      <c r="X445" s="7">
        <v>0</v>
      </c>
      <c r="Y445" s="7">
        <v>-3150</v>
      </c>
    </row>
    <row r="446" spans="1:25" ht="51" x14ac:dyDescent="0.2">
      <c r="A446" s="5" t="s">
        <v>652</v>
      </c>
      <c r="B446" s="5" t="s">
        <v>647</v>
      </c>
      <c r="C446" s="5" t="s">
        <v>229</v>
      </c>
      <c r="D446" s="5" t="s">
        <v>46</v>
      </c>
      <c r="E446" s="5" t="s">
        <v>88</v>
      </c>
      <c r="F446" s="5" t="s">
        <v>18</v>
      </c>
      <c r="G446" s="5" t="s">
        <v>139</v>
      </c>
      <c r="H446" s="5"/>
      <c r="I446" s="6">
        <v>0</v>
      </c>
      <c r="J446" s="6">
        <v>0</v>
      </c>
      <c r="K446" s="6">
        <v>0</v>
      </c>
      <c r="L446" s="6">
        <v>0</v>
      </c>
      <c r="M446" s="5"/>
      <c r="N446" s="6">
        <v>90</v>
      </c>
      <c r="O446" s="6">
        <v>70</v>
      </c>
      <c r="P446" s="6">
        <v>70</v>
      </c>
      <c r="Q446" s="6">
        <v>0</v>
      </c>
      <c r="R446" s="6">
        <v>-20</v>
      </c>
      <c r="S446" s="5"/>
      <c r="T446" s="7">
        <v>8100</v>
      </c>
      <c r="U446" s="7">
        <v>6918.51</v>
      </c>
      <c r="V446" s="7">
        <v>0</v>
      </c>
      <c r="W446" s="7">
        <v>6918.51</v>
      </c>
      <c r="X446" s="7">
        <v>0</v>
      </c>
      <c r="Y446" s="7">
        <v>-1181.49</v>
      </c>
    </row>
    <row r="447" spans="1:25" ht="51" x14ac:dyDescent="0.2">
      <c r="A447" s="5" t="s">
        <v>653</v>
      </c>
      <c r="B447" s="5" t="s">
        <v>647</v>
      </c>
      <c r="C447" s="5" t="s">
        <v>231</v>
      </c>
      <c r="D447" s="5" t="s">
        <v>46</v>
      </c>
      <c r="E447" s="5" t="s">
        <v>88</v>
      </c>
      <c r="F447" s="5" t="s">
        <v>18</v>
      </c>
      <c r="G447" s="5" t="s">
        <v>139</v>
      </c>
      <c r="H447" s="5"/>
      <c r="I447" s="6">
        <v>0</v>
      </c>
      <c r="J447" s="6">
        <v>0</v>
      </c>
      <c r="K447" s="6">
        <v>0</v>
      </c>
      <c r="L447" s="6">
        <v>0</v>
      </c>
      <c r="M447" s="5"/>
      <c r="N447" s="6">
        <v>86</v>
      </c>
      <c r="O447" s="6">
        <v>0</v>
      </c>
      <c r="P447" s="6">
        <v>0</v>
      </c>
      <c r="Q447" s="6">
        <v>0</v>
      </c>
      <c r="R447" s="6">
        <v>-86</v>
      </c>
      <c r="S447" s="5"/>
      <c r="T447" s="7">
        <v>7740</v>
      </c>
      <c r="U447" s="7">
        <v>0</v>
      </c>
      <c r="V447" s="7">
        <v>0</v>
      </c>
      <c r="W447" s="7">
        <v>0</v>
      </c>
      <c r="X447" s="7">
        <v>0</v>
      </c>
      <c r="Y447" s="7">
        <v>-7740</v>
      </c>
    </row>
    <row r="448" spans="1:25" ht="51" x14ac:dyDescent="0.2">
      <c r="A448" s="5" t="s">
        <v>654</v>
      </c>
      <c r="B448" s="5" t="s">
        <v>647</v>
      </c>
      <c r="C448" s="5" t="s">
        <v>233</v>
      </c>
      <c r="D448" s="5" t="s">
        <v>46</v>
      </c>
      <c r="E448" s="5" t="s">
        <v>88</v>
      </c>
      <c r="F448" s="5" t="s">
        <v>18</v>
      </c>
      <c r="G448" s="5" t="s">
        <v>139</v>
      </c>
      <c r="H448" s="5"/>
      <c r="I448" s="6">
        <v>0</v>
      </c>
      <c r="J448" s="6">
        <v>0</v>
      </c>
      <c r="K448" s="6">
        <v>0</v>
      </c>
      <c r="L448" s="6">
        <v>0</v>
      </c>
      <c r="M448" s="5"/>
      <c r="N448" s="6">
        <v>8</v>
      </c>
      <c r="O448" s="6">
        <v>19.5</v>
      </c>
      <c r="P448" s="6">
        <v>19.5</v>
      </c>
      <c r="Q448" s="6">
        <v>0</v>
      </c>
      <c r="R448" s="6">
        <v>11.5</v>
      </c>
      <c r="S448" s="5"/>
      <c r="T448" s="7">
        <v>720</v>
      </c>
      <c r="U448" s="7">
        <v>1921.53</v>
      </c>
      <c r="V448" s="7">
        <v>0</v>
      </c>
      <c r="W448" s="7">
        <v>1921.53</v>
      </c>
      <c r="X448" s="7">
        <v>0</v>
      </c>
      <c r="Y448" s="7">
        <v>1201.53</v>
      </c>
    </row>
    <row r="449" spans="1:25" ht="51" x14ac:dyDescent="0.2">
      <c r="A449" s="5" t="s">
        <v>655</v>
      </c>
      <c r="B449" s="5" t="s">
        <v>647</v>
      </c>
      <c r="C449" s="5" t="s">
        <v>235</v>
      </c>
      <c r="D449" s="5" t="s">
        <v>46</v>
      </c>
      <c r="E449" s="5" t="s">
        <v>88</v>
      </c>
      <c r="F449" s="5" t="s">
        <v>18</v>
      </c>
      <c r="G449" s="5" t="s">
        <v>139</v>
      </c>
      <c r="H449" s="5"/>
      <c r="I449" s="6">
        <v>0</v>
      </c>
      <c r="J449" s="6">
        <v>0</v>
      </c>
      <c r="K449" s="6">
        <v>0</v>
      </c>
      <c r="L449" s="6">
        <v>0</v>
      </c>
      <c r="M449" s="5"/>
      <c r="N449" s="6">
        <v>8</v>
      </c>
      <c r="O449" s="6">
        <v>10</v>
      </c>
      <c r="P449" s="6">
        <v>10</v>
      </c>
      <c r="Q449" s="6">
        <v>0</v>
      </c>
      <c r="R449" s="6">
        <v>2</v>
      </c>
      <c r="S449" s="5"/>
      <c r="T449" s="7">
        <v>720</v>
      </c>
      <c r="U449" s="7">
        <v>934.39</v>
      </c>
      <c r="V449" s="7">
        <v>0</v>
      </c>
      <c r="W449" s="7">
        <v>934.39</v>
      </c>
      <c r="X449" s="7">
        <v>0</v>
      </c>
      <c r="Y449" s="7">
        <v>214.39</v>
      </c>
    </row>
    <row r="450" spans="1:25" ht="51" x14ac:dyDescent="0.2">
      <c r="A450" s="5" t="s">
        <v>656</v>
      </c>
      <c r="B450" s="5" t="s">
        <v>647</v>
      </c>
      <c r="C450" s="5" t="s">
        <v>237</v>
      </c>
      <c r="D450" s="5" t="s">
        <v>46</v>
      </c>
      <c r="E450" s="5" t="s">
        <v>88</v>
      </c>
      <c r="F450" s="5" t="s">
        <v>18</v>
      </c>
      <c r="G450" s="5" t="s">
        <v>139</v>
      </c>
      <c r="H450" s="5"/>
      <c r="I450" s="6">
        <v>0</v>
      </c>
      <c r="J450" s="6">
        <v>0</v>
      </c>
      <c r="K450" s="6">
        <v>0</v>
      </c>
      <c r="L450" s="6">
        <v>0</v>
      </c>
      <c r="M450" s="5"/>
      <c r="N450" s="6">
        <v>400</v>
      </c>
      <c r="O450" s="6">
        <v>185.5</v>
      </c>
      <c r="P450" s="6">
        <v>185.5</v>
      </c>
      <c r="Q450" s="6">
        <v>0</v>
      </c>
      <c r="R450" s="6">
        <v>-214.5</v>
      </c>
      <c r="S450" s="5"/>
      <c r="T450" s="7">
        <v>36000</v>
      </c>
      <c r="U450" s="7">
        <v>17957.849999999999</v>
      </c>
      <c r="V450" s="7">
        <v>0</v>
      </c>
      <c r="W450" s="7">
        <v>17957.849999999999</v>
      </c>
      <c r="X450" s="7">
        <v>0</v>
      </c>
      <c r="Y450" s="7">
        <v>-18042.150000000001</v>
      </c>
    </row>
    <row r="451" spans="1:25" ht="51" x14ac:dyDescent="0.2">
      <c r="A451" s="5" t="s">
        <v>657</v>
      </c>
      <c r="B451" s="5" t="s">
        <v>647</v>
      </c>
      <c r="C451" s="5" t="s">
        <v>239</v>
      </c>
      <c r="D451" s="5" t="s">
        <v>46</v>
      </c>
      <c r="E451" s="5" t="s">
        <v>88</v>
      </c>
      <c r="F451" s="5" t="s">
        <v>18</v>
      </c>
      <c r="G451" s="5" t="s">
        <v>139</v>
      </c>
      <c r="H451" s="5"/>
      <c r="I451" s="6">
        <v>0</v>
      </c>
      <c r="J451" s="6">
        <v>0</v>
      </c>
      <c r="K451" s="6">
        <v>0</v>
      </c>
      <c r="L451" s="6">
        <v>0</v>
      </c>
      <c r="M451" s="5"/>
      <c r="N451" s="6">
        <v>182</v>
      </c>
      <c r="O451" s="6">
        <v>101.5</v>
      </c>
      <c r="P451" s="6">
        <v>101.5</v>
      </c>
      <c r="Q451" s="6">
        <v>0</v>
      </c>
      <c r="R451" s="6">
        <v>-80.5</v>
      </c>
      <c r="S451" s="5"/>
      <c r="T451" s="7">
        <v>16380</v>
      </c>
      <c r="U451" s="7">
        <v>10037.950000000001</v>
      </c>
      <c r="V451" s="7">
        <v>0</v>
      </c>
      <c r="W451" s="7">
        <v>10037.950000000001</v>
      </c>
      <c r="X451" s="7">
        <v>0</v>
      </c>
      <c r="Y451" s="7">
        <v>-6342.05</v>
      </c>
    </row>
    <row r="452" spans="1:25" ht="51" x14ac:dyDescent="0.2">
      <c r="A452" s="5" t="s">
        <v>658</v>
      </c>
      <c r="B452" s="5" t="s">
        <v>659</v>
      </c>
      <c r="C452" s="5" t="s">
        <v>16</v>
      </c>
      <c r="D452" s="5" t="s">
        <v>335</v>
      </c>
      <c r="E452" s="5" t="s">
        <v>88</v>
      </c>
      <c r="F452" s="5" t="s">
        <v>18</v>
      </c>
      <c r="G452" s="5" t="s">
        <v>139</v>
      </c>
      <c r="H452" s="5"/>
      <c r="I452" s="6">
        <v>0</v>
      </c>
      <c r="J452" s="6">
        <v>0</v>
      </c>
      <c r="K452" s="6">
        <v>0</v>
      </c>
      <c r="L452" s="6">
        <v>0</v>
      </c>
      <c r="M452" s="5"/>
      <c r="N452" s="6">
        <v>2380</v>
      </c>
      <c r="O452" s="6">
        <v>3418.5</v>
      </c>
      <c r="P452" s="6">
        <v>3418.5</v>
      </c>
      <c r="Q452" s="6">
        <v>0</v>
      </c>
      <c r="R452" s="6">
        <v>1038.5</v>
      </c>
      <c r="S452" s="5"/>
      <c r="T452" s="7">
        <v>216934.48</v>
      </c>
      <c r="U452" s="7">
        <v>364825.46</v>
      </c>
      <c r="V452" s="7">
        <v>0</v>
      </c>
      <c r="W452" s="7">
        <v>364825.46</v>
      </c>
      <c r="X452" s="7">
        <v>0</v>
      </c>
      <c r="Y452" s="7">
        <v>147890.98000000001</v>
      </c>
    </row>
    <row r="453" spans="1:25" ht="63.75" x14ac:dyDescent="0.2">
      <c r="A453" s="5" t="s">
        <v>660</v>
      </c>
      <c r="B453" s="5" t="s">
        <v>143</v>
      </c>
      <c r="C453" s="5" t="s">
        <v>225</v>
      </c>
      <c r="D453" s="5" t="s">
        <v>107</v>
      </c>
      <c r="E453" s="5" t="s">
        <v>88</v>
      </c>
      <c r="F453" s="5" t="s">
        <v>18</v>
      </c>
      <c r="G453" s="5" t="s">
        <v>139</v>
      </c>
      <c r="H453" s="5"/>
      <c r="I453" s="6">
        <v>0</v>
      </c>
      <c r="J453" s="6">
        <v>0</v>
      </c>
      <c r="K453" s="6">
        <v>0</v>
      </c>
      <c r="L453" s="6">
        <v>0</v>
      </c>
      <c r="M453" s="5"/>
      <c r="N453" s="6">
        <v>558</v>
      </c>
      <c r="O453" s="6">
        <v>1433</v>
      </c>
      <c r="P453" s="6">
        <v>1433</v>
      </c>
      <c r="Q453" s="6">
        <v>0</v>
      </c>
      <c r="R453" s="6">
        <v>875</v>
      </c>
      <c r="S453" s="5"/>
      <c r="T453" s="7">
        <v>50220</v>
      </c>
      <c r="U453" s="7">
        <v>115438.39999999999</v>
      </c>
      <c r="V453" s="7">
        <v>0</v>
      </c>
      <c r="W453" s="7">
        <v>115438.39999999999</v>
      </c>
      <c r="X453" s="7">
        <v>0</v>
      </c>
      <c r="Y453" s="7">
        <v>65218.400000000001</v>
      </c>
    </row>
    <row r="454" spans="1:25" ht="63.75" x14ac:dyDescent="0.2">
      <c r="A454" s="5" t="s">
        <v>661</v>
      </c>
      <c r="B454" s="5" t="s">
        <v>143</v>
      </c>
      <c r="C454" s="5" t="s">
        <v>227</v>
      </c>
      <c r="D454" s="5" t="s">
        <v>107</v>
      </c>
      <c r="E454" s="5" t="s">
        <v>88</v>
      </c>
      <c r="F454" s="5" t="s">
        <v>18</v>
      </c>
      <c r="G454" s="5" t="s">
        <v>139</v>
      </c>
      <c r="H454" s="5"/>
      <c r="I454" s="6">
        <v>0</v>
      </c>
      <c r="J454" s="6">
        <v>0</v>
      </c>
      <c r="K454" s="6">
        <v>0</v>
      </c>
      <c r="L454" s="6">
        <v>0</v>
      </c>
      <c r="M454" s="5"/>
      <c r="N454" s="6">
        <v>16</v>
      </c>
      <c r="O454" s="6">
        <v>364</v>
      </c>
      <c r="P454" s="6">
        <v>364</v>
      </c>
      <c r="Q454" s="6">
        <v>0</v>
      </c>
      <c r="R454" s="6">
        <v>348</v>
      </c>
      <c r="S454" s="5"/>
      <c r="T454" s="7">
        <v>1440</v>
      </c>
      <c r="U454" s="7">
        <v>30266.85</v>
      </c>
      <c r="V454" s="7">
        <v>0</v>
      </c>
      <c r="W454" s="7">
        <v>30266.85</v>
      </c>
      <c r="X454" s="7">
        <v>0</v>
      </c>
      <c r="Y454" s="7">
        <v>28826.85</v>
      </c>
    </row>
    <row r="455" spans="1:25" ht="63.75" x14ac:dyDescent="0.2">
      <c r="A455" s="5" t="s">
        <v>662</v>
      </c>
      <c r="B455" s="5" t="s">
        <v>143</v>
      </c>
      <c r="C455" s="5" t="s">
        <v>245</v>
      </c>
      <c r="D455" s="5" t="s">
        <v>107</v>
      </c>
      <c r="E455" s="5" t="s">
        <v>88</v>
      </c>
      <c r="F455" s="5" t="s">
        <v>18</v>
      </c>
      <c r="G455" s="5" t="s">
        <v>139</v>
      </c>
      <c r="H455" s="5"/>
      <c r="I455" s="6">
        <v>0</v>
      </c>
      <c r="J455" s="6">
        <v>0</v>
      </c>
      <c r="K455" s="6">
        <v>0</v>
      </c>
      <c r="L455" s="6">
        <v>0</v>
      </c>
      <c r="M455" s="5"/>
      <c r="N455" s="6">
        <v>15</v>
      </c>
      <c r="O455" s="6">
        <v>73</v>
      </c>
      <c r="P455" s="6">
        <v>73</v>
      </c>
      <c r="Q455" s="6">
        <v>0</v>
      </c>
      <c r="R455" s="6">
        <v>58</v>
      </c>
      <c r="S455" s="5"/>
      <c r="T455" s="7">
        <v>1350</v>
      </c>
      <c r="U455" s="7">
        <v>6531.97</v>
      </c>
      <c r="V455" s="7">
        <v>0</v>
      </c>
      <c r="W455" s="7">
        <v>6531.97</v>
      </c>
      <c r="X455" s="7">
        <v>0</v>
      </c>
      <c r="Y455" s="7">
        <v>5181.97</v>
      </c>
    </row>
    <row r="456" spans="1:25" ht="63.75" x14ac:dyDescent="0.2">
      <c r="A456" s="5" t="s">
        <v>663</v>
      </c>
      <c r="B456" s="5" t="s">
        <v>143</v>
      </c>
      <c r="C456" s="5" t="s">
        <v>229</v>
      </c>
      <c r="D456" s="5" t="s">
        <v>107</v>
      </c>
      <c r="E456" s="5" t="s">
        <v>88</v>
      </c>
      <c r="F456" s="5" t="s">
        <v>18</v>
      </c>
      <c r="G456" s="5" t="s">
        <v>139</v>
      </c>
      <c r="H456" s="5"/>
      <c r="I456" s="6">
        <v>0</v>
      </c>
      <c r="J456" s="6">
        <v>0</v>
      </c>
      <c r="K456" s="6">
        <v>0</v>
      </c>
      <c r="L456" s="6">
        <v>0</v>
      </c>
      <c r="M456" s="5"/>
      <c r="N456" s="6">
        <v>10</v>
      </c>
      <c r="O456" s="6">
        <v>327</v>
      </c>
      <c r="P456" s="6">
        <v>327</v>
      </c>
      <c r="Q456" s="6">
        <v>0</v>
      </c>
      <c r="R456" s="6">
        <v>317</v>
      </c>
      <c r="S456" s="5"/>
      <c r="T456" s="7">
        <v>900</v>
      </c>
      <c r="U456" s="7">
        <v>24283.54</v>
      </c>
      <c r="V456" s="7">
        <v>0</v>
      </c>
      <c r="W456" s="7">
        <v>24283.54</v>
      </c>
      <c r="X456" s="7">
        <v>0</v>
      </c>
      <c r="Y456" s="7">
        <v>23383.54</v>
      </c>
    </row>
    <row r="457" spans="1:25" ht="63.75" x14ac:dyDescent="0.2">
      <c r="A457" s="5" t="s">
        <v>664</v>
      </c>
      <c r="B457" s="5" t="s">
        <v>143</v>
      </c>
      <c r="C457" s="5" t="s">
        <v>231</v>
      </c>
      <c r="D457" s="5" t="s">
        <v>107</v>
      </c>
      <c r="E457" s="5" t="s">
        <v>88</v>
      </c>
      <c r="F457" s="5" t="s">
        <v>18</v>
      </c>
      <c r="G457" s="5" t="s">
        <v>139</v>
      </c>
      <c r="H457" s="5"/>
      <c r="I457" s="6">
        <v>0</v>
      </c>
      <c r="J457" s="6">
        <v>0</v>
      </c>
      <c r="K457" s="6">
        <v>0</v>
      </c>
      <c r="L457" s="6">
        <v>0</v>
      </c>
      <c r="M457" s="5"/>
      <c r="N457" s="6">
        <v>80</v>
      </c>
      <c r="O457" s="6">
        <v>279</v>
      </c>
      <c r="P457" s="6">
        <v>279</v>
      </c>
      <c r="Q457" s="6">
        <v>0</v>
      </c>
      <c r="R457" s="6">
        <v>199</v>
      </c>
      <c r="S457" s="5"/>
      <c r="T457" s="7">
        <v>7200</v>
      </c>
      <c r="U457" s="7">
        <v>26145.99</v>
      </c>
      <c r="V457" s="7">
        <v>0</v>
      </c>
      <c r="W457" s="7">
        <v>26145.99</v>
      </c>
      <c r="X457" s="7">
        <v>0</v>
      </c>
      <c r="Y457" s="7">
        <v>18945.990000000002</v>
      </c>
    </row>
    <row r="458" spans="1:25" ht="63.75" x14ac:dyDescent="0.2">
      <c r="A458" s="5" t="s">
        <v>665</v>
      </c>
      <c r="B458" s="5" t="s">
        <v>143</v>
      </c>
      <c r="C458" s="5" t="s">
        <v>237</v>
      </c>
      <c r="D458" s="5" t="s">
        <v>107</v>
      </c>
      <c r="E458" s="5" t="s">
        <v>88</v>
      </c>
      <c r="F458" s="5" t="s">
        <v>18</v>
      </c>
      <c r="G458" s="5" t="s">
        <v>139</v>
      </c>
      <c r="H458" s="5"/>
      <c r="I458" s="6">
        <v>0</v>
      </c>
      <c r="J458" s="6">
        <v>0</v>
      </c>
      <c r="K458" s="6">
        <v>0</v>
      </c>
      <c r="L458" s="6">
        <v>0</v>
      </c>
      <c r="M458" s="5"/>
      <c r="N458" s="6">
        <v>1019</v>
      </c>
      <c r="O458" s="6">
        <v>1479</v>
      </c>
      <c r="P458" s="6">
        <v>1479</v>
      </c>
      <c r="Q458" s="6">
        <v>0</v>
      </c>
      <c r="R458" s="6">
        <v>460</v>
      </c>
      <c r="S458" s="5"/>
      <c r="T458" s="7">
        <v>91710</v>
      </c>
      <c r="U458" s="7">
        <v>119746.22</v>
      </c>
      <c r="V458" s="7">
        <v>0</v>
      </c>
      <c r="W458" s="7">
        <v>119746.22</v>
      </c>
      <c r="X458" s="7">
        <v>0</v>
      </c>
      <c r="Y458" s="7">
        <v>28036.22</v>
      </c>
    </row>
    <row r="459" spans="1:25" ht="63.75" x14ac:dyDescent="0.2">
      <c r="A459" s="5" t="s">
        <v>666</v>
      </c>
      <c r="B459" s="5" t="s">
        <v>143</v>
      </c>
      <c r="C459" s="5" t="s">
        <v>239</v>
      </c>
      <c r="D459" s="5" t="s">
        <v>107</v>
      </c>
      <c r="E459" s="5" t="s">
        <v>88</v>
      </c>
      <c r="F459" s="5" t="s">
        <v>18</v>
      </c>
      <c r="G459" s="5" t="s">
        <v>139</v>
      </c>
      <c r="H459" s="5"/>
      <c r="I459" s="6">
        <v>0</v>
      </c>
      <c r="J459" s="6">
        <v>0</v>
      </c>
      <c r="K459" s="6">
        <v>0</v>
      </c>
      <c r="L459" s="6">
        <v>0</v>
      </c>
      <c r="M459" s="5"/>
      <c r="N459" s="6">
        <v>18</v>
      </c>
      <c r="O459" s="6">
        <v>366</v>
      </c>
      <c r="P459" s="6">
        <v>366</v>
      </c>
      <c r="Q459" s="6">
        <v>0</v>
      </c>
      <c r="R459" s="6">
        <v>348</v>
      </c>
      <c r="S459" s="5"/>
      <c r="T459" s="7">
        <v>1620</v>
      </c>
      <c r="U459" s="7">
        <v>29483.439999999999</v>
      </c>
      <c r="V459" s="7">
        <v>0</v>
      </c>
      <c r="W459" s="7">
        <v>29483.439999999999</v>
      </c>
      <c r="X459" s="7">
        <v>0</v>
      </c>
      <c r="Y459" s="7">
        <v>27863.439999999999</v>
      </c>
    </row>
    <row r="460" spans="1:25" ht="63.75" x14ac:dyDescent="0.2">
      <c r="A460" s="5" t="s">
        <v>667</v>
      </c>
      <c r="B460" s="5" t="s">
        <v>668</v>
      </c>
      <c r="C460" s="5" t="s">
        <v>225</v>
      </c>
      <c r="D460" s="5" t="s">
        <v>31</v>
      </c>
      <c r="E460" s="5" t="s">
        <v>88</v>
      </c>
      <c r="F460" s="5" t="s">
        <v>18</v>
      </c>
      <c r="G460" s="5" t="s">
        <v>139</v>
      </c>
      <c r="H460" s="5"/>
      <c r="I460" s="6">
        <v>0</v>
      </c>
      <c r="J460" s="6">
        <v>0</v>
      </c>
      <c r="K460" s="6">
        <v>0</v>
      </c>
      <c r="L460" s="6">
        <v>0</v>
      </c>
      <c r="M460" s="5"/>
      <c r="N460" s="6">
        <v>4141</v>
      </c>
      <c r="O460" s="6">
        <v>7050.5</v>
      </c>
      <c r="P460" s="6">
        <v>7048.5</v>
      </c>
      <c r="Q460" s="6">
        <v>-2</v>
      </c>
      <c r="R460" s="6">
        <v>2907.5</v>
      </c>
      <c r="S460" s="5"/>
      <c r="T460" s="7">
        <v>372372.36</v>
      </c>
      <c r="U460" s="7">
        <v>584089.64</v>
      </c>
      <c r="V460" s="7">
        <v>0</v>
      </c>
      <c r="W460" s="7">
        <v>583885.80000000005</v>
      </c>
      <c r="X460" s="7">
        <v>-203.84</v>
      </c>
      <c r="Y460" s="7">
        <v>211513.44</v>
      </c>
    </row>
    <row r="461" spans="1:25" ht="63.75" x14ac:dyDescent="0.2">
      <c r="A461" s="5" t="s">
        <v>669</v>
      </c>
      <c r="B461" s="5" t="s">
        <v>668</v>
      </c>
      <c r="C461" s="5" t="s">
        <v>122</v>
      </c>
      <c r="D461" s="5" t="s">
        <v>31</v>
      </c>
      <c r="E461" s="5" t="s">
        <v>88</v>
      </c>
      <c r="F461" s="5" t="s">
        <v>18</v>
      </c>
      <c r="G461" s="5" t="s">
        <v>139</v>
      </c>
      <c r="H461" s="5"/>
      <c r="I461" s="6">
        <v>0</v>
      </c>
      <c r="J461" s="6">
        <v>0</v>
      </c>
      <c r="K461" s="6">
        <v>0</v>
      </c>
      <c r="L461" s="6">
        <v>0</v>
      </c>
      <c r="M461" s="5"/>
      <c r="N461" s="6">
        <v>18</v>
      </c>
      <c r="O461" s="6">
        <v>233</v>
      </c>
      <c r="P461" s="6">
        <v>231</v>
      </c>
      <c r="Q461" s="6">
        <v>-2</v>
      </c>
      <c r="R461" s="6">
        <v>213</v>
      </c>
      <c r="S461" s="5"/>
      <c r="T461" s="7">
        <v>1620</v>
      </c>
      <c r="U461" s="7">
        <v>22765.01</v>
      </c>
      <c r="V461" s="7">
        <v>0</v>
      </c>
      <c r="W461" s="7">
        <v>22539.42</v>
      </c>
      <c r="X461" s="7">
        <v>-225.59</v>
      </c>
      <c r="Y461" s="7">
        <v>20919.419999999998</v>
      </c>
    </row>
    <row r="462" spans="1:25" ht="63.75" x14ac:dyDescent="0.2">
      <c r="A462" s="5" t="s">
        <v>670</v>
      </c>
      <c r="B462" s="5" t="s">
        <v>668</v>
      </c>
      <c r="C462" s="5" t="s">
        <v>227</v>
      </c>
      <c r="D462" s="5" t="s">
        <v>31</v>
      </c>
      <c r="E462" s="5" t="s">
        <v>88</v>
      </c>
      <c r="F462" s="5" t="s">
        <v>18</v>
      </c>
      <c r="G462" s="5" t="s">
        <v>139</v>
      </c>
      <c r="H462" s="5"/>
      <c r="I462" s="6">
        <v>0</v>
      </c>
      <c r="J462" s="6">
        <v>0</v>
      </c>
      <c r="K462" s="6">
        <v>0</v>
      </c>
      <c r="L462" s="6">
        <v>0</v>
      </c>
      <c r="M462" s="5"/>
      <c r="N462" s="6">
        <v>940</v>
      </c>
      <c r="O462" s="6">
        <v>883</v>
      </c>
      <c r="P462" s="6">
        <v>883</v>
      </c>
      <c r="Q462" s="6">
        <v>0</v>
      </c>
      <c r="R462" s="6">
        <v>-57</v>
      </c>
      <c r="S462" s="5"/>
      <c r="T462" s="7">
        <v>84600</v>
      </c>
      <c r="U462" s="7">
        <v>67002.62</v>
      </c>
      <c r="V462" s="7">
        <v>0</v>
      </c>
      <c r="W462" s="7">
        <v>67002.62</v>
      </c>
      <c r="X462" s="7">
        <v>0</v>
      </c>
      <c r="Y462" s="7">
        <v>-17597.38</v>
      </c>
    </row>
    <row r="463" spans="1:25" ht="63.75" x14ac:dyDescent="0.2">
      <c r="A463" s="5" t="s">
        <v>671</v>
      </c>
      <c r="B463" s="5" t="s">
        <v>668</v>
      </c>
      <c r="C463" s="5" t="s">
        <v>245</v>
      </c>
      <c r="D463" s="5" t="s">
        <v>31</v>
      </c>
      <c r="E463" s="5" t="s">
        <v>88</v>
      </c>
      <c r="F463" s="5" t="s">
        <v>18</v>
      </c>
      <c r="G463" s="5" t="s">
        <v>139</v>
      </c>
      <c r="H463" s="5"/>
      <c r="I463" s="6">
        <v>0</v>
      </c>
      <c r="J463" s="6">
        <v>0</v>
      </c>
      <c r="K463" s="6">
        <v>0</v>
      </c>
      <c r="L463" s="6">
        <v>0</v>
      </c>
      <c r="M463" s="5"/>
      <c r="N463" s="6">
        <v>176</v>
      </c>
      <c r="O463" s="6">
        <v>252</v>
      </c>
      <c r="P463" s="6">
        <v>252</v>
      </c>
      <c r="Q463" s="6">
        <v>0</v>
      </c>
      <c r="R463" s="6">
        <v>76</v>
      </c>
      <c r="S463" s="5"/>
      <c r="T463" s="7">
        <v>15840</v>
      </c>
      <c r="U463" s="7">
        <v>19791.18</v>
      </c>
      <c r="V463" s="7">
        <v>0</v>
      </c>
      <c r="W463" s="7">
        <v>19791.18</v>
      </c>
      <c r="X463" s="7">
        <v>0</v>
      </c>
      <c r="Y463" s="7">
        <v>3951.18</v>
      </c>
    </row>
    <row r="464" spans="1:25" ht="63.75" x14ac:dyDescent="0.2">
      <c r="A464" s="5" t="s">
        <v>672</v>
      </c>
      <c r="B464" s="5" t="s">
        <v>668</v>
      </c>
      <c r="C464" s="5" t="s">
        <v>229</v>
      </c>
      <c r="D464" s="5" t="s">
        <v>31</v>
      </c>
      <c r="E464" s="5" t="s">
        <v>88</v>
      </c>
      <c r="F464" s="5" t="s">
        <v>18</v>
      </c>
      <c r="G464" s="5" t="s">
        <v>139</v>
      </c>
      <c r="H464" s="5"/>
      <c r="I464" s="6">
        <v>0</v>
      </c>
      <c r="J464" s="6">
        <v>0</v>
      </c>
      <c r="K464" s="6">
        <v>0</v>
      </c>
      <c r="L464" s="6">
        <v>0</v>
      </c>
      <c r="M464" s="5"/>
      <c r="N464" s="6">
        <v>1403</v>
      </c>
      <c r="O464" s="6">
        <v>875</v>
      </c>
      <c r="P464" s="6">
        <v>875</v>
      </c>
      <c r="Q464" s="6">
        <v>0</v>
      </c>
      <c r="R464" s="6">
        <v>-528</v>
      </c>
      <c r="S464" s="5"/>
      <c r="T464" s="7">
        <v>126270</v>
      </c>
      <c r="U464" s="7">
        <v>71636.08</v>
      </c>
      <c r="V464" s="7">
        <v>0</v>
      </c>
      <c r="W464" s="7">
        <v>71636.08</v>
      </c>
      <c r="X464" s="7">
        <v>0</v>
      </c>
      <c r="Y464" s="7">
        <v>-54633.919999999998</v>
      </c>
    </row>
    <row r="465" spans="1:25" ht="63.75" x14ac:dyDescent="0.2">
      <c r="A465" s="5" t="s">
        <v>673</v>
      </c>
      <c r="B465" s="5" t="s">
        <v>668</v>
      </c>
      <c r="C465" s="5" t="s">
        <v>231</v>
      </c>
      <c r="D465" s="5" t="s">
        <v>31</v>
      </c>
      <c r="E465" s="5" t="s">
        <v>88</v>
      </c>
      <c r="F465" s="5" t="s">
        <v>18</v>
      </c>
      <c r="G465" s="5" t="s">
        <v>139</v>
      </c>
      <c r="H465" s="5"/>
      <c r="I465" s="6">
        <v>0</v>
      </c>
      <c r="J465" s="6">
        <v>0</v>
      </c>
      <c r="K465" s="6">
        <v>0</v>
      </c>
      <c r="L465" s="6">
        <v>0</v>
      </c>
      <c r="M465" s="5"/>
      <c r="N465" s="6">
        <v>1342</v>
      </c>
      <c r="O465" s="6">
        <v>513.5</v>
      </c>
      <c r="P465" s="6">
        <v>513.5</v>
      </c>
      <c r="Q465" s="6">
        <v>0</v>
      </c>
      <c r="R465" s="6">
        <v>-828.5</v>
      </c>
      <c r="S465" s="5"/>
      <c r="T465" s="7">
        <v>120780</v>
      </c>
      <c r="U465" s="7">
        <v>41278.71</v>
      </c>
      <c r="V465" s="7">
        <v>0</v>
      </c>
      <c r="W465" s="7">
        <v>41278.71</v>
      </c>
      <c r="X465" s="7">
        <v>0</v>
      </c>
      <c r="Y465" s="7">
        <v>-79501.289999999994</v>
      </c>
    </row>
    <row r="466" spans="1:25" ht="63.75" x14ac:dyDescent="0.2">
      <c r="A466" s="5" t="s">
        <v>674</v>
      </c>
      <c r="B466" s="5" t="s">
        <v>668</v>
      </c>
      <c r="C466" s="5" t="s">
        <v>233</v>
      </c>
      <c r="D466" s="5" t="s">
        <v>31</v>
      </c>
      <c r="E466" s="5" t="s">
        <v>88</v>
      </c>
      <c r="F466" s="5" t="s">
        <v>18</v>
      </c>
      <c r="G466" s="5" t="s">
        <v>139</v>
      </c>
      <c r="H466" s="5"/>
      <c r="I466" s="6">
        <v>0</v>
      </c>
      <c r="J466" s="6">
        <v>0</v>
      </c>
      <c r="K466" s="6">
        <v>0</v>
      </c>
      <c r="L466" s="6">
        <v>0</v>
      </c>
      <c r="M466" s="5"/>
      <c r="N466" s="6">
        <v>72</v>
      </c>
      <c r="O466" s="6">
        <v>54</v>
      </c>
      <c r="P466" s="6">
        <v>54</v>
      </c>
      <c r="Q466" s="6">
        <v>0</v>
      </c>
      <c r="R466" s="6">
        <v>-18</v>
      </c>
      <c r="S466" s="5"/>
      <c r="T466" s="7">
        <v>6480</v>
      </c>
      <c r="U466" s="7">
        <v>4646.3999999999996</v>
      </c>
      <c r="V466" s="7">
        <v>0</v>
      </c>
      <c r="W466" s="7">
        <v>4646.3999999999996</v>
      </c>
      <c r="X466" s="7">
        <v>0</v>
      </c>
      <c r="Y466" s="7">
        <v>-1833.6</v>
      </c>
    </row>
    <row r="467" spans="1:25" ht="63.75" x14ac:dyDescent="0.2">
      <c r="A467" s="5" t="s">
        <v>675</v>
      </c>
      <c r="B467" s="5" t="s">
        <v>668</v>
      </c>
      <c r="C467" s="5" t="s">
        <v>235</v>
      </c>
      <c r="D467" s="5" t="s">
        <v>31</v>
      </c>
      <c r="E467" s="5" t="s">
        <v>88</v>
      </c>
      <c r="F467" s="5" t="s">
        <v>18</v>
      </c>
      <c r="G467" s="5" t="s">
        <v>139</v>
      </c>
      <c r="H467" s="5"/>
      <c r="I467" s="6">
        <v>0</v>
      </c>
      <c r="J467" s="6">
        <v>0</v>
      </c>
      <c r="K467" s="6">
        <v>0</v>
      </c>
      <c r="L467" s="6">
        <v>0</v>
      </c>
      <c r="M467" s="5"/>
      <c r="N467" s="6">
        <v>78</v>
      </c>
      <c r="O467" s="6">
        <v>72</v>
      </c>
      <c r="P467" s="6">
        <v>72</v>
      </c>
      <c r="Q467" s="6">
        <v>0</v>
      </c>
      <c r="R467" s="6">
        <v>-6</v>
      </c>
      <c r="S467" s="5"/>
      <c r="T467" s="7">
        <v>7020</v>
      </c>
      <c r="U467" s="7">
        <v>6634.53</v>
      </c>
      <c r="V467" s="7">
        <v>0</v>
      </c>
      <c r="W467" s="7">
        <v>6634.53</v>
      </c>
      <c r="X467" s="7">
        <v>0</v>
      </c>
      <c r="Y467" s="7">
        <v>-385.47</v>
      </c>
    </row>
    <row r="468" spans="1:25" ht="63.75" x14ac:dyDescent="0.2">
      <c r="A468" s="5" t="s">
        <v>676</v>
      </c>
      <c r="B468" s="5" t="s">
        <v>668</v>
      </c>
      <c r="C468" s="5" t="s">
        <v>237</v>
      </c>
      <c r="D468" s="5" t="s">
        <v>31</v>
      </c>
      <c r="E468" s="5" t="s">
        <v>88</v>
      </c>
      <c r="F468" s="5" t="s">
        <v>18</v>
      </c>
      <c r="G468" s="5" t="s">
        <v>139</v>
      </c>
      <c r="H468" s="5"/>
      <c r="I468" s="6">
        <v>0</v>
      </c>
      <c r="J468" s="6">
        <v>0</v>
      </c>
      <c r="K468" s="6">
        <v>0</v>
      </c>
      <c r="L468" s="6">
        <v>0</v>
      </c>
      <c r="M468" s="5"/>
      <c r="N468" s="6">
        <v>1064</v>
      </c>
      <c r="O468" s="6">
        <v>3219.5</v>
      </c>
      <c r="P468" s="6">
        <v>3214.5</v>
      </c>
      <c r="Q468" s="6">
        <v>-5</v>
      </c>
      <c r="R468" s="6">
        <v>2150.5</v>
      </c>
      <c r="S468" s="5"/>
      <c r="T468" s="7">
        <v>95760</v>
      </c>
      <c r="U468" s="7">
        <v>270168.03000000003</v>
      </c>
      <c r="V468" s="7">
        <v>0</v>
      </c>
      <c r="W468" s="7">
        <v>269768.88</v>
      </c>
      <c r="X468" s="7">
        <v>-399.15</v>
      </c>
      <c r="Y468" s="7">
        <v>174008.88</v>
      </c>
    </row>
    <row r="469" spans="1:25" ht="63.75" x14ac:dyDescent="0.2">
      <c r="A469" s="5" t="s">
        <v>677</v>
      </c>
      <c r="B469" s="5" t="s">
        <v>668</v>
      </c>
      <c r="C469" s="5" t="s">
        <v>239</v>
      </c>
      <c r="D469" s="5" t="s">
        <v>31</v>
      </c>
      <c r="E469" s="5" t="s">
        <v>88</v>
      </c>
      <c r="F469" s="5" t="s">
        <v>18</v>
      </c>
      <c r="G469" s="5" t="s">
        <v>139</v>
      </c>
      <c r="H469" s="5"/>
      <c r="I469" s="6">
        <v>0</v>
      </c>
      <c r="J469" s="6">
        <v>0</v>
      </c>
      <c r="K469" s="6">
        <v>0</v>
      </c>
      <c r="L469" s="6">
        <v>0</v>
      </c>
      <c r="M469" s="5"/>
      <c r="N469" s="6">
        <v>1000</v>
      </c>
      <c r="O469" s="6">
        <v>642.5</v>
      </c>
      <c r="P469" s="6">
        <v>642.5</v>
      </c>
      <c r="Q469" s="6">
        <v>0</v>
      </c>
      <c r="R469" s="6">
        <v>-357.5</v>
      </c>
      <c r="S469" s="5"/>
      <c r="T469" s="7">
        <v>90000</v>
      </c>
      <c r="U469" s="7">
        <v>53880.35</v>
      </c>
      <c r="V469" s="7">
        <v>0</v>
      </c>
      <c r="W469" s="7">
        <v>53880.35</v>
      </c>
      <c r="X469" s="7">
        <v>0</v>
      </c>
      <c r="Y469" s="7">
        <v>-36119.65</v>
      </c>
    </row>
    <row r="470" spans="1:25" ht="51" x14ac:dyDescent="0.2">
      <c r="A470" s="5" t="s">
        <v>678</v>
      </c>
      <c r="B470" s="5" t="s">
        <v>679</v>
      </c>
      <c r="C470" s="5" t="s">
        <v>225</v>
      </c>
      <c r="D470" s="5" t="s">
        <v>506</v>
      </c>
      <c r="E470" s="5" t="s">
        <v>88</v>
      </c>
      <c r="F470" s="5" t="s">
        <v>18</v>
      </c>
      <c r="G470" s="5" t="s">
        <v>139</v>
      </c>
      <c r="H470" s="5"/>
      <c r="I470" s="6">
        <v>0</v>
      </c>
      <c r="J470" s="6">
        <v>0</v>
      </c>
      <c r="K470" s="6">
        <v>0</v>
      </c>
      <c r="L470" s="6">
        <v>0</v>
      </c>
      <c r="M470" s="5"/>
      <c r="N470" s="6">
        <v>235</v>
      </c>
      <c r="O470" s="6">
        <v>406</v>
      </c>
      <c r="P470" s="6">
        <v>406</v>
      </c>
      <c r="Q470" s="6">
        <v>0</v>
      </c>
      <c r="R470" s="6">
        <v>171</v>
      </c>
      <c r="S470" s="5"/>
      <c r="T470" s="7">
        <v>21150</v>
      </c>
      <c r="U470" s="7">
        <v>33642.04</v>
      </c>
      <c r="V470" s="7">
        <v>0</v>
      </c>
      <c r="W470" s="7">
        <v>33642.04</v>
      </c>
      <c r="X470" s="7">
        <v>0</v>
      </c>
      <c r="Y470" s="7">
        <v>12492.04</v>
      </c>
    </row>
    <row r="471" spans="1:25" ht="51" x14ac:dyDescent="0.2">
      <c r="A471" s="5" t="s">
        <v>680</v>
      </c>
      <c r="B471" s="5" t="s">
        <v>679</v>
      </c>
      <c r="C471" s="5" t="s">
        <v>227</v>
      </c>
      <c r="D471" s="5" t="s">
        <v>506</v>
      </c>
      <c r="E471" s="5" t="s">
        <v>88</v>
      </c>
      <c r="F471" s="5" t="s">
        <v>18</v>
      </c>
      <c r="G471" s="5" t="s">
        <v>139</v>
      </c>
      <c r="H471" s="5"/>
      <c r="I471" s="6">
        <v>0</v>
      </c>
      <c r="J471" s="6">
        <v>0</v>
      </c>
      <c r="K471" s="6">
        <v>0</v>
      </c>
      <c r="L471" s="6">
        <v>0</v>
      </c>
      <c r="M471" s="5"/>
      <c r="N471" s="6">
        <v>18</v>
      </c>
      <c r="O471" s="6">
        <v>12</v>
      </c>
      <c r="P471" s="6">
        <v>12</v>
      </c>
      <c r="Q471" s="6">
        <v>0</v>
      </c>
      <c r="R471" s="6">
        <v>-6</v>
      </c>
      <c r="S471" s="5"/>
      <c r="T471" s="7">
        <v>1620</v>
      </c>
      <c r="U471" s="7">
        <v>791.24</v>
      </c>
      <c r="V471" s="7">
        <v>0</v>
      </c>
      <c r="W471" s="7">
        <v>791.24</v>
      </c>
      <c r="X471" s="7">
        <v>0</v>
      </c>
      <c r="Y471" s="7">
        <v>-828.76</v>
      </c>
    </row>
    <row r="472" spans="1:25" ht="51" x14ac:dyDescent="0.2">
      <c r="A472" s="5" t="s">
        <v>681</v>
      </c>
      <c r="B472" s="5" t="s">
        <v>679</v>
      </c>
      <c r="C472" s="5" t="s">
        <v>245</v>
      </c>
      <c r="D472" s="5" t="s">
        <v>506</v>
      </c>
      <c r="E472" s="5" t="s">
        <v>88</v>
      </c>
      <c r="F472" s="5" t="s">
        <v>18</v>
      </c>
      <c r="G472" s="5" t="s">
        <v>139</v>
      </c>
      <c r="H472" s="5"/>
      <c r="I472" s="6">
        <v>0</v>
      </c>
      <c r="J472" s="6">
        <v>0</v>
      </c>
      <c r="K472" s="6">
        <v>0</v>
      </c>
      <c r="L472" s="6">
        <v>0</v>
      </c>
      <c r="M472" s="5"/>
      <c r="N472" s="6">
        <v>12</v>
      </c>
      <c r="O472" s="6">
        <v>32</v>
      </c>
      <c r="P472" s="6">
        <v>32</v>
      </c>
      <c r="Q472" s="6">
        <v>0</v>
      </c>
      <c r="R472" s="6">
        <v>20</v>
      </c>
      <c r="S472" s="5"/>
      <c r="T472" s="7">
        <v>1080</v>
      </c>
      <c r="U472" s="7">
        <v>2547.9899999999998</v>
      </c>
      <c r="V472" s="7">
        <v>0</v>
      </c>
      <c r="W472" s="7">
        <v>2547.9899999999998</v>
      </c>
      <c r="X472" s="7">
        <v>0</v>
      </c>
      <c r="Y472" s="7">
        <v>1467.99</v>
      </c>
    </row>
    <row r="473" spans="1:25" ht="51" x14ac:dyDescent="0.2">
      <c r="A473" s="5" t="s">
        <v>682</v>
      </c>
      <c r="B473" s="5" t="s">
        <v>679</v>
      </c>
      <c r="C473" s="5" t="s">
        <v>229</v>
      </c>
      <c r="D473" s="5" t="s">
        <v>506</v>
      </c>
      <c r="E473" s="5" t="s">
        <v>88</v>
      </c>
      <c r="F473" s="5" t="s">
        <v>18</v>
      </c>
      <c r="G473" s="5" t="s">
        <v>139</v>
      </c>
      <c r="H473" s="5"/>
      <c r="I473" s="6">
        <v>0</v>
      </c>
      <c r="J473" s="6">
        <v>0</v>
      </c>
      <c r="K473" s="6">
        <v>0</v>
      </c>
      <c r="L473" s="6">
        <v>0</v>
      </c>
      <c r="M473" s="5"/>
      <c r="N473" s="6">
        <v>22</v>
      </c>
      <c r="O473" s="6">
        <v>14</v>
      </c>
      <c r="P473" s="6">
        <v>14</v>
      </c>
      <c r="Q473" s="6">
        <v>0</v>
      </c>
      <c r="R473" s="6">
        <v>-8</v>
      </c>
      <c r="S473" s="5"/>
      <c r="T473" s="7">
        <v>1980</v>
      </c>
      <c r="U473" s="7">
        <v>1082.26</v>
      </c>
      <c r="V473" s="7">
        <v>0</v>
      </c>
      <c r="W473" s="7">
        <v>1082.26</v>
      </c>
      <c r="X473" s="7">
        <v>0</v>
      </c>
      <c r="Y473" s="7">
        <v>-897.74</v>
      </c>
    </row>
    <row r="474" spans="1:25" ht="51" x14ac:dyDescent="0.2">
      <c r="A474" s="5" t="s">
        <v>683</v>
      </c>
      <c r="B474" s="5" t="s">
        <v>679</v>
      </c>
      <c r="C474" s="5" t="s">
        <v>231</v>
      </c>
      <c r="D474" s="5" t="s">
        <v>506</v>
      </c>
      <c r="E474" s="5" t="s">
        <v>88</v>
      </c>
      <c r="F474" s="5" t="s">
        <v>18</v>
      </c>
      <c r="G474" s="5" t="s">
        <v>139</v>
      </c>
      <c r="H474" s="5"/>
      <c r="I474" s="6">
        <v>0</v>
      </c>
      <c r="J474" s="6">
        <v>0</v>
      </c>
      <c r="K474" s="6">
        <v>0</v>
      </c>
      <c r="L474" s="6">
        <v>0</v>
      </c>
      <c r="M474" s="5"/>
      <c r="N474" s="6">
        <v>28</v>
      </c>
      <c r="O474" s="6">
        <v>32</v>
      </c>
      <c r="P474" s="6">
        <v>32</v>
      </c>
      <c r="Q474" s="6">
        <v>0</v>
      </c>
      <c r="R474" s="6">
        <v>4</v>
      </c>
      <c r="S474" s="5"/>
      <c r="T474" s="7">
        <v>2520</v>
      </c>
      <c r="U474" s="7">
        <v>2416.9699999999998</v>
      </c>
      <c r="V474" s="7">
        <v>0</v>
      </c>
      <c r="W474" s="7">
        <v>2416.9699999999998</v>
      </c>
      <c r="X474" s="7">
        <v>0</v>
      </c>
      <c r="Y474" s="7">
        <v>-103.03</v>
      </c>
    </row>
    <row r="475" spans="1:25" ht="51" x14ac:dyDescent="0.2">
      <c r="A475" s="5" t="s">
        <v>684</v>
      </c>
      <c r="B475" s="5" t="s">
        <v>679</v>
      </c>
      <c r="C475" s="5" t="s">
        <v>237</v>
      </c>
      <c r="D475" s="5" t="s">
        <v>506</v>
      </c>
      <c r="E475" s="5" t="s">
        <v>88</v>
      </c>
      <c r="F475" s="5" t="s">
        <v>18</v>
      </c>
      <c r="G475" s="5" t="s">
        <v>139</v>
      </c>
      <c r="H475" s="5"/>
      <c r="I475" s="6">
        <v>0</v>
      </c>
      <c r="J475" s="6">
        <v>0</v>
      </c>
      <c r="K475" s="6">
        <v>0</v>
      </c>
      <c r="L475" s="6">
        <v>0</v>
      </c>
      <c r="M475" s="5"/>
      <c r="N475" s="6">
        <v>100</v>
      </c>
      <c r="O475" s="6">
        <v>161.5</v>
      </c>
      <c r="P475" s="6">
        <v>161.5</v>
      </c>
      <c r="Q475" s="6">
        <v>0</v>
      </c>
      <c r="R475" s="6">
        <v>61.5</v>
      </c>
      <c r="S475" s="5"/>
      <c r="T475" s="7">
        <v>9000</v>
      </c>
      <c r="U475" s="7">
        <v>12452.39</v>
      </c>
      <c r="V475" s="7">
        <v>0</v>
      </c>
      <c r="W475" s="7">
        <v>12452.39</v>
      </c>
      <c r="X475" s="7">
        <v>0</v>
      </c>
      <c r="Y475" s="7">
        <v>3452.39</v>
      </c>
    </row>
    <row r="476" spans="1:25" ht="51" x14ac:dyDescent="0.2">
      <c r="A476" s="5" t="s">
        <v>685</v>
      </c>
      <c r="B476" s="5" t="s">
        <v>679</v>
      </c>
      <c r="C476" s="5" t="s">
        <v>239</v>
      </c>
      <c r="D476" s="5" t="s">
        <v>506</v>
      </c>
      <c r="E476" s="5" t="s">
        <v>88</v>
      </c>
      <c r="F476" s="5" t="s">
        <v>18</v>
      </c>
      <c r="G476" s="5" t="s">
        <v>139</v>
      </c>
      <c r="H476" s="5"/>
      <c r="I476" s="6">
        <v>0</v>
      </c>
      <c r="J476" s="6">
        <v>0</v>
      </c>
      <c r="K476" s="6">
        <v>0</v>
      </c>
      <c r="L476" s="6">
        <v>0</v>
      </c>
      <c r="M476" s="5"/>
      <c r="N476" s="6">
        <v>30</v>
      </c>
      <c r="O476" s="6">
        <v>24</v>
      </c>
      <c r="P476" s="6">
        <v>24</v>
      </c>
      <c r="Q476" s="6">
        <v>0</v>
      </c>
      <c r="R476" s="6">
        <v>-6</v>
      </c>
      <c r="S476" s="5"/>
      <c r="T476" s="7">
        <v>2700</v>
      </c>
      <c r="U476" s="7">
        <v>1874.87</v>
      </c>
      <c r="V476" s="7">
        <v>0</v>
      </c>
      <c r="W476" s="7">
        <v>1874.87</v>
      </c>
      <c r="X476" s="7">
        <v>0</v>
      </c>
      <c r="Y476" s="7">
        <v>-825.13</v>
      </c>
    </row>
    <row r="477" spans="1:25" ht="89.25" x14ac:dyDescent="0.2">
      <c r="A477" s="5" t="s">
        <v>686</v>
      </c>
      <c r="B477" s="5" t="s">
        <v>687</v>
      </c>
      <c r="C477" s="5" t="s">
        <v>16</v>
      </c>
      <c r="D477" s="5" t="s">
        <v>104</v>
      </c>
      <c r="E477" s="5" t="s">
        <v>88</v>
      </c>
      <c r="F477" s="5" t="s">
        <v>18</v>
      </c>
      <c r="G477" s="5" t="s">
        <v>139</v>
      </c>
      <c r="H477" s="5"/>
      <c r="I477" s="6">
        <v>0</v>
      </c>
      <c r="J477" s="6">
        <v>0</v>
      </c>
      <c r="K477" s="6">
        <v>0</v>
      </c>
      <c r="L477" s="6">
        <v>0</v>
      </c>
      <c r="M477" s="5"/>
      <c r="N477" s="6">
        <v>141</v>
      </c>
      <c r="O477" s="6">
        <v>161</v>
      </c>
      <c r="P477" s="6">
        <v>177</v>
      </c>
      <c r="Q477" s="6">
        <v>16</v>
      </c>
      <c r="R477" s="6">
        <v>36</v>
      </c>
      <c r="S477" s="5"/>
      <c r="T477" s="7">
        <v>12690</v>
      </c>
      <c r="U477" s="7">
        <v>14262.86</v>
      </c>
      <c r="V477" s="7">
        <v>0</v>
      </c>
      <c r="W477" s="7">
        <v>16113.32</v>
      </c>
      <c r="X477" s="7">
        <v>1850.46</v>
      </c>
      <c r="Y477" s="7">
        <v>3423.32</v>
      </c>
    </row>
    <row r="478" spans="1:25" ht="76.5" x14ac:dyDescent="0.2">
      <c r="A478" s="5" t="s">
        <v>688</v>
      </c>
      <c r="B478" s="5" t="s">
        <v>273</v>
      </c>
      <c r="C478" s="5" t="s">
        <v>225</v>
      </c>
      <c r="D478" s="5" t="s">
        <v>104</v>
      </c>
      <c r="E478" s="5" t="s">
        <v>88</v>
      </c>
      <c r="F478" s="5" t="s">
        <v>18</v>
      </c>
      <c r="G478" s="5" t="s">
        <v>139</v>
      </c>
      <c r="H478" s="5"/>
      <c r="I478" s="6">
        <v>0</v>
      </c>
      <c r="J478" s="6">
        <v>0</v>
      </c>
      <c r="K478" s="6">
        <v>0</v>
      </c>
      <c r="L478" s="6">
        <v>0</v>
      </c>
      <c r="M478" s="5"/>
      <c r="N478" s="6">
        <v>240</v>
      </c>
      <c r="O478" s="6">
        <v>588</v>
      </c>
      <c r="P478" s="6">
        <v>588</v>
      </c>
      <c r="Q478" s="6">
        <v>0</v>
      </c>
      <c r="R478" s="6">
        <v>348</v>
      </c>
      <c r="S478" s="5"/>
      <c r="T478" s="7">
        <v>21600</v>
      </c>
      <c r="U478" s="7">
        <v>48751.519999999997</v>
      </c>
      <c r="V478" s="7">
        <v>0</v>
      </c>
      <c r="W478" s="7">
        <v>48751.519999999997</v>
      </c>
      <c r="X478" s="7">
        <v>0</v>
      </c>
      <c r="Y478" s="7">
        <v>27151.52</v>
      </c>
    </row>
    <row r="479" spans="1:25" ht="76.5" x14ac:dyDescent="0.2">
      <c r="A479" s="5" t="s">
        <v>689</v>
      </c>
      <c r="B479" s="5" t="s">
        <v>273</v>
      </c>
      <c r="C479" s="5" t="s">
        <v>227</v>
      </c>
      <c r="D479" s="5" t="s">
        <v>104</v>
      </c>
      <c r="E479" s="5" t="s">
        <v>88</v>
      </c>
      <c r="F479" s="5" t="s">
        <v>18</v>
      </c>
      <c r="G479" s="5" t="s">
        <v>139</v>
      </c>
      <c r="H479" s="5"/>
      <c r="I479" s="6">
        <v>0</v>
      </c>
      <c r="J479" s="6">
        <v>0</v>
      </c>
      <c r="K479" s="6">
        <v>0</v>
      </c>
      <c r="L479" s="6">
        <v>0</v>
      </c>
      <c r="M479" s="5"/>
      <c r="N479" s="6">
        <v>16</v>
      </c>
      <c r="O479" s="6">
        <v>14</v>
      </c>
      <c r="P479" s="6">
        <v>14</v>
      </c>
      <c r="Q479" s="6">
        <v>0</v>
      </c>
      <c r="R479" s="6">
        <v>-2</v>
      </c>
      <c r="S479" s="5"/>
      <c r="T479" s="7">
        <v>1440</v>
      </c>
      <c r="U479" s="7">
        <v>919.17</v>
      </c>
      <c r="V479" s="7">
        <v>0</v>
      </c>
      <c r="W479" s="7">
        <v>919.17</v>
      </c>
      <c r="X479" s="7">
        <v>0</v>
      </c>
      <c r="Y479" s="7">
        <v>-520.83000000000004</v>
      </c>
    </row>
    <row r="480" spans="1:25" ht="76.5" x14ac:dyDescent="0.2">
      <c r="A480" s="5" t="s">
        <v>690</v>
      </c>
      <c r="B480" s="5" t="s">
        <v>273</v>
      </c>
      <c r="C480" s="5" t="s">
        <v>245</v>
      </c>
      <c r="D480" s="5" t="s">
        <v>104</v>
      </c>
      <c r="E480" s="5" t="s">
        <v>88</v>
      </c>
      <c r="F480" s="5" t="s">
        <v>18</v>
      </c>
      <c r="G480" s="5" t="s">
        <v>139</v>
      </c>
      <c r="H480" s="5"/>
      <c r="I480" s="6">
        <v>0</v>
      </c>
      <c r="J480" s="6">
        <v>0</v>
      </c>
      <c r="K480" s="6">
        <v>0</v>
      </c>
      <c r="L480" s="6">
        <v>0</v>
      </c>
      <c r="M480" s="5"/>
      <c r="N480" s="6">
        <v>10</v>
      </c>
      <c r="O480" s="6">
        <v>10</v>
      </c>
      <c r="P480" s="6">
        <v>10</v>
      </c>
      <c r="Q480" s="6">
        <v>0</v>
      </c>
      <c r="R480" s="6">
        <v>0</v>
      </c>
      <c r="S480" s="5"/>
      <c r="T480" s="7">
        <v>900</v>
      </c>
      <c r="U480" s="7">
        <v>506.29</v>
      </c>
      <c r="V480" s="7">
        <v>0</v>
      </c>
      <c r="W480" s="7">
        <v>506.29</v>
      </c>
      <c r="X480" s="7">
        <v>0</v>
      </c>
      <c r="Y480" s="7">
        <v>-393.71</v>
      </c>
    </row>
    <row r="481" spans="1:25" ht="76.5" x14ac:dyDescent="0.2">
      <c r="A481" s="5" t="s">
        <v>691</v>
      </c>
      <c r="B481" s="5" t="s">
        <v>273</v>
      </c>
      <c r="C481" s="5" t="s">
        <v>229</v>
      </c>
      <c r="D481" s="5" t="s">
        <v>104</v>
      </c>
      <c r="E481" s="5" t="s">
        <v>88</v>
      </c>
      <c r="F481" s="5" t="s">
        <v>18</v>
      </c>
      <c r="G481" s="5" t="s">
        <v>139</v>
      </c>
      <c r="H481" s="5"/>
      <c r="I481" s="6">
        <v>0</v>
      </c>
      <c r="J481" s="6">
        <v>0</v>
      </c>
      <c r="K481" s="6">
        <v>0</v>
      </c>
      <c r="L481" s="6">
        <v>0</v>
      </c>
      <c r="M481" s="5"/>
      <c r="N481" s="6">
        <v>12</v>
      </c>
      <c r="O481" s="6">
        <v>48</v>
      </c>
      <c r="P481" s="6">
        <v>48</v>
      </c>
      <c r="Q481" s="6">
        <v>0</v>
      </c>
      <c r="R481" s="6">
        <v>36</v>
      </c>
      <c r="S481" s="5"/>
      <c r="T481" s="7">
        <v>1080</v>
      </c>
      <c r="U481" s="7">
        <v>3837.32</v>
      </c>
      <c r="V481" s="7">
        <v>0</v>
      </c>
      <c r="W481" s="7">
        <v>3837.32</v>
      </c>
      <c r="X481" s="7">
        <v>0</v>
      </c>
      <c r="Y481" s="7">
        <v>2757.32</v>
      </c>
    </row>
    <row r="482" spans="1:25" ht="76.5" x14ac:dyDescent="0.2">
      <c r="A482" s="5" t="s">
        <v>692</v>
      </c>
      <c r="B482" s="5" t="s">
        <v>273</v>
      </c>
      <c r="C482" s="5" t="s">
        <v>231</v>
      </c>
      <c r="D482" s="5" t="s">
        <v>104</v>
      </c>
      <c r="E482" s="5" t="s">
        <v>88</v>
      </c>
      <c r="F482" s="5" t="s">
        <v>18</v>
      </c>
      <c r="G482" s="5" t="s">
        <v>139</v>
      </c>
      <c r="H482" s="5"/>
      <c r="I482" s="6">
        <v>0</v>
      </c>
      <c r="J482" s="6">
        <v>0</v>
      </c>
      <c r="K482" s="6">
        <v>0</v>
      </c>
      <c r="L482" s="6">
        <v>0</v>
      </c>
      <c r="M482" s="5"/>
      <c r="N482" s="6">
        <v>40</v>
      </c>
      <c r="O482" s="6">
        <v>64</v>
      </c>
      <c r="P482" s="6">
        <v>64</v>
      </c>
      <c r="Q482" s="6">
        <v>0</v>
      </c>
      <c r="R482" s="6">
        <v>24</v>
      </c>
      <c r="S482" s="5"/>
      <c r="T482" s="7">
        <v>3600</v>
      </c>
      <c r="U482" s="7">
        <v>4334.96</v>
      </c>
      <c r="V482" s="7">
        <v>0</v>
      </c>
      <c r="W482" s="7">
        <v>4334.96</v>
      </c>
      <c r="X482" s="7">
        <v>0</v>
      </c>
      <c r="Y482" s="7">
        <v>734.96</v>
      </c>
    </row>
    <row r="483" spans="1:25" ht="76.5" x14ac:dyDescent="0.2">
      <c r="A483" s="5" t="s">
        <v>693</v>
      </c>
      <c r="B483" s="5" t="s">
        <v>273</v>
      </c>
      <c r="C483" s="5" t="s">
        <v>237</v>
      </c>
      <c r="D483" s="5" t="s">
        <v>104</v>
      </c>
      <c r="E483" s="5" t="s">
        <v>88</v>
      </c>
      <c r="F483" s="5" t="s">
        <v>18</v>
      </c>
      <c r="G483" s="5" t="s">
        <v>139</v>
      </c>
      <c r="H483" s="5"/>
      <c r="I483" s="6">
        <v>0</v>
      </c>
      <c r="J483" s="6">
        <v>0</v>
      </c>
      <c r="K483" s="6">
        <v>0</v>
      </c>
      <c r="L483" s="6">
        <v>0</v>
      </c>
      <c r="M483" s="5"/>
      <c r="N483" s="6">
        <v>32</v>
      </c>
      <c r="O483" s="6">
        <v>60</v>
      </c>
      <c r="P483" s="6">
        <v>60</v>
      </c>
      <c r="Q483" s="6">
        <v>0</v>
      </c>
      <c r="R483" s="6">
        <v>28</v>
      </c>
      <c r="S483" s="5"/>
      <c r="T483" s="7">
        <v>2880</v>
      </c>
      <c r="U483" s="7">
        <v>4488.3900000000003</v>
      </c>
      <c r="V483" s="7">
        <v>0</v>
      </c>
      <c r="W483" s="7">
        <v>4488.3900000000003</v>
      </c>
      <c r="X483" s="7">
        <v>0</v>
      </c>
      <c r="Y483" s="7">
        <v>1608.39</v>
      </c>
    </row>
    <row r="484" spans="1:25" ht="76.5" x14ac:dyDescent="0.2">
      <c r="A484" s="5" t="s">
        <v>694</v>
      </c>
      <c r="B484" s="5" t="s">
        <v>273</v>
      </c>
      <c r="C484" s="5" t="s">
        <v>239</v>
      </c>
      <c r="D484" s="5" t="s">
        <v>104</v>
      </c>
      <c r="E484" s="5" t="s">
        <v>88</v>
      </c>
      <c r="F484" s="5" t="s">
        <v>18</v>
      </c>
      <c r="G484" s="5" t="s">
        <v>139</v>
      </c>
      <c r="H484" s="5"/>
      <c r="I484" s="6">
        <v>0</v>
      </c>
      <c r="J484" s="6">
        <v>0</v>
      </c>
      <c r="K484" s="6">
        <v>0</v>
      </c>
      <c r="L484" s="6">
        <v>0</v>
      </c>
      <c r="M484" s="5"/>
      <c r="N484" s="6">
        <v>20</v>
      </c>
      <c r="O484" s="6">
        <v>62</v>
      </c>
      <c r="P484" s="6">
        <v>62</v>
      </c>
      <c r="Q484" s="6">
        <v>0</v>
      </c>
      <c r="R484" s="6">
        <v>42</v>
      </c>
      <c r="S484" s="5"/>
      <c r="T484" s="7">
        <v>1800</v>
      </c>
      <c r="U484" s="7">
        <v>3433.17</v>
      </c>
      <c r="V484" s="7">
        <v>0</v>
      </c>
      <c r="W484" s="7">
        <v>3433.17</v>
      </c>
      <c r="X484" s="7">
        <v>0</v>
      </c>
      <c r="Y484" s="7">
        <v>1633.17</v>
      </c>
    </row>
    <row r="485" spans="1:25" ht="51" x14ac:dyDescent="0.2">
      <c r="A485" s="5" t="s">
        <v>695</v>
      </c>
      <c r="B485" s="5" t="s">
        <v>696</v>
      </c>
      <c r="C485" s="5" t="s">
        <v>225</v>
      </c>
      <c r="D485" s="5" t="s">
        <v>22</v>
      </c>
      <c r="E485" s="5" t="s">
        <v>88</v>
      </c>
      <c r="F485" s="5" t="s">
        <v>18</v>
      </c>
      <c r="G485" s="5" t="s">
        <v>139</v>
      </c>
      <c r="H485" s="5"/>
      <c r="I485" s="6">
        <v>0</v>
      </c>
      <c r="J485" s="6">
        <v>0</v>
      </c>
      <c r="K485" s="6">
        <v>0</v>
      </c>
      <c r="L485" s="6">
        <v>0</v>
      </c>
      <c r="M485" s="5"/>
      <c r="N485" s="6">
        <v>127</v>
      </c>
      <c r="O485" s="6">
        <v>96</v>
      </c>
      <c r="P485" s="6">
        <v>96</v>
      </c>
      <c r="Q485" s="6">
        <v>0</v>
      </c>
      <c r="R485" s="6">
        <v>-31</v>
      </c>
      <c r="S485" s="5"/>
      <c r="T485" s="7">
        <v>11430</v>
      </c>
      <c r="U485" s="7">
        <v>8522.64</v>
      </c>
      <c r="V485" s="7">
        <v>0</v>
      </c>
      <c r="W485" s="7">
        <v>8522.64</v>
      </c>
      <c r="X485" s="7">
        <v>0</v>
      </c>
      <c r="Y485" s="7">
        <v>-2907.36</v>
      </c>
    </row>
    <row r="486" spans="1:25" ht="51" x14ac:dyDescent="0.2">
      <c r="A486" s="5" t="s">
        <v>697</v>
      </c>
      <c r="B486" s="5" t="s">
        <v>696</v>
      </c>
      <c r="C486" s="5" t="s">
        <v>227</v>
      </c>
      <c r="D486" s="5" t="s">
        <v>22</v>
      </c>
      <c r="E486" s="5" t="s">
        <v>88</v>
      </c>
      <c r="F486" s="5" t="s">
        <v>18</v>
      </c>
      <c r="G486" s="5" t="s">
        <v>139</v>
      </c>
      <c r="H486" s="5"/>
      <c r="I486" s="6">
        <v>0</v>
      </c>
      <c r="J486" s="6">
        <v>0</v>
      </c>
      <c r="K486" s="6">
        <v>0</v>
      </c>
      <c r="L486" s="6">
        <v>0</v>
      </c>
      <c r="M486" s="5"/>
      <c r="N486" s="6">
        <v>4</v>
      </c>
      <c r="O486" s="6">
        <v>0</v>
      </c>
      <c r="P486" s="6">
        <v>0</v>
      </c>
      <c r="Q486" s="6">
        <v>0</v>
      </c>
      <c r="R486" s="6">
        <v>-4</v>
      </c>
      <c r="S486" s="5"/>
      <c r="T486" s="7">
        <v>360</v>
      </c>
      <c r="U486" s="7">
        <v>0</v>
      </c>
      <c r="V486" s="7">
        <v>0</v>
      </c>
      <c r="W486" s="7">
        <v>0</v>
      </c>
      <c r="X486" s="7">
        <v>0</v>
      </c>
      <c r="Y486" s="7">
        <v>-360</v>
      </c>
    </row>
    <row r="487" spans="1:25" ht="51" x14ac:dyDescent="0.2">
      <c r="A487" s="5" t="s">
        <v>698</v>
      </c>
      <c r="B487" s="5" t="s">
        <v>696</v>
      </c>
      <c r="C487" s="5" t="s">
        <v>245</v>
      </c>
      <c r="D487" s="5" t="s">
        <v>22</v>
      </c>
      <c r="E487" s="5" t="s">
        <v>88</v>
      </c>
      <c r="F487" s="5" t="s">
        <v>18</v>
      </c>
      <c r="G487" s="5" t="s">
        <v>139</v>
      </c>
      <c r="H487" s="5"/>
      <c r="I487" s="6">
        <v>0</v>
      </c>
      <c r="J487" s="6">
        <v>0</v>
      </c>
      <c r="K487" s="6">
        <v>0</v>
      </c>
      <c r="L487" s="6">
        <v>0</v>
      </c>
      <c r="M487" s="5"/>
      <c r="N487" s="6">
        <v>2</v>
      </c>
      <c r="O487" s="6">
        <v>0</v>
      </c>
      <c r="P487" s="6">
        <v>0</v>
      </c>
      <c r="Q487" s="6">
        <v>0</v>
      </c>
      <c r="R487" s="6">
        <v>-2</v>
      </c>
      <c r="S487" s="5"/>
      <c r="T487" s="7">
        <v>180</v>
      </c>
      <c r="U487" s="7">
        <v>0</v>
      </c>
      <c r="V487" s="7">
        <v>0</v>
      </c>
      <c r="W487" s="7">
        <v>0</v>
      </c>
      <c r="X487" s="7">
        <v>0</v>
      </c>
      <c r="Y487" s="7">
        <v>-180</v>
      </c>
    </row>
    <row r="488" spans="1:25" ht="51" x14ac:dyDescent="0.2">
      <c r="A488" s="5" t="s">
        <v>699</v>
      </c>
      <c r="B488" s="5" t="s">
        <v>696</v>
      </c>
      <c r="C488" s="5" t="s">
        <v>229</v>
      </c>
      <c r="D488" s="5" t="s">
        <v>22</v>
      </c>
      <c r="E488" s="5" t="s">
        <v>88</v>
      </c>
      <c r="F488" s="5" t="s">
        <v>18</v>
      </c>
      <c r="G488" s="5" t="s">
        <v>139</v>
      </c>
      <c r="H488" s="5"/>
      <c r="I488" s="6">
        <v>0</v>
      </c>
      <c r="J488" s="6">
        <v>0</v>
      </c>
      <c r="K488" s="6">
        <v>0</v>
      </c>
      <c r="L488" s="6">
        <v>0</v>
      </c>
      <c r="M488" s="5"/>
      <c r="N488" s="6">
        <v>6</v>
      </c>
      <c r="O488" s="6">
        <v>0</v>
      </c>
      <c r="P488" s="6">
        <v>0</v>
      </c>
      <c r="Q488" s="6">
        <v>0</v>
      </c>
      <c r="R488" s="6">
        <v>-6</v>
      </c>
      <c r="S488" s="5"/>
      <c r="T488" s="7">
        <v>540</v>
      </c>
      <c r="U488" s="7">
        <v>0</v>
      </c>
      <c r="V488" s="7">
        <v>0</v>
      </c>
      <c r="W488" s="7">
        <v>0</v>
      </c>
      <c r="X488" s="7">
        <v>0</v>
      </c>
      <c r="Y488" s="7">
        <v>-540</v>
      </c>
    </row>
    <row r="489" spans="1:25" ht="51" x14ac:dyDescent="0.2">
      <c r="A489" s="5" t="s">
        <v>700</v>
      </c>
      <c r="B489" s="5" t="s">
        <v>696</v>
      </c>
      <c r="C489" s="5" t="s">
        <v>231</v>
      </c>
      <c r="D489" s="5" t="s">
        <v>22</v>
      </c>
      <c r="E489" s="5" t="s">
        <v>88</v>
      </c>
      <c r="F489" s="5" t="s">
        <v>18</v>
      </c>
      <c r="G489" s="5" t="s">
        <v>139</v>
      </c>
      <c r="H489" s="5"/>
      <c r="I489" s="6">
        <v>0</v>
      </c>
      <c r="J489" s="6">
        <v>0</v>
      </c>
      <c r="K489" s="6">
        <v>0</v>
      </c>
      <c r="L489" s="6">
        <v>0</v>
      </c>
      <c r="M489" s="5"/>
      <c r="N489" s="6">
        <v>6</v>
      </c>
      <c r="O489" s="6">
        <v>0</v>
      </c>
      <c r="P489" s="6">
        <v>0</v>
      </c>
      <c r="Q489" s="6">
        <v>0</v>
      </c>
      <c r="R489" s="6">
        <v>-6</v>
      </c>
      <c r="S489" s="5"/>
      <c r="T489" s="7">
        <v>540</v>
      </c>
      <c r="U489" s="7">
        <v>0</v>
      </c>
      <c r="V489" s="7">
        <v>0</v>
      </c>
      <c r="W489" s="7">
        <v>0</v>
      </c>
      <c r="X489" s="7">
        <v>0</v>
      </c>
      <c r="Y489" s="7">
        <v>-540</v>
      </c>
    </row>
    <row r="490" spans="1:25" ht="51" x14ac:dyDescent="0.2">
      <c r="A490" s="5" t="s">
        <v>701</v>
      </c>
      <c r="B490" s="5" t="s">
        <v>696</v>
      </c>
      <c r="C490" s="5" t="s">
        <v>237</v>
      </c>
      <c r="D490" s="5" t="s">
        <v>22</v>
      </c>
      <c r="E490" s="5" t="s">
        <v>88</v>
      </c>
      <c r="F490" s="5" t="s">
        <v>18</v>
      </c>
      <c r="G490" s="5" t="s">
        <v>139</v>
      </c>
      <c r="H490" s="5"/>
      <c r="I490" s="6">
        <v>0</v>
      </c>
      <c r="J490" s="6">
        <v>0</v>
      </c>
      <c r="K490" s="6">
        <v>0</v>
      </c>
      <c r="L490" s="6">
        <v>0</v>
      </c>
      <c r="M490" s="5"/>
      <c r="N490" s="6">
        <v>48</v>
      </c>
      <c r="O490" s="6">
        <v>35</v>
      </c>
      <c r="P490" s="6">
        <v>35</v>
      </c>
      <c r="Q490" s="6">
        <v>0</v>
      </c>
      <c r="R490" s="6">
        <v>-13</v>
      </c>
      <c r="S490" s="5"/>
      <c r="T490" s="7">
        <v>4320</v>
      </c>
      <c r="U490" s="7">
        <v>3424.18</v>
      </c>
      <c r="V490" s="7">
        <v>0</v>
      </c>
      <c r="W490" s="7">
        <v>3424.18</v>
      </c>
      <c r="X490" s="7">
        <v>0</v>
      </c>
      <c r="Y490" s="7">
        <v>-895.82</v>
      </c>
    </row>
    <row r="491" spans="1:25" ht="51" x14ac:dyDescent="0.2">
      <c r="A491" s="5" t="s">
        <v>702</v>
      </c>
      <c r="B491" s="5" t="s">
        <v>696</v>
      </c>
      <c r="C491" s="5" t="s">
        <v>239</v>
      </c>
      <c r="D491" s="5" t="s">
        <v>22</v>
      </c>
      <c r="E491" s="5" t="s">
        <v>88</v>
      </c>
      <c r="F491" s="5" t="s">
        <v>18</v>
      </c>
      <c r="G491" s="5" t="s">
        <v>139</v>
      </c>
      <c r="H491" s="5"/>
      <c r="I491" s="6">
        <v>0</v>
      </c>
      <c r="J491" s="6">
        <v>0</v>
      </c>
      <c r="K491" s="6">
        <v>0</v>
      </c>
      <c r="L491" s="6">
        <v>0</v>
      </c>
      <c r="M491" s="5"/>
      <c r="N491" s="6">
        <v>9</v>
      </c>
      <c r="O491" s="6">
        <v>0</v>
      </c>
      <c r="P491" s="6">
        <v>0</v>
      </c>
      <c r="Q491" s="6">
        <v>0</v>
      </c>
      <c r="R491" s="6">
        <v>-9</v>
      </c>
      <c r="S491" s="5"/>
      <c r="T491" s="7">
        <v>810</v>
      </c>
      <c r="U491" s="7">
        <v>0</v>
      </c>
      <c r="V491" s="7">
        <v>0</v>
      </c>
      <c r="W491" s="7">
        <v>0</v>
      </c>
      <c r="X491" s="7">
        <v>0</v>
      </c>
      <c r="Y491" s="7">
        <v>-810</v>
      </c>
    </row>
    <row r="492" spans="1:25" ht="76.5" x14ac:dyDescent="0.2">
      <c r="A492" s="5" t="s">
        <v>703</v>
      </c>
      <c r="B492" s="5" t="s">
        <v>704</v>
      </c>
      <c r="C492" s="5" t="s">
        <v>225</v>
      </c>
      <c r="D492" s="5" t="s">
        <v>22</v>
      </c>
      <c r="E492" s="5" t="s">
        <v>88</v>
      </c>
      <c r="F492" s="5" t="s">
        <v>18</v>
      </c>
      <c r="G492" s="5" t="s">
        <v>139</v>
      </c>
      <c r="H492" s="5"/>
      <c r="I492" s="6">
        <v>0</v>
      </c>
      <c r="J492" s="6">
        <v>0</v>
      </c>
      <c r="K492" s="6">
        <v>0</v>
      </c>
      <c r="L492" s="6">
        <v>0</v>
      </c>
      <c r="M492" s="5"/>
      <c r="N492" s="6">
        <v>62</v>
      </c>
      <c r="O492" s="6">
        <v>42</v>
      </c>
      <c r="P492" s="6">
        <v>62</v>
      </c>
      <c r="Q492" s="6">
        <v>20</v>
      </c>
      <c r="R492" s="6">
        <v>0</v>
      </c>
      <c r="S492" s="5"/>
      <c r="T492" s="7">
        <v>5580</v>
      </c>
      <c r="U492" s="7">
        <v>4645.3100000000004</v>
      </c>
      <c r="V492" s="7">
        <v>0</v>
      </c>
      <c r="W492" s="7">
        <v>7130</v>
      </c>
      <c r="X492" s="7">
        <v>2484.69</v>
      </c>
      <c r="Y492" s="7">
        <v>1550</v>
      </c>
    </row>
    <row r="493" spans="1:25" ht="76.5" x14ac:dyDescent="0.2">
      <c r="A493" s="5" t="s">
        <v>705</v>
      </c>
      <c r="B493" s="5" t="s">
        <v>704</v>
      </c>
      <c r="C493" s="5" t="s">
        <v>227</v>
      </c>
      <c r="D493" s="5" t="s">
        <v>22</v>
      </c>
      <c r="E493" s="5" t="s">
        <v>88</v>
      </c>
      <c r="F493" s="5" t="s">
        <v>18</v>
      </c>
      <c r="G493" s="5" t="s">
        <v>139</v>
      </c>
      <c r="H493" s="5"/>
      <c r="I493" s="6">
        <v>0</v>
      </c>
      <c r="J493" s="6">
        <v>0</v>
      </c>
      <c r="K493" s="6">
        <v>0</v>
      </c>
      <c r="L493" s="6">
        <v>0</v>
      </c>
      <c r="M493" s="5"/>
      <c r="N493" s="6">
        <v>33</v>
      </c>
      <c r="O493" s="6">
        <v>0</v>
      </c>
      <c r="P493" s="6">
        <v>33</v>
      </c>
      <c r="Q493" s="6">
        <v>33</v>
      </c>
      <c r="R493" s="6">
        <v>0</v>
      </c>
      <c r="S493" s="5"/>
      <c r="T493" s="7">
        <v>2970</v>
      </c>
      <c r="U493" s="7">
        <v>0</v>
      </c>
      <c r="V493" s="7">
        <v>0</v>
      </c>
      <c r="W493" s="7">
        <v>3795</v>
      </c>
      <c r="X493" s="7">
        <v>3795</v>
      </c>
      <c r="Y493" s="7">
        <v>825</v>
      </c>
    </row>
    <row r="494" spans="1:25" ht="76.5" x14ac:dyDescent="0.2">
      <c r="A494" s="5" t="s">
        <v>706</v>
      </c>
      <c r="B494" s="5" t="s">
        <v>704</v>
      </c>
      <c r="C494" s="5" t="s">
        <v>245</v>
      </c>
      <c r="D494" s="5" t="s">
        <v>22</v>
      </c>
      <c r="E494" s="5" t="s">
        <v>88</v>
      </c>
      <c r="F494" s="5" t="s">
        <v>18</v>
      </c>
      <c r="G494" s="5" t="s">
        <v>139</v>
      </c>
      <c r="H494" s="5"/>
      <c r="I494" s="6">
        <v>0</v>
      </c>
      <c r="J494" s="6">
        <v>0</v>
      </c>
      <c r="K494" s="6">
        <v>0</v>
      </c>
      <c r="L494" s="6">
        <v>0</v>
      </c>
      <c r="M494" s="5"/>
      <c r="N494" s="6">
        <v>8</v>
      </c>
      <c r="O494" s="6">
        <v>24</v>
      </c>
      <c r="P494" s="6">
        <v>28</v>
      </c>
      <c r="Q494" s="6">
        <v>4</v>
      </c>
      <c r="R494" s="6">
        <v>20</v>
      </c>
      <c r="S494" s="5"/>
      <c r="T494" s="7">
        <v>720</v>
      </c>
      <c r="U494" s="7">
        <v>2814.63</v>
      </c>
      <c r="V494" s="7">
        <v>0</v>
      </c>
      <c r="W494" s="7">
        <v>3283.74</v>
      </c>
      <c r="X494" s="7">
        <v>469.11</v>
      </c>
      <c r="Y494" s="7">
        <v>2563.7399999999998</v>
      </c>
    </row>
    <row r="495" spans="1:25" ht="76.5" x14ac:dyDescent="0.2">
      <c r="A495" s="5" t="s">
        <v>707</v>
      </c>
      <c r="B495" s="5" t="s">
        <v>704</v>
      </c>
      <c r="C495" s="5" t="s">
        <v>229</v>
      </c>
      <c r="D495" s="5" t="s">
        <v>22</v>
      </c>
      <c r="E495" s="5" t="s">
        <v>88</v>
      </c>
      <c r="F495" s="5" t="s">
        <v>18</v>
      </c>
      <c r="G495" s="5" t="s">
        <v>139</v>
      </c>
      <c r="H495" s="5"/>
      <c r="I495" s="6">
        <v>0</v>
      </c>
      <c r="J495" s="6">
        <v>0</v>
      </c>
      <c r="K495" s="6">
        <v>0</v>
      </c>
      <c r="L495" s="6">
        <v>0</v>
      </c>
      <c r="M495" s="5"/>
      <c r="N495" s="6">
        <v>26</v>
      </c>
      <c r="O495" s="6">
        <v>3</v>
      </c>
      <c r="P495" s="6">
        <v>26</v>
      </c>
      <c r="Q495" s="6">
        <v>23</v>
      </c>
      <c r="R495" s="6">
        <v>0</v>
      </c>
      <c r="S495" s="5"/>
      <c r="T495" s="7">
        <v>2340</v>
      </c>
      <c r="U495" s="7">
        <v>343.18</v>
      </c>
      <c r="V495" s="7">
        <v>0</v>
      </c>
      <c r="W495" s="7">
        <v>2990</v>
      </c>
      <c r="X495" s="7">
        <v>2646.82</v>
      </c>
      <c r="Y495" s="7">
        <v>650</v>
      </c>
    </row>
    <row r="496" spans="1:25" ht="76.5" x14ac:dyDescent="0.2">
      <c r="A496" s="5" t="s">
        <v>708</v>
      </c>
      <c r="B496" s="5" t="s">
        <v>704</v>
      </c>
      <c r="C496" s="5" t="s">
        <v>231</v>
      </c>
      <c r="D496" s="5" t="s">
        <v>22</v>
      </c>
      <c r="E496" s="5" t="s">
        <v>88</v>
      </c>
      <c r="F496" s="5" t="s">
        <v>18</v>
      </c>
      <c r="G496" s="5" t="s">
        <v>139</v>
      </c>
      <c r="H496" s="5"/>
      <c r="I496" s="6">
        <v>0</v>
      </c>
      <c r="J496" s="6">
        <v>0</v>
      </c>
      <c r="K496" s="6">
        <v>0</v>
      </c>
      <c r="L496" s="6">
        <v>0</v>
      </c>
      <c r="M496" s="5"/>
      <c r="N496" s="6">
        <v>40</v>
      </c>
      <c r="O496" s="6">
        <v>16</v>
      </c>
      <c r="P496" s="6">
        <v>40</v>
      </c>
      <c r="Q496" s="6">
        <v>24</v>
      </c>
      <c r="R496" s="6">
        <v>0</v>
      </c>
      <c r="S496" s="5"/>
      <c r="T496" s="7">
        <v>3600</v>
      </c>
      <c r="U496" s="7">
        <v>1876.42</v>
      </c>
      <c r="V496" s="7">
        <v>0</v>
      </c>
      <c r="W496" s="7">
        <v>4600</v>
      </c>
      <c r="X496" s="7">
        <v>2723.58</v>
      </c>
      <c r="Y496" s="7">
        <v>1000</v>
      </c>
    </row>
    <row r="497" spans="1:25" ht="76.5" x14ac:dyDescent="0.2">
      <c r="A497" s="5" t="s">
        <v>709</v>
      </c>
      <c r="B497" s="5" t="s">
        <v>704</v>
      </c>
      <c r="C497" s="5" t="s">
        <v>233</v>
      </c>
      <c r="D497" s="5" t="s">
        <v>22</v>
      </c>
      <c r="E497" s="5" t="s">
        <v>88</v>
      </c>
      <c r="F497" s="5" t="s">
        <v>18</v>
      </c>
      <c r="G497" s="5" t="s">
        <v>139</v>
      </c>
      <c r="H497" s="5"/>
      <c r="I497" s="6">
        <v>0</v>
      </c>
      <c r="J497" s="6">
        <v>0</v>
      </c>
      <c r="K497" s="6">
        <v>0</v>
      </c>
      <c r="L497" s="6">
        <v>0</v>
      </c>
      <c r="M497" s="5"/>
      <c r="N497" s="6">
        <v>8</v>
      </c>
      <c r="O497" s="6">
        <v>0</v>
      </c>
      <c r="P497" s="6">
        <v>8</v>
      </c>
      <c r="Q497" s="6">
        <v>8</v>
      </c>
      <c r="R497" s="6">
        <v>0</v>
      </c>
      <c r="S497" s="5"/>
      <c r="T497" s="7">
        <v>720</v>
      </c>
      <c r="U497" s="7">
        <v>0</v>
      </c>
      <c r="V497" s="7">
        <v>0</v>
      </c>
      <c r="W497" s="7">
        <v>920</v>
      </c>
      <c r="X497" s="7">
        <v>920</v>
      </c>
      <c r="Y497" s="7">
        <v>200</v>
      </c>
    </row>
    <row r="498" spans="1:25" ht="76.5" x14ac:dyDescent="0.2">
      <c r="A498" s="5" t="s">
        <v>710</v>
      </c>
      <c r="B498" s="5" t="s">
        <v>704</v>
      </c>
      <c r="C498" s="5" t="s">
        <v>235</v>
      </c>
      <c r="D498" s="5" t="s">
        <v>22</v>
      </c>
      <c r="E498" s="5" t="s">
        <v>88</v>
      </c>
      <c r="F498" s="5" t="s">
        <v>18</v>
      </c>
      <c r="G498" s="5" t="s">
        <v>139</v>
      </c>
      <c r="H498" s="5"/>
      <c r="I498" s="6">
        <v>0</v>
      </c>
      <c r="J498" s="6">
        <v>0</v>
      </c>
      <c r="K498" s="6">
        <v>0</v>
      </c>
      <c r="L498" s="6">
        <v>0</v>
      </c>
      <c r="M498" s="5"/>
      <c r="N498" s="6">
        <v>8</v>
      </c>
      <c r="O498" s="6">
        <v>0</v>
      </c>
      <c r="P498" s="6">
        <v>8</v>
      </c>
      <c r="Q498" s="6">
        <v>8</v>
      </c>
      <c r="R498" s="6">
        <v>0</v>
      </c>
      <c r="S498" s="5"/>
      <c r="T498" s="7">
        <v>720</v>
      </c>
      <c r="U498" s="7">
        <v>0</v>
      </c>
      <c r="V498" s="7">
        <v>0</v>
      </c>
      <c r="W498" s="7">
        <v>920</v>
      </c>
      <c r="X498" s="7">
        <v>920</v>
      </c>
      <c r="Y498" s="7">
        <v>200</v>
      </c>
    </row>
    <row r="499" spans="1:25" ht="76.5" x14ac:dyDescent="0.2">
      <c r="A499" s="5" t="s">
        <v>711</v>
      </c>
      <c r="B499" s="5" t="s">
        <v>704</v>
      </c>
      <c r="C499" s="5" t="s">
        <v>237</v>
      </c>
      <c r="D499" s="5" t="s">
        <v>22</v>
      </c>
      <c r="E499" s="5" t="s">
        <v>88</v>
      </c>
      <c r="F499" s="5" t="s">
        <v>18</v>
      </c>
      <c r="G499" s="5" t="s">
        <v>139</v>
      </c>
      <c r="H499" s="5"/>
      <c r="I499" s="6">
        <v>0</v>
      </c>
      <c r="J499" s="6">
        <v>0</v>
      </c>
      <c r="K499" s="6">
        <v>0</v>
      </c>
      <c r="L499" s="6">
        <v>0</v>
      </c>
      <c r="M499" s="5"/>
      <c r="N499" s="6">
        <v>51</v>
      </c>
      <c r="O499" s="6">
        <v>0</v>
      </c>
      <c r="P499" s="6">
        <v>51</v>
      </c>
      <c r="Q499" s="6">
        <v>51</v>
      </c>
      <c r="R499" s="6">
        <v>0</v>
      </c>
      <c r="S499" s="5"/>
      <c r="T499" s="7">
        <v>4590</v>
      </c>
      <c r="U499" s="7">
        <v>0</v>
      </c>
      <c r="V499" s="7">
        <v>0</v>
      </c>
      <c r="W499" s="7">
        <v>5865</v>
      </c>
      <c r="X499" s="7">
        <v>5865</v>
      </c>
      <c r="Y499" s="7">
        <v>1275</v>
      </c>
    </row>
    <row r="500" spans="1:25" ht="76.5" x14ac:dyDescent="0.2">
      <c r="A500" s="5" t="s">
        <v>712</v>
      </c>
      <c r="B500" s="5" t="s">
        <v>704</v>
      </c>
      <c r="C500" s="5" t="s">
        <v>239</v>
      </c>
      <c r="D500" s="5" t="s">
        <v>22</v>
      </c>
      <c r="E500" s="5" t="s">
        <v>88</v>
      </c>
      <c r="F500" s="5" t="s">
        <v>18</v>
      </c>
      <c r="G500" s="5" t="s">
        <v>139</v>
      </c>
      <c r="H500" s="5"/>
      <c r="I500" s="6">
        <v>0</v>
      </c>
      <c r="J500" s="6">
        <v>0</v>
      </c>
      <c r="K500" s="6">
        <v>0</v>
      </c>
      <c r="L500" s="6">
        <v>0</v>
      </c>
      <c r="M500" s="5"/>
      <c r="N500" s="6">
        <v>32</v>
      </c>
      <c r="O500" s="6">
        <v>50</v>
      </c>
      <c r="P500" s="6">
        <v>58</v>
      </c>
      <c r="Q500" s="6">
        <v>8</v>
      </c>
      <c r="R500" s="6">
        <v>26</v>
      </c>
      <c r="S500" s="5"/>
      <c r="T500" s="7">
        <v>2880</v>
      </c>
      <c r="U500" s="7">
        <v>5700.23</v>
      </c>
      <c r="V500" s="7">
        <v>0</v>
      </c>
      <c r="W500" s="7">
        <v>6612.27</v>
      </c>
      <c r="X500" s="7">
        <v>912.04</v>
      </c>
      <c r="Y500" s="7">
        <v>3732.27</v>
      </c>
    </row>
    <row r="501" spans="1:25" ht="63.75" x14ac:dyDescent="0.2">
      <c r="A501" s="5" t="s">
        <v>713</v>
      </c>
      <c r="B501" s="5" t="s">
        <v>714</v>
      </c>
      <c r="C501" s="5" t="s">
        <v>225</v>
      </c>
      <c r="D501" s="5" t="s">
        <v>22</v>
      </c>
      <c r="E501" s="5" t="s">
        <v>88</v>
      </c>
      <c r="F501" s="5" t="s">
        <v>18</v>
      </c>
      <c r="G501" s="5" t="s">
        <v>139</v>
      </c>
      <c r="H501" s="5"/>
      <c r="I501" s="6">
        <v>0</v>
      </c>
      <c r="J501" s="6">
        <v>0</v>
      </c>
      <c r="K501" s="6">
        <v>0</v>
      </c>
      <c r="L501" s="6">
        <v>0</v>
      </c>
      <c r="M501" s="5"/>
      <c r="N501" s="6">
        <v>341</v>
      </c>
      <c r="O501" s="6">
        <v>736</v>
      </c>
      <c r="P501" s="6">
        <v>735</v>
      </c>
      <c r="Q501" s="6">
        <v>-1</v>
      </c>
      <c r="R501" s="6">
        <v>394</v>
      </c>
      <c r="S501" s="5"/>
      <c r="T501" s="7">
        <v>30690</v>
      </c>
      <c r="U501" s="7">
        <v>73342.490000000005</v>
      </c>
      <c r="V501" s="7">
        <v>0</v>
      </c>
      <c r="W501" s="7">
        <v>73225.210000000006</v>
      </c>
      <c r="X501" s="7">
        <v>-117.28</v>
      </c>
      <c r="Y501" s="7">
        <v>42535.21</v>
      </c>
    </row>
    <row r="502" spans="1:25" ht="63.75" x14ac:dyDescent="0.2">
      <c r="A502" s="5" t="s">
        <v>715</v>
      </c>
      <c r="B502" s="5" t="s">
        <v>714</v>
      </c>
      <c r="C502" s="5" t="s">
        <v>122</v>
      </c>
      <c r="D502" s="5" t="s">
        <v>22</v>
      </c>
      <c r="E502" s="5" t="s">
        <v>88</v>
      </c>
      <c r="F502" s="5" t="s">
        <v>18</v>
      </c>
      <c r="G502" s="5" t="s">
        <v>139</v>
      </c>
      <c r="H502" s="5"/>
      <c r="I502" s="6">
        <v>0</v>
      </c>
      <c r="J502" s="6">
        <v>0</v>
      </c>
      <c r="K502" s="6">
        <v>0</v>
      </c>
      <c r="L502" s="6">
        <v>0</v>
      </c>
      <c r="M502" s="5"/>
      <c r="N502" s="6">
        <v>8</v>
      </c>
      <c r="O502" s="6">
        <v>283</v>
      </c>
      <c r="P502" s="6">
        <v>291</v>
      </c>
      <c r="Q502" s="6">
        <v>8</v>
      </c>
      <c r="R502" s="6">
        <v>283</v>
      </c>
      <c r="S502" s="5"/>
      <c r="T502" s="7">
        <v>720</v>
      </c>
      <c r="U502" s="7">
        <v>21570.75</v>
      </c>
      <c r="V502" s="7">
        <v>0</v>
      </c>
      <c r="W502" s="7">
        <v>22514.75</v>
      </c>
      <c r="X502" s="7">
        <v>944</v>
      </c>
      <c r="Y502" s="7">
        <v>21794.75</v>
      </c>
    </row>
    <row r="503" spans="1:25" ht="63.75" x14ac:dyDescent="0.2">
      <c r="A503" s="5" t="s">
        <v>716</v>
      </c>
      <c r="B503" s="5" t="s">
        <v>714</v>
      </c>
      <c r="C503" s="5" t="s">
        <v>227</v>
      </c>
      <c r="D503" s="5" t="s">
        <v>22</v>
      </c>
      <c r="E503" s="5" t="s">
        <v>88</v>
      </c>
      <c r="F503" s="5" t="s">
        <v>18</v>
      </c>
      <c r="G503" s="5" t="s">
        <v>139</v>
      </c>
      <c r="H503" s="5"/>
      <c r="I503" s="6">
        <v>0</v>
      </c>
      <c r="J503" s="6">
        <v>0</v>
      </c>
      <c r="K503" s="6">
        <v>0</v>
      </c>
      <c r="L503" s="6">
        <v>0</v>
      </c>
      <c r="M503" s="5"/>
      <c r="N503" s="6">
        <v>182</v>
      </c>
      <c r="O503" s="6">
        <v>173</v>
      </c>
      <c r="P503" s="6">
        <v>197</v>
      </c>
      <c r="Q503" s="6">
        <v>24</v>
      </c>
      <c r="R503" s="6">
        <v>15</v>
      </c>
      <c r="S503" s="5"/>
      <c r="T503" s="7">
        <v>16380</v>
      </c>
      <c r="U503" s="7">
        <v>16662.93</v>
      </c>
      <c r="V503" s="7">
        <v>0</v>
      </c>
      <c r="W503" s="7">
        <v>19494.93</v>
      </c>
      <c r="X503" s="7">
        <v>2832</v>
      </c>
      <c r="Y503" s="7">
        <v>3114.93</v>
      </c>
    </row>
    <row r="504" spans="1:25" ht="63.75" x14ac:dyDescent="0.2">
      <c r="A504" s="5" t="s">
        <v>717</v>
      </c>
      <c r="B504" s="5" t="s">
        <v>714</v>
      </c>
      <c r="C504" s="5" t="s">
        <v>245</v>
      </c>
      <c r="D504" s="5" t="s">
        <v>22</v>
      </c>
      <c r="E504" s="5" t="s">
        <v>88</v>
      </c>
      <c r="F504" s="5" t="s">
        <v>18</v>
      </c>
      <c r="G504" s="5" t="s">
        <v>139</v>
      </c>
      <c r="H504" s="5"/>
      <c r="I504" s="6">
        <v>0</v>
      </c>
      <c r="J504" s="6">
        <v>0</v>
      </c>
      <c r="K504" s="6">
        <v>0</v>
      </c>
      <c r="L504" s="6">
        <v>0</v>
      </c>
      <c r="M504" s="5"/>
      <c r="N504" s="6">
        <v>42</v>
      </c>
      <c r="O504" s="6">
        <v>58</v>
      </c>
      <c r="P504" s="6">
        <v>58</v>
      </c>
      <c r="Q504" s="6">
        <v>0</v>
      </c>
      <c r="R504" s="6">
        <v>16</v>
      </c>
      <c r="S504" s="5"/>
      <c r="T504" s="7">
        <v>3780</v>
      </c>
      <c r="U504" s="7">
        <v>6193.98</v>
      </c>
      <c r="V504" s="7">
        <v>0</v>
      </c>
      <c r="W504" s="7">
        <v>6193.98</v>
      </c>
      <c r="X504" s="7">
        <v>0</v>
      </c>
      <c r="Y504" s="7">
        <v>2413.98</v>
      </c>
    </row>
    <row r="505" spans="1:25" ht="63.75" x14ac:dyDescent="0.2">
      <c r="A505" s="5" t="s">
        <v>718</v>
      </c>
      <c r="B505" s="5" t="s">
        <v>714</v>
      </c>
      <c r="C505" s="5" t="s">
        <v>229</v>
      </c>
      <c r="D505" s="5" t="s">
        <v>22</v>
      </c>
      <c r="E505" s="5" t="s">
        <v>88</v>
      </c>
      <c r="F505" s="5" t="s">
        <v>18</v>
      </c>
      <c r="G505" s="5" t="s">
        <v>139</v>
      </c>
      <c r="H505" s="5"/>
      <c r="I505" s="6">
        <v>0</v>
      </c>
      <c r="J505" s="6">
        <v>0</v>
      </c>
      <c r="K505" s="6">
        <v>0</v>
      </c>
      <c r="L505" s="6">
        <v>0</v>
      </c>
      <c r="M505" s="5"/>
      <c r="N505" s="6">
        <v>142</v>
      </c>
      <c r="O505" s="6">
        <v>274</v>
      </c>
      <c r="P505" s="6">
        <v>290</v>
      </c>
      <c r="Q505" s="6">
        <v>16</v>
      </c>
      <c r="R505" s="6">
        <v>148</v>
      </c>
      <c r="S505" s="5"/>
      <c r="T505" s="7">
        <v>12780</v>
      </c>
      <c r="U505" s="7">
        <v>25508.63</v>
      </c>
      <c r="V505" s="7">
        <v>0</v>
      </c>
      <c r="W505" s="7">
        <v>27396.63</v>
      </c>
      <c r="X505" s="7">
        <v>1888</v>
      </c>
      <c r="Y505" s="7">
        <v>14616.63</v>
      </c>
    </row>
    <row r="506" spans="1:25" ht="63.75" x14ac:dyDescent="0.2">
      <c r="A506" s="5" t="s">
        <v>719</v>
      </c>
      <c r="B506" s="5" t="s">
        <v>714</v>
      </c>
      <c r="C506" s="5" t="s">
        <v>231</v>
      </c>
      <c r="D506" s="5" t="s">
        <v>22</v>
      </c>
      <c r="E506" s="5" t="s">
        <v>88</v>
      </c>
      <c r="F506" s="5" t="s">
        <v>18</v>
      </c>
      <c r="G506" s="5" t="s">
        <v>139</v>
      </c>
      <c r="H506" s="5"/>
      <c r="I506" s="6">
        <v>0</v>
      </c>
      <c r="J506" s="6">
        <v>0</v>
      </c>
      <c r="K506" s="6">
        <v>0</v>
      </c>
      <c r="L506" s="6">
        <v>0</v>
      </c>
      <c r="M506" s="5"/>
      <c r="N506" s="6">
        <v>200</v>
      </c>
      <c r="O506" s="6">
        <v>210</v>
      </c>
      <c r="P506" s="6">
        <v>210</v>
      </c>
      <c r="Q506" s="6">
        <v>0</v>
      </c>
      <c r="R506" s="6">
        <v>10</v>
      </c>
      <c r="S506" s="5"/>
      <c r="T506" s="7">
        <v>18000</v>
      </c>
      <c r="U506" s="7">
        <v>20559.8</v>
      </c>
      <c r="V506" s="7">
        <v>0</v>
      </c>
      <c r="W506" s="7">
        <v>20559.8</v>
      </c>
      <c r="X506" s="7">
        <v>0</v>
      </c>
      <c r="Y506" s="7">
        <v>2559.8000000000002</v>
      </c>
    </row>
    <row r="507" spans="1:25" ht="63.75" x14ac:dyDescent="0.2">
      <c r="A507" s="5" t="s">
        <v>720</v>
      </c>
      <c r="B507" s="5" t="s">
        <v>714</v>
      </c>
      <c r="C507" s="5" t="s">
        <v>233</v>
      </c>
      <c r="D507" s="5" t="s">
        <v>22</v>
      </c>
      <c r="E507" s="5" t="s">
        <v>88</v>
      </c>
      <c r="F507" s="5" t="s">
        <v>18</v>
      </c>
      <c r="G507" s="5" t="s">
        <v>139</v>
      </c>
      <c r="H507" s="5"/>
      <c r="I507" s="6">
        <v>0</v>
      </c>
      <c r="J507" s="6">
        <v>0</v>
      </c>
      <c r="K507" s="6">
        <v>0</v>
      </c>
      <c r="L507" s="6">
        <v>0</v>
      </c>
      <c r="M507" s="5"/>
      <c r="N507" s="6">
        <v>40</v>
      </c>
      <c r="O507" s="6">
        <v>12</v>
      </c>
      <c r="P507" s="6">
        <v>26</v>
      </c>
      <c r="Q507" s="6">
        <v>14</v>
      </c>
      <c r="R507" s="6">
        <v>-14</v>
      </c>
      <c r="S507" s="5"/>
      <c r="T507" s="7">
        <v>3600</v>
      </c>
      <c r="U507" s="7">
        <v>1284.24</v>
      </c>
      <c r="V507" s="7">
        <v>0</v>
      </c>
      <c r="W507" s="7">
        <v>2936.24</v>
      </c>
      <c r="X507" s="7">
        <v>1652</v>
      </c>
      <c r="Y507" s="7">
        <v>-663.76</v>
      </c>
    </row>
    <row r="508" spans="1:25" ht="63.75" x14ac:dyDescent="0.2">
      <c r="A508" s="5" t="s">
        <v>721</v>
      </c>
      <c r="B508" s="5" t="s">
        <v>714</v>
      </c>
      <c r="C508" s="5" t="s">
        <v>235</v>
      </c>
      <c r="D508" s="5" t="s">
        <v>22</v>
      </c>
      <c r="E508" s="5" t="s">
        <v>88</v>
      </c>
      <c r="F508" s="5" t="s">
        <v>18</v>
      </c>
      <c r="G508" s="5" t="s">
        <v>139</v>
      </c>
      <c r="H508" s="5"/>
      <c r="I508" s="6">
        <v>0</v>
      </c>
      <c r="J508" s="6">
        <v>0</v>
      </c>
      <c r="K508" s="6">
        <v>0</v>
      </c>
      <c r="L508" s="6">
        <v>0</v>
      </c>
      <c r="M508" s="5"/>
      <c r="N508" s="6">
        <v>40</v>
      </c>
      <c r="O508" s="6">
        <v>95</v>
      </c>
      <c r="P508" s="6">
        <v>109</v>
      </c>
      <c r="Q508" s="6">
        <v>14</v>
      </c>
      <c r="R508" s="6">
        <v>69</v>
      </c>
      <c r="S508" s="5"/>
      <c r="T508" s="7">
        <v>3600</v>
      </c>
      <c r="U508" s="7">
        <v>8824.2800000000007</v>
      </c>
      <c r="V508" s="7">
        <v>0</v>
      </c>
      <c r="W508" s="7">
        <v>10476.280000000001</v>
      </c>
      <c r="X508" s="7">
        <v>1652</v>
      </c>
      <c r="Y508" s="7">
        <v>6876.28</v>
      </c>
    </row>
    <row r="509" spans="1:25" ht="63.75" x14ac:dyDescent="0.2">
      <c r="A509" s="5" t="s">
        <v>722</v>
      </c>
      <c r="B509" s="5" t="s">
        <v>714</v>
      </c>
      <c r="C509" s="5" t="s">
        <v>237</v>
      </c>
      <c r="D509" s="5" t="s">
        <v>22</v>
      </c>
      <c r="E509" s="5" t="s">
        <v>88</v>
      </c>
      <c r="F509" s="5" t="s">
        <v>18</v>
      </c>
      <c r="G509" s="5" t="s">
        <v>139</v>
      </c>
      <c r="H509" s="5"/>
      <c r="I509" s="6">
        <v>0</v>
      </c>
      <c r="J509" s="6">
        <v>0</v>
      </c>
      <c r="K509" s="6">
        <v>0</v>
      </c>
      <c r="L509" s="6">
        <v>0</v>
      </c>
      <c r="M509" s="5"/>
      <c r="N509" s="6">
        <v>283</v>
      </c>
      <c r="O509" s="6">
        <v>482</v>
      </c>
      <c r="P509" s="6">
        <v>821</v>
      </c>
      <c r="Q509" s="6">
        <v>339</v>
      </c>
      <c r="R509" s="6">
        <v>538</v>
      </c>
      <c r="S509" s="5"/>
      <c r="T509" s="7">
        <v>25470</v>
      </c>
      <c r="U509" s="7">
        <v>48695.16</v>
      </c>
      <c r="V509" s="7">
        <v>0</v>
      </c>
      <c r="W509" s="7">
        <v>88560.69</v>
      </c>
      <c r="X509" s="7">
        <v>39865.53</v>
      </c>
      <c r="Y509" s="7">
        <v>63090.69</v>
      </c>
    </row>
    <row r="510" spans="1:25" ht="63.75" x14ac:dyDescent="0.2">
      <c r="A510" s="5" t="s">
        <v>723</v>
      </c>
      <c r="B510" s="5" t="s">
        <v>714</v>
      </c>
      <c r="C510" s="5" t="s">
        <v>239</v>
      </c>
      <c r="D510" s="5" t="s">
        <v>22</v>
      </c>
      <c r="E510" s="5" t="s">
        <v>88</v>
      </c>
      <c r="F510" s="5" t="s">
        <v>18</v>
      </c>
      <c r="G510" s="5" t="s">
        <v>139</v>
      </c>
      <c r="H510" s="5"/>
      <c r="I510" s="6">
        <v>0</v>
      </c>
      <c r="J510" s="6">
        <v>0</v>
      </c>
      <c r="K510" s="6">
        <v>0</v>
      </c>
      <c r="L510" s="6">
        <v>0</v>
      </c>
      <c r="M510" s="5"/>
      <c r="N510" s="6">
        <v>180</v>
      </c>
      <c r="O510" s="6">
        <v>305</v>
      </c>
      <c r="P510" s="6">
        <v>305</v>
      </c>
      <c r="Q510" s="6">
        <v>0</v>
      </c>
      <c r="R510" s="6">
        <v>125</v>
      </c>
      <c r="S510" s="5"/>
      <c r="T510" s="7">
        <v>16200</v>
      </c>
      <c r="U510" s="7">
        <v>30187.03</v>
      </c>
      <c r="V510" s="7">
        <v>0</v>
      </c>
      <c r="W510" s="7">
        <v>30187.03</v>
      </c>
      <c r="X510" s="7">
        <v>0</v>
      </c>
      <c r="Y510" s="7">
        <v>13987.03</v>
      </c>
    </row>
    <row r="511" spans="1:25" ht="51" x14ac:dyDescent="0.2">
      <c r="A511" s="5" t="s">
        <v>724</v>
      </c>
      <c r="B511" s="5" t="s">
        <v>725</v>
      </c>
      <c r="C511" s="5" t="s">
        <v>16</v>
      </c>
      <c r="D511" s="5" t="s">
        <v>22</v>
      </c>
      <c r="E511" s="5" t="s">
        <v>88</v>
      </c>
      <c r="F511" s="5" t="s">
        <v>18</v>
      </c>
      <c r="G511" s="5" t="s">
        <v>139</v>
      </c>
      <c r="H511" s="5"/>
      <c r="I511" s="6">
        <v>0</v>
      </c>
      <c r="J511" s="6">
        <v>0</v>
      </c>
      <c r="K511" s="6">
        <v>0</v>
      </c>
      <c r="L511" s="6">
        <v>0</v>
      </c>
      <c r="M511" s="5"/>
      <c r="N511" s="6">
        <v>793</v>
      </c>
      <c r="O511" s="6">
        <v>1225.5</v>
      </c>
      <c r="P511" s="6">
        <v>1257.5</v>
      </c>
      <c r="Q511" s="6">
        <v>32</v>
      </c>
      <c r="R511" s="6">
        <v>464.5</v>
      </c>
      <c r="S511" s="5"/>
      <c r="T511" s="7">
        <v>71370</v>
      </c>
      <c r="U511" s="7">
        <v>90006.84</v>
      </c>
      <c r="V511" s="7">
        <v>0</v>
      </c>
      <c r="W511" s="7">
        <v>93526.84</v>
      </c>
      <c r="X511" s="7">
        <v>3520</v>
      </c>
      <c r="Y511" s="7">
        <v>22156.84</v>
      </c>
    </row>
    <row r="512" spans="1:25" ht="51" x14ac:dyDescent="0.2">
      <c r="A512" s="5" t="s">
        <v>726</v>
      </c>
      <c r="B512" s="5" t="s">
        <v>727</v>
      </c>
      <c r="C512" s="5" t="s">
        <v>16</v>
      </c>
      <c r="D512" s="5" t="s">
        <v>22</v>
      </c>
      <c r="E512" s="5" t="s">
        <v>88</v>
      </c>
      <c r="F512" s="5" t="s">
        <v>18</v>
      </c>
      <c r="G512" s="5" t="s">
        <v>139</v>
      </c>
      <c r="H512" s="5"/>
      <c r="I512" s="6">
        <v>0</v>
      </c>
      <c r="J512" s="6">
        <v>0</v>
      </c>
      <c r="K512" s="6">
        <v>0</v>
      </c>
      <c r="L512" s="6">
        <v>0</v>
      </c>
      <c r="M512" s="5"/>
      <c r="N512" s="6">
        <v>141</v>
      </c>
      <c r="O512" s="6">
        <v>279</v>
      </c>
      <c r="P512" s="6">
        <v>311</v>
      </c>
      <c r="Q512" s="6">
        <v>32</v>
      </c>
      <c r="R512" s="6">
        <v>170</v>
      </c>
      <c r="S512" s="5"/>
      <c r="T512" s="7">
        <v>12690</v>
      </c>
      <c r="U512" s="7">
        <v>22905.29</v>
      </c>
      <c r="V512" s="7">
        <v>0</v>
      </c>
      <c r="W512" s="7">
        <v>26265.29</v>
      </c>
      <c r="X512" s="7">
        <v>3360</v>
      </c>
      <c r="Y512" s="7">
        <v>13575.29</v>
      </c>
    </row>
    <row r="513" spans="1:25" ht="51" x14ac:dyDescent="0.2">
      <c r="A513" s="5" t="s">
        <v>728</v>
      </c>
      <c r="B513" s="5" t="s">
        <v>729</v>
      </c>
      <c r="C513" s="5" t="s">
        <v>16</v>
      </c>
      <c r="D513" s="5" t="s">
        <v>22</v>
      </c>
      <c r="E513" s="5" t="s">
        <v>88</v>
      </c>
      <c r="F513" s="5" t="s">
        <v>18</v>
      </c>
      <c r="G513" s="5" t="s">
        <v>139</v>
      </c>
      <c r="H513" s="5"/>
      <c r="I513" s="6">
        <v>0</v>
      </c>
      <c r="J513" s="6">
        <v>0</v>
      </c>
      <c r="K513" s="6">
        <v>0</v>
      </c>
      <c r="L513" s="6">
        <v>0</v>
      </c>
      <c r="M513" s="5"/>
      <c r="N513" s="6">
        <v>509</v>
      </c>
      <c r="O513" s="6">
        <v>845</v>
      </c>
      <c r="P513" s="6">
        <v>845</v>
      </c>
      <c r="Q513" s="6">
        <v>0</v>
      </c>
      <c r="R513" s="6">
        <v>336</v>
      </c>
      <c r="S513" s="5"/>
      <c r="T513" s="7">
        <v>45758</v>
      </c>
      <c r="U513" s="7">
        <v>69293.37</v>
      </c>
      <c r="V513" s="7">
        <v>0</v>
      </c>
      <c r="W513" s="7">
        <v>69293.37</v>
      </c>
      <c r="X513" s="7">
        <v>0</v>
      </c>
      <c r="Y513" s="7">
        <v>23535.37</v>
      </c>
    </row>
    <row r="514" spans="1:25" ht="76.5" x14ac:dyDescent="0.2">
      <c r="A514" s="5" t="s">
        <v>730</v>
      </c>
      <c r="B514" s="5" t="s">
        <v>731</v>
      </c>
      <c r="C514" s="5" t="s">
        <v>225</v>
      </c>
      <c r="D514" s="5" t="s">
        <v>523</v>
      </c>
      <c r="E514" s="5" t="s">
        <v>88</v>
      </c>
      <c r="F514" s="5" t="s">
        <v>18</v>
      </c>
      <c r="G514" s="5" t="s">
        <v>139</v>
      </c>
      <c r="H514" s="5"/>
      <c r="I514" s="6">
        <v>0</v>
      </c>
      <c r="J514" s="6">
        <v>0</v>
      </c>
      <c r="K514" s="6">
        <v>0</v>
      </c>
      <c r="L514" s="6">
        <v>0</v>
      </c>
      <c r="M514" s="5"/>
      <c r="N514" s="6">
        <v>240</v>
      </c>
      <c r="O514" s="6">
        <v>32</v>
      </c>
      <c r="P514" s="6">
        <v>32</v>
      </c>
      <c r="Q514" s="6">
        <v>0</v>
      </c>
      <c r="R514" s="6">
        <v>-208</v>
      </c>
      <c r="S514" s="5"/>
      <c r="T514" s="7">
        <v>21600</v>
      </c>
      <c r="U514" s="7">
        <v>2699.07</v>
      </c>
      <c r="V514" s="7">
        <v>0</v>
      </c>
      <c r="W514" s="7">
        <v>2699.07</v>
      </c>
      <c r="X514" s="7">
        <v>0</v>
      </c>
      <c r="Y514" s="7">
        <v>-18900.93</v>
      </c>
    </row>
    <row r="515" spans="1:25" ht="51" x14ac:dyDescent="0.2">
      <c r="A515" s="5" t="s">
        <v>732</v>
      </c>
      <c r="B515" s="5" t="s">
        <v>733</v>
      </c>
      <c r="C515" s="5" t="s">
        <v>227</v>
      </c>
      <c r="D515" s="5" t="s">
        <v>523</v>
      </c>
      <c r="E515" s="5" t="s">
        <v>88</v>
      </c>
      <c r="F515" s="5" t="s">
        <v>18</v>
      </c>
      <c r="G515" s="5" t="s">
        <v>139</v>
      </c>
      <c r="H515" s="5"/>
      <c r="I515" s="6">
        <v>0</v>
      </c>
      <c r="J515" s="6">
        <v>0</v>
      </c>
      <c r="K515" s="6">
        <v>0</v>
      </c>
      <c r="L515" s="6">
        <v>0</v>
      </c>
      <c r="M515" s="5"/>
      <c r="N515" s="6">
        <v>60</v>
      </c>
      <c r="O515" s="6">
        <v>97</v>
      </c>
      <c r="P515" s="6">
        <v>168</v>
      </c>
      <c r="Q515" s="6">
        <v>71</v>
      </c>
      <c r="R515" s="6">
        <v>108</v>
      </c>
      <c r="S515" s="5"/>
      <c r="T515" s="7">
        <v>5400</v>
      </c>
      <c r="U515" s="7">
        <v>10240.02</v>
      </c>
      <c r="V515" s="7">
        <v>0</v>
      </c>
      <c r="W515" s="7">
        <v>17273.32</v>
      </c>
      <c r="X515" s="7">
        <v>7033.3</v>
      </c>
      <c r="Y515" s="7">
        <v>11873.32</v>
      </c>
    </row>
    <row r="516" spans="1:25" ht="51" x14ac:dyDescent="0.2">
      <c r="A516" s="5" t="s">
        <v>734</v>
      </c>
      <c r="B516" s="5" t="s">
        <v>735</v>
      </c>
      <c r="C516" s="5" t="s">
        <v>229</v>
      </c>
      <c r="D516" s="5" t="s">
        <v>523</v>
      </c>
      <c r="E516" s="5" t="s">
        <v>88</v>
      </c>
      <c r="F516" s="5" t="s">
        <v>18</v>
      </c>
      <c r="G516" s="5" t="s">
        <v>139</v>
      </c>
      <c r="H516" s="5"/>
      <c r="I516" s="6">
        <v>0</v>
      </c>
      <c r="J516" s="6">
        <v>0</v>
      </c>
      <c r="K516" s="6">
        <v>0</v>
      </c>
      <c r="L516" s="6">
        <v>0</v>
      </c>
      <c r="M516" s="5"/>
      <c r="N516" s="6">
        <v>40</v>
      </c>
      <c r="O516" s="6">
        <v>55.5</v>
      </c>
      <c r="P516" s="6">
        <v>55.5</v>
      </c>
      <c r="Q516" s="6">
        <v>0</v>
      </c>
      <c r="R516" s="6">
        <v>15.5</v>
      </c>
      <c r="S516" s="5"/>
      <c r="T516" s="7">
        <v>3600</v>
      </c>
      <c r="U516" s="7">
        <v>5552.03</v>
      </c>
      <c r="V516" s="7">
        <v>0</v>
      </c>
      <c r="W516" s="7">
        <v>5552.03</v>
      </c>
      <c r="X516" s="7">
        <v>0</v>
      </c>
      <c r="Y516" s="7">
        <v>1952.03</v>
      </c>
    </row>
    <row r="517" spans="1:25" ht="76.5" x14ac:dyDescent="0.2">
      <c r="A517" s="5" t="s">
        <v>736</v>
      </c>
      <c r="B517" s="5" t="s">
        <v>731</v>
      </c>
      <c r="C517" s="5" t="s">
        <v>231</v>
      </c>
      <c r="D517" s="5" t="s">
        <v>523</v>
      </c>
      <c r="E517" s="5" t="s">
        <v>88</v>
      </c>
      <c r="F517" s="5" t="s">
        <v>18</v>
      </c>
      <c r="G517" s="5" t="s">
        <v>139</v>
      </c>
      <c r="H517" s="5"/>
      <c r="I517" s="6">
        <v>0</v>
      </c>
      <c r="J517" s="6">
        <v>0</v>
      </c>
      <c r="K517" s="6">
        <v>0</v>
      </c>
      <c r="L517" s="6">
        <v>0</v>
      </c>
      <c r="M517" s="5"/>
      <c r="N517" s="6">
        <v>40</v>
      </c>
      <c r="O517" s="6">
        <v>0</v>
      </c>
      <c r="P517" s="6">
        <v>0</v>
      </c>
      <c r="Q517" s="6">
        <v>0</v>
      </c>
      <c r="R517" s="6">
        <v>-40</v>
      </c>
      <c r="S517" s="5"/>
      <c r="T517" s="7">
        <v>3600</v>
      </c>
      <c r="U517" s="7">
        <v>0</v>
      </c>
      <c r="V517" s="7">
        <v>0</v>
      </c>
      <c r="W517" s="7">
        <v>0</v>
      </c>
      <c r="X517" s="7">
        <v>0</v>
      </c>
      <c r="Y517" s="7">
        <v>-3600</v>
      </c>
    </row>
    <row r="518" spans="1:25" ht="76.5" x14ac:dyDescent="0.2">
      <c r="A518" s="5" t="s">
        <v>737</v>
      </c>
      <c r="B518" s="5" t="s">
        <v>731</v>
      </c>
      <c r="C518" s="5" t="s">
        <v>233</v>
      </c>
      <c r="D518" s="5" t="s">
        <v>523</v>
      </c>
      <c r="E518" s="5" t="s">
        <v>88</v>
      </c>
      <c r="F518" s="5" t="s">
        <v>18</v>
      </c>
      <c r="G518" s="5" t="s">
        <v>139</v>
      </c>
      <c r="H518" s="5"/>
      <c r="I518" s="6">
        <v>0</v>
      </c>
      <c r="J518" s="6">
        <v>0</v>
      </c>
      <c r="K518" s="6">
        <v>0</v>
      </c>
      <c r="L518" s="6">
        <v>0</v>
      </c>
      <c r="M518" s="5"/>
      <c r="N518" s="6">
        <v>20</v>
      </c>
      <c r="O518" s="6">
        <v>0</v>
      </c>
      <c r="P518" s="6">
        <v>0</v>
      </c>
      <c r="Q518" s="6">
        <v>0</v>
      </c>
      <c r="R518" s="6">
        <v>-20</v>
      </c>
      <c r="S518" s="5"/>
      <c r="T518" s="7">
        <v>1800</v>
      </c>
      <c r="U518" s="7">
        <v>0</v>
      </c>
      <c r="V518" s="7">
        <v>0</v>
      </c>
      <c r="W518" s="7">
        <v>0</v>
      </c>
      <c r="X518" s="7">
        <v>0</v>
      </c>
      <c r="Y518" s="7">
        <v>-1800</v>
      </c>
    </row>
    <row r="519" spans="1:25" ht="76.5" x14ac:dyDescent="0.2">
      <c r="A519" s="5" t="s">
        <v>738</v>
      </c>
      <c r="B519" s="5" t="s">
        <v>731</v>
      </c>
      <c r="C519" s="5" t="s">
        <v>235</v>
      </c>
      <c r="D519" s="5" t="s">
        <v>523</v>
      </c>
      <c r="E519" s="5" t="s">
        <v>88</v>
      </c>
      <c r="F519" s="5" t="s">
        <v>18</v>
      </c>
      <c r="G519" s="5" t="s">
        <v>139</v>
      </c>
      <c r="H519" s="5"/>
      <c r="I519" s="6">
        <v>0</v>
      </c>
      <c r="J519" s="6">
        <v>0</v>
      </c>
      <c r="K519" s="6">
        <v>0</v>
      </c>
      <c r="L519" s="6">
        <v>0</v>
      </c>
      <c r="M519" s="5"/>
      <c r="N519" s="6">
        <v>20</v>
      </c>
      <c r="O519" s="6">
        <v>0</v>
      </c>
      <c r="P519" s="6">
        <v>0</v>
      </c>
      <c r="Q519" s="6">
        <v>0</v>
      </c>
      <c r="R519" s="6">
        <v>-20</v>
      </c>
      <c r="S519" s="5"/>
      <c r="T519" s="7">
        <v>1800</v>
      </c>
      <c r="U519" s="7">
        <v>0</v>
      </c>
      <c r="V519" s="7">
        <v>0</v>
      </c>
      <c r="W519" s="7">
        <v>0</v>
      </c>
      <c r="X519" s="7">
        <v>0</v>
      </c>
      <c r="Y519" s="7">
        <v>-1800</v>
      </c>
    </row>
    <row r="520" spans="1:25" ht="76.5" x14ac:dyDescent="0.2">
      <c r="A520" s="5" t="s">
        <v>739</v>
      </c>
      <c r="B520" s="5" t="s">
        <v>731</v>
      </c>
      <c r="C520" s="5" t="s">
        <v>237</v>
      </c>
      <c r="D520" s="5" t="s">
        <v>523</v>
      </c>
      <c r="E520" s="5" t="s">
        <v>88</v>
      </c>
      <c r="F520" s="5" t="s">
        <v>18</v>
      </c>
      <c r="G520" s="5" t="s">
        <v>139</v>
      </c>
      <c r="H520" s="5"/>
      <c r="I520" s="6">
        <v>0</v>
      </c>
      <c r="J520" s="6">
        <v>0</v>
      </c>
      <c r="K520" s="6">
        <v>0</v>
      </c>
      <c r="L520" s="6">
        <v>0</v>
      </c>
      <c r="M520" s="5"/>
      <c r="N520" s="6">
        <v>300</v>
      </c>
      <c r="O520" s="6">
        <v>163</v>
      </c>
      <c r="P520" s="6">
        <v>163</v>
      </c>
      <c r="Q520" s="6">
        <v>0</v>
      </c>
      <c r="R520" s="6">
        <v>-137</v>
      </c>
      <c r="S520" s="5"/>
      <c r="T520" s="7">
        <v>27000</v>
      </c>
      <c r="U520" s="7">
        <v>14990.3</v>
      </c>
      <c r="V520" s="7">
        <v>0</v>
      </c>
      <c r="W520" s="7">
        <v>14990.3</v>
      </c>
      <c r="X520" s="7">
        <v>0</v>
      </c>
      <c r="Y520" s="7">
        <v>-12009.7</v>
      </c>
    </row>
    <row r="521" spans="1:25" ht="51" x14ac:dyDescent="0.2">
      <c r="A521" s="5" t="s">
        <v>740</v>
      </c>
      <c r="B521" s="5" t="s">
        <v>741</v>
      </c>
      <c r="C521" s="5" t="s">
        <v>742</v>
      </c>
      <c r="D521" s="5" t="s">
        <v>743</v>
      </c>
      <c r="E521" s="5" t="s">
        <v>88</v>
      </c>
      <c r="F521" s="5" t="s">
        <v>18</v>
      </c>
      <c r="G521" s="5" t="s">
        <v>89</v>
      </c>
      <c r="H521" s="5"/>
      <c r="I521" s="6">
        <v>0</v>
      </c>
      <c r="J521" s="6">
        <v>0</v>
      </c>
      <c r="K521" s="6">
        <v>0</v>
      </c>
      <c r="L521" s="6">
        <v>0</v>
      </c>
      <c r="M521" s="5"/>
      <c r="N521" s="6">
        <v>238</v>
      </c>
      <c r="O521" s="6">
        <v>32</v>
      </c>
      <c r="P521" s="6">
        <v>32</v>
      </c>
      <c r="Q521" s="6">
        <v>0</v>
      </c>
      <c r="R521" s="6">
        <v>-206</v>
      </c>
      <c r="S521" s="5"/>
      <c r="T521" s="7">
        <v>21420</v>
      </c>
      <c r="U521" s="7">
        <v>1533.33</v>
      </c>
      <c r="V521" s="7">
        <v>0</v>
      </c>
      <c r="W521" s="7">
        <v>1533.33</v>
      </c>
      <c r="X521" s="7">
        <v>0</v>
      </c>
      <c r="Y521" s="7">
        <v>-19886.669999999998</v>
      </c>
    </row>
    <row r="522" spans="1:25" ht="51" x14ac:dyDescent="0.2">
      <c r="A522" s="5" t="s">
        <v>744</v>
      </c>
      <c r="B522" s="5" t="s">
        <v>745</v>
      </c>
      <c r="C522" s="5" t="s">
        <v>742</v>
      </c>
      <c r="D522" s="5" t="s">
        <v>743</v>
      </c>
      <c r="E522" s="5" t="s">
        <v>88</v>
      </c>
      <c r="F522" s="5" t="s">
        <v>18</v>
      </c>
      <c r="G522" s="5" t="s">
        <v>89</v>
      </c>
      <c r="H522" s="5"/>
      <c r="I522" s="6">
        <v>0</v>
      </c>
      <c r="J522" s="6">
        <v>0</v>
      </c>
      <c r="K522" s="6">
        <v>0</v>
      </c>
      <c r="L522" s="6">
        <v>0</v>
      </c>
      <c r="M522" s="5"/>
      <c r="N522" s="6">
        <v>2368</v>
      </c>
      <c r="O522" s="6">
        <v>1430</v>
      </c>
      <c r="P522" s="6">
        <v>1430</v>
      </c>
      <c r="Q522" s="6">
        <v>0</v>
      </c>
      <c r="R522" s="6">
        <v>-938</v>
      </c>
      <c r="S522" s="5"/>
      <c r="T522" s="7">
        <v>213120</v>
      </c>
      <c r="U522" s="7">
        <v>93873</v>
      </c>
      <c r="V522" s="7">
        <v>0</v>
      </c>
      <c r="W522" s="7">
        <v>93873</v>
      </c>
      <c r="X522" s="7">
        <v>0</v>
      </c>
      <c r="Y522" s="7">
        <v>-119247</v>
      </c>
    </row>
    <row r="523" spans="1:25" ht="51" x14ac:dyDescent="0.2">
      <c r="A523" s="5" t="s">
        <v>746</v>
      </c>
      <c r="B523" s="5" t="s">
        <v>747</v>
      </c>
      <c r="C523" s="5" t="s">
        <v>742</v>
      </c>
      <c r="D523" s="5" t="s">
        <v>743</v>
      </c>
      <c r="E523" s="5" t="s">
        <v>88</v>
      </c>
      <c r="F523" s="5" t="s">
        <v>18</v>
      </c>
      <c r="G523" s="5" t="s">
        <v>89</v>
      </c>
      <c r="H523" s="5"/>
      <c r="I523" s="6">
        <v>0</v>
      </c>
      <c r="J523" s="6">
        <v>0</v>
      </c>
      <c r="K523" s="6">
        <v>0</v>
      </c>
      <c r="L523" s="6">
        <v>0</v>
      </c>
      <c r="M523" s="5"/>
      <c r="N523" s="6">
        <v>906</v>
      </c>
      <c r="O523" s="6">
        <v>908</v>
      </c>
      <c r="P523" s="6">
        <v>908</v>
      </c>
      <c r="Q523" s="6">
        <v>0</v>
      </c>
      <c r="R523" s="6">
        <v>2</v>
      </c>
      <c r="S523" s="5"/>
      <c r="T523" s="7">
        <v>81540</v>
      </c>
      <c r="U523" s="7">
        <v>63593.919999999998</v>
      </c>
      <c r="V523" s="7">
        <v>0</v>
      </c>
      <c r="W523" s="7">
        <v>63593.919999999998</v>
      </c>
      <c r="X523" s="7">
        <v>0</v>
      </c>
      <c r="Y523" s="7">
        <v>-17946.080000000002</v>
      </c>
    </row>
    <row r="524" spans="1:25" ht="51" x14ac:dyDescent="0.2">
      <c r="A524" s="5" t="s">
        <v>748</v>
      </c>
      <c r="B524" s="5" t="s">
        <v>749</v>
      </c>
      <c r="C524" s="5" t="s">
        <v>742</v>
      </c>
      <c r="D524" s="5" t="s">
        <v>743</v>
      </c>
      <c r="E524" s="5" t="s">
        <v>88</v>
      </c>
      <c r="F524" s="5" t="s">
        <v>18</v>
      </c>
      <c r="G524" s="5" t="s">
        <v>89</v>
      </c>
      <c r="H524" s="5"/>
      <c r="I524" s="6">
        <v>0</v>
      </c>
      <c r="J524" s="6">
        <v>0</v>
      </c>
      <c r="K524" s="6">
        <v>0</v>
      </c>
      <c r="L524" s="6">
        <v>0</v>
      </c>
      <c r="M524" s="5"/>
      <c r="N524" s="6">
        <v>82</v>
      </c>
      <c r="O524" s="6">
        <v>198</v>
      </c>
      <c r="P524" s="6">
        <v>198</v>
      </c>
      <c r="Q524" s="6">
        <v>0</v>
      </c>
      <c r="R524" s="6">
        <v>116</v>
      </c>
      <c r="S524" s="5"/>
      <c r="T524" s="7">
        <v>7380</v>
      </c>
      <c r="U524" s="7">
        <v>15362.27</v>
      </c>
      <c r="V524" s="7">
        <v>0</v>
      </c>
      <c r="W524" s="7">
        <v>15362.27</v>
      </c>
      <c r="X524" s="7">
        <v>0</v>
      </c>
      <c r="Y524" s="7">
        <v>7982.27</v>
      </c>
    </row>
    <row r="525" spans="1:25" ht="51" x14ac:dyDescent="0.2">
      <c r="A525" s="5" t="s">
        <v>750</v>
      </c>
      <c r="B525" s="5" t="s">
        <v>751</v>
      </c>
      <c r="C525" s="5" t="s">
        <v>742</v>
      </c>
      <c r="D525" s="5" t="s">
        <v>743</v>
      </c>
      <c r="E525" s="5" t="s">
        <v>88</v>
      </c>
      <c r="F525" s="5" t="s">
        <v>18</v>
      </c>
      <c r="G525" s="5" t="s">
        <v>20</v>
      </c>
      <c r="H525" s="5"/>
      <c r="I525" s="6">
        <v>0</v>
      </c>
      <c r="J525" s="6">
        <v>0</v>
      </c>
      <c r="K525" s="6">
        <v>0</v>
      </c>
      <c r="L525" s="6">
        <v>0</v>
      </c>
      <c r="M525" s="5"/>
      <c r="N525" s="6">
        <v>1175</v>
      </c>
      <c r="O525" s="6">
        <v>732</v>
      </c>
      <c r="P525" s="6">
        <v>732</v>
      </c>
      <c r="Q525" s="6">
        <v>0</v>
      </c>
      <c r="R525" s="6">
        <v>-443</v>
      </c>
      <c r="S525" s="5"/>
      <c r="T525" s="7">
        <v>105750</v>
      </c>
      <c r="U525" s="7">
        <v>53312.24</v>
      </c>
      <c r="V525" s="7">
        <v>0</v>
      </c>
      <c r="W525" s="7">
        <v>53312.24</v>
      </c>
      <c r="X525" s="7">
        <v>0</v>
      </c>
      <c r="Y525" s="7">
        <v>-52437.760000000002</v>
      </c>
    </row>
    <row r="526" spans="1:25" ht="63.75" x14ac:dyDescent="0.2">
      <c r="A526" s="5" t="s">
        <v>752</v>
      </c>
      <c r="B526" s="5" t="s">
        <v>753</v>
      </c>
      <c r="C526" s="5" t="s">
        <v>742</v>
      </c>
      <c r="D526" s="5" t="s">
        <v>743</v>
      </c>
      <c r="E526" s="5" t="s">
        <v>88</v>
      </c>
      <c r="F526" s="5" t="s">
        <v>18</v>
      </c>
      <c r="G526" s="5" t="s">
        <v>164</v>
      </c>
      <c r="H526" s="5"/>
      <c r="I526" s="6">
        <v>0</v>
      </c>
      <c r="J526" s="6">
        <v>0</v>
      </c>
      <c r="K526" s="6">
        <v>0</v>
      </c>
      <c r="L526" s="6">
        <v>0</v>
      </c>
      <c r="M526" s="5"/>
      <c r="N526" s="6">
        <v>2596</v>
      </c>
      <c r="O526" s="6">
        <v>1142</v>
      </c>
      <c r="P526" s="6">
        <v>1142</v>
      </c>
      <c r="Q526" s="6">
        <v>0</v>
      </c>
      <c r="R526" s="6">
        <v>-1454</v>
      </c>
      <c r="S526" s="5"/>
      <c r="T526" s="7">
        <v>233640</v>
      </c>
      <c r="U526" s="7">
        <v>98388.1</v>
      </c>
      <c r="V526" s="7">
        <v>0</v>
      </c>
      <c r="W526" s="7">
        <v>98388.1</v>
      </c>
      <c r="X526" s="7">
        <v>0</v>
      </c>
      <c r="Y526" s="7">
        <v>-135251.9</v>
      </c>
    </row>
    <row r="527" spans="1:25" ht="51" x14ac:dyDescent="0.2">
      <c r="A527" s="5" t="s">
        <v>754</v>
      </c>
      <c r="B527" s="5" t="s">
        <v>755</v>
      </c>
      <c r="C527" s="5" t="s">
        <v>756</v>
      </c>
      <c r="D527" s="5" t="s">
        <v>33</v>
      </c>
      <c r="E527" s="5" t="s">
        <v>88</v>
      </c>
      <c r="F527" s="5" t="s">
        <v>18</v>
      </c>
      <c r="G527" s="5" t="s">
        <v>756</v>
      </c>
      <c r="H527" s="5"/>
      <c r="I527" s="6">
        <v>0</v>
      </c>
      <c r="J527" s="6">
        <v>0</v>
      </c>
      <c r="K527" s="6">
        <v>0</v>
      </c>
      <c r="L527" s="6">
        <v>0</v>
      </c>
      <c r="M527" s="5"/>
      <c r="N527" s="6">
        <v>290</v>
      </c>
      <c r="O527" s="6">
        <v>513</v>
      </c>
      <c r="P527" s="6">
        <v>513</v>
      </c>
      <c r="Q527" s="6">
        <v>0</v>
      </c>
      <c r="R527" s="6">
        <v>223</v>
      </c>
      <c r="S527" s="5"/>
      <c r="T527" s="7">
        <v>26100</v>
      </c>
      <c r="U527" s="7">
        <v>42945.83</v>
      </c>
      <c r="V527" s="7">
        <v>0</v>
      </c>
      <c r="W527" s="7">
        <v>42945.83</v>
      </c>
      <c r="X527" s="7">
        <v>0</v>
      </c>
      <c r="Y527" s="7">
        <v>16845.830000000002</v>
      </c>
    </row>
    <row r="528" spans="1:25" ht="51" x14ac:dyDescent="0.2">
      <c r="A528" s="5" t="s">
        <v>757</v>
      </c>
      <c r="B528" s="5" t="s">
        <v>758</v>
      </c>
      <c r="C528" s="5" t="s">
        <v>756</v>
      </c>
      <c r="D528" s="5" t="s">
        <v>33</v>
      </c>
      <c r="E528" s="5" t="s">
        <v>88</v>
      </c>
      <c r="F528" s="5" t="s">
        <v>18</v>
      </c>
      <c r="G528" s="5" t="s">
        <v>756</v>
      </c>
      <c r="H528" s="5"/>
      <c r="I528" s="6">
        <v>0</v>
      </c>
      <c r="J528" s="6">
        <v>0</v>
      </c>
      <c r="K528" s="6">
        <v>0</v>
      </c>
      <c r="L528" s="6">
        <v>0</v>
      </c>
      <c r="M528" s="5"/>
      <c r="N528" s="6">
        <v>2365</v>
      </c>
      <c r="O528" s="6">
        <v>1841</v>
      </c>
      <c r="P528" s="6">
        <v>1841</v>
      </c>
      <c r="Q528" s="6">
        <v>0</v>
      </c>
      <c r="R528" s="6">
        <v>-524</v>
      </c>
      <c r="S528" s="5"/>
      <c r="T528" s="7">
        <v>212850</v>
      </c>
      <c r="U528" s="7">
        <v>154370.06</v>
      </c>
      <c r="V528" s="7">
        <v>0</v>
      </c>
      <c r="W528" s="7">
        <v>154370.06</v>
      </c>
      <c r="X528" s="7">
        <v>0</v>
      </c>
      <c r="Y528" s="7">
        <v>-58479.94</v>
      </c>
    </row>
    <row r="529" spans="1:25" ht="51" x14ac:dyDescent="0.2">
      <c r="A529" s="5" t="s">
        <v>757</v>
      </c>
      <c r="B529" s="5" t="s">
        <v>758</v>
      </c>
      <c r="C529" s="5" t="s">
        <v>756</v>
      </c>
      <c r="D529" s="5" t="s">
        <v>33</v>
      </c>
      <c r="E529" s="5" t="s">
        <v>88</v>
      </c>
      <c r="F529" s="5" t="s">
        <v>32</v>
      </c>
      <c r="G529" s="5" t="s">
        <v>756</v>
      </c>
      <c r="H529" s="5"/>
      <c r="I529" s="6">
        <v>0</v>
      </c>
      <c r="J529" s="6">
        <v>0</v>
      </c>
      <c r="K529" s="6">
        <v>0</v>
      </c>
      <c r="L529" s="6">
        <v>0</v>
      </c>
      <c r="M529" s="5"/>
      <c r="N529" s="6">
        <v>0</v>
      </c>
      <c r="O529" s="6">
        <v>0</v>
      </c>
      <c r="P529" s="6">
        <v>0</v>
      </c>
      <c r="Q529" s="6">
        <v>0</v>
      </c>
      <c r="R529" s="6">
        <v>0</v>
      </c>
      <c r="S529" s="5"/>
      <c r="T529" s="7">
        <v>515350.88</v>
      </c>
      <c r="U529" s="7">
        <v>640845.18000000005</v>
      </c>
      <c r="V529" s="7">
        <v>77415.240000000005</v>
      </c>
      <c r="W529" s="7">
        <v>664830.06999999995</v>
      </c>
      <c r="X529" s="7">
        <v>23984.89</v>
      </c>
      <c r="Y529" s="7">
        <v>149479.19</v>
      </c>
    </row>
    <row r="530" spans="1:25" ht="51" x14ac:dyDescent="0.2">
      <c r="A530" s="5" t="s">
        <v>757</v>
      </c>
      <c r="B530" s="5" t="s">
        <v>758</v>
      </c>
      <c r="C530" s="5" t="s">
        <v>756</v>
      </c>
      <c r="D530" s="5" t="s">
        <v>33</v>
      </c>
      <c r="E530" s="5" t="s">
        <v>88</v>
      </c>
      <c r="F530" s="5" t="s">
        <v>38</v>
      </c>
      <c r="G530" s="5" t="s">
        <v>756</v>
      </c>
      <c r="H530" s="5"/>
      <c r="I530" s="6">
        <v>0</v>
      </c>
      <c r="J530" s="6">
        <v>0</v>
      </c>
      <c r="K530" s="6">
        <v>0</v>
      </c>
      <c r="L530" s="6">
        <v>0</v>
      </c>
      <c r="M530" s="5"/>
      <c r="N530" s="6">
        <v>0</v>
      </c>
      <c r="O530" s="6">
        <v>0</v>
      </c>
      <c r="P530" s="6">
        <v>0</v>
      </c>
      <c r="Q530" s="6">
        <v>0</v>
      </c>
      <c r="R530" s="6">
        <v>0</v>
      </c>
      <c r="S530" s="5"/>
      <c r="T530" s="7">
        <v>0</v>
      </c>
      <c r="U530" s="7">
        <v>15835.26</v>
      </c>
      <c r="V530" s="7">
        <v>0</v>
      </c>
      <c r="W530" s="7">
        <v>15835.26</v>
      </c>
      <c r="X530" s="7">
        <v>0</v>
      </c>
      <c r="Y530" s="7">
        <v>15835.26</v>
      </c>
    </row>
    <row r="531" spans="1:25" ht="51" x14ac:dyDescent="0.2">
      <c r="A531" s="5" t="s">
        <v>757</v>
      </c>
      <c r="B531" s="5" t="s">
        <v>758</v>
      </c>
      <c r="C531" s="5" t="s">
        <v>756</v>
      </c>
      <c r="D531" s="5" t="s">
        <v>33</v>
      </c>
      <c r="E531" s="5" t="s">
        <v>88</v>
      </c>
      <c r="F531" s="5" t="s">
        <v>21</v>
      </c>
      <c r="G531" s="5" t="s">
        <v>756</v>
      </c>
      <c r="H531" s="5"/>
      <c r="I531" s="6">
        <v>0</v>
      </c>
      <c r="J531" s="6">
        <v>60.5</v>
      </c>
      <c r="K531" s="6">
        <v>0</v>
      </c>
      <c r="L531" s="6">
        <v>-60.5</v>
      </c>
      <c r="M531" s="5"/>
      <c r="N531" s="6">
        <v>0</v>
      </c>
      <c r="O531" s="6">
        <v>0</v>
      </c>
      <c r="P531" s="6">
        <v>0</v>
      </c>
      <c r="Q531" s="6">
        <v>0</v>
      </c>
      <c r="R531" s="6">
        <v>0</v>
      </c>
      <c r="S531" s="5"/>
      <c r="T531" s="7">
        <v>0</v>
      </c>
      <c r="U531" s="7">
        <v>46595.83</v>
      </c>
      <c r="V531" s="7">
        <v>0</v>
      </c>
      <c r="W531" s="7">
        <v>46595.8</v>
      </c>
      <c r="X531" s="7">
        <v>-0.03</v>
      </c>
      <c r="Y531" s="7">
        <v>46595.8</v>
      </c>
    </row>
    <row r="532" spans="1:25" ht="51" x14ac:dyDescent="0.2">
      <c r="A532" s="5" t="s">
        <v>52</v>
      </c>
      <c r="B532" s="5" t="s">
        <v>759</v>
      </c>
      <c r="C532" s="5" t="s">
        <v>16</v>
      </c>
      <c r="D532" s="5" t="s">
        <v>53</v>
      </c>
      <c r="E532" s="5" t="s">
        <v>123</v>
      </c>
      <c r="F532" s="5" t="s">
        <v>18</v>
      </c>
      <c r="G532" s="5" t="s">
        <v>20</v>
      </c>
      <c r="H532" s="5"/>
      <c r="I532" s="6">
        <v>0</v>
      </c>
      <c r="J532" s="6">
        <v>0</v>
      </c>
      <c r="K532" s="6">
        <v>0</v>
      </c>
      <c r="L532" s="6">
        <v>0</v>
      </c>
      <c r="M532" s="5"/>
      <c r="N532" s="6">
        <v>1529</v>
      </c>
      <c r="O532" s="6">
        <v>1517</v>
      </c>
      <c r="P532" s="6">
        <v>1517</v>
      </c>
      <c r="Q532" s="6">
        <v>0</v>
      </c>
      <c r="R532" s="6">
        <v>-12</v>
      </c>
      <c r="S532" s="5"/>
      <c r="T532" s="7">
        <v>120791</v>
      </c>
      <c r="U532" s="7">
        <v>119239.2</v>
      </c>
      <c r="V532" s="7">
        <v>0</v>
      </c>
      <c r="W532" s="7">
        <v>119239.2</v>
      </c>
      <c r="X532" s="7">
        <v>0</v>
      </c>
      <c r="Y532" s="7">
        <v>-1551.8</v>
      </c>
    </row>
    <row r="533" spans="1:25" ht="51" x14ac:dyDescent="0.2">
      <c r="A533" s="5" t="s">
        <v>52</v>
      </c>
      <c r="B533" s="5" t="s">
        <v>759</v>
      </c>
      <c r="C533" s="5" t="s">
        <v>16</v>
      </c>
      <c r="D533" s="5" t="s">
        <v>53</v>
      </c>
      <c r="E533" s="5" t="s">
        <v>123</v>
      </c>
      <c r="F533" s="5" t="s">
        <v>25</v>
      </c>
      <c r="G533" s="5" t="s">
        <v>20</v>
      </c>
      <c r="H533" s="5"/>
      <c r="I533" s="6">
        <v>0</v>
      </c>
      <c r="J533" s="6">
        <v>2631</v>
      </c>
      <c r="K533" s="6">
        <v>2519</v>
      </c>
      <c r="L533" s="6">
        <v>-112</v>
      </c>
      <c r="M533" s="5"/>
      <c r="N533" s="6">
        <v>0</v>
      </c>
      <c r="O533" s="6">
        <v>0</v>
      </c>
      <c r="P533" s="6">
        <v>0</v>
      </c>
      <c r="Q533" s="6">
        <v>0</v>
      </c>
      <c r="R533" s="6">
        <v>0</v>
      </c>
      <c r="S533" s="5"/>
      <c r="T533" s="7">
        <v>85000</v>
      </c>
      <c r="U533" s="7">
        <v>83107.31</v>
      </c>
      <c r="V533" s="7">
        <v>0</v>
      </c>
      <c r="W533" s="7">
        <v>83107.31</v>
      </c>
      <c r="X533" s="7">
        <v>0</v>
      </c>
      <c r="Y533" s="7">
        <v>-1892.69</v>
      </c>
    </row>
    <row r="534" spans="1:25" ht="51" x14ac:dyDescent="0.2">
      <c r="A534" s="5" t="s">
        <v>52</v>
      </c>
      <c r="B534" s="5" t="s">
        <v>759</v>
      </c>
      <c r="C534" s="5" t="s">
        <v>16</v>
      </c>
      <c r="D534" s="5" t="s">
        <v>53</v>
      </c>
      <c r="E534" s="5" t="s">
        <v>123</v>
      </c>
      <c r="F534" s="5" t="s">
        <v>38</v>
      </c>
      <c r="G534" s="5" t="s">
        <v>20</v>
      </c>
      <c r="H534" s="5"/>
      <c r="I534" s="6">
        <v>0</v>
      </c>
      <c r="J534" s="6">
        <v>0</v>
      </c>
      <c r="K534" s="6">
        <v>0</v>
      </c>
      <c r="L534" s="6">
        <v>0</v>
      </c>
      <c r="M534" s="5"/>
      <c r="N534" s="6">
        <v>0</v>
      </c>
      <c r="O534" s="6">
        <v>0</v>
      </c>
      <c r="P534" s="6">
        <v>0</v>
      </c>
      <c r="Q534" s="6">
        <v>0</v>
      </c>
      <c r="R534" s="6">
        <v>0</v>
      </c>
      <c r="S534" s="5"/>
      <c r="T534" s="7">
        <v>14000</v>
      </c>
      <c r="U534" s="7">
        <v>10289.15</v>
      </c>
      <c r="V534" s="7">
        <v>0</v>
      </c>
      <c r="W534" s="7">
        <v>10289.15</v>
      </c>
      <c r="X534" s="7">
        <v>0</v>
      </c>
      <c r="Y534" s="7">
        <v>-3710.85</v>
      </c>
    </row>
    <row r="535" spans="1:25" ht="51" x14ac:dyDescent="0.2">
      <c r="A535" s="5" t="s">
        <v>52</v>
      </c>
      <c r="B535" s="5" t="s">
        <v>759</v>
      </c>
      <c r="C535" s="5" t="s">
        <v>16</v>
      </c>
      <c r="D535" s="5" t="s">
        <v>53</v>
      </c>
      <c r="E535" s="5" t="s">
        <v>123</v>
      </c>
      <c r="F535" s="5" t="s">
        <v>21</v>
      </c>
      <c r="G535" s="5" t="s">
        <v>20</v>
      </c>
      <c r="H535" s="5"/>
      <c r="I535" s="6">
        <v>0</v>
      </c>
      <c r="J535" s="6">
        <v>4</v>
      </c>
      <c r="K535" s="6">
        <v>4</v>
      </c>
      <c r="L535" s="6">
        <v>0</v>
      </c>
      <c r="M535" s="5"/>
      <c r="N535" s="6">
        <v>0</v>
      </c>
      <c r="O535" s="6">
        <v>0</v>
      </c>
      <c r="P535" s="6">
        <v>0</v>
      </c>
      <c r="Q535" s="6">
        <v>0</v>
      </c>
      <c r="R535" s="6">
        <v>0</v>
      </c>
      <c r="S535" s="5"/>
      <c r="T535" s="7">
        <v>30000</v>
      </c>
      <c r="U535" s="7">
        <v>19726.18</v>
      </c>
      <c r="V535" s="7">
        <v>0</v>
      </c>
      <c r="W535" s="7">
        <v>19726.18</v>
      </c>
      <c r="X535" s="7">
        <v>0</v>
      </c>
      <c r="Y535" s="7">
        <v>-10273.82</v>
      </c>
    </row>
    <row r="536" spans="1:25" ht="51" x14ac:dyDescent="0.2">
      <c r="A536" s="5" t="s">
        <v>54</v>
      </c>
      <c r="B536" s="5" t="s">
        <v>760</v>
      </c>
      <c r="C536" s="5" t="s">
        <v>16</v>
      </c>
      <c r="D536" s="5" t="s">
        <v>53</v>
      </c>
      <c r="E536" s="5" t="s">
        <v>88</v>
      </c>
      <c r="F536" s="5" t="s">
        <v>18</v>
      </c>
      <c r="G536" s="5" t="s">
        <v>20</v>
      </c>
      <c r="H536" s="5"/>
      <c r="I536" s="6">
        <v>0</v>
      </c>
      <c r="J536" s="6">
        <v>0</v>
      </c>
      <c r="K536" s="6">
        <v>0</v>
      </c>
      <c r="L536" s="6">
        <v>0</v>
      </c>
      <c r="M536" s="5"/>
      <c r="N536" s="6">
        <v>0</v>
      </c>
      <c r="O536" s="6">
        <v>30</v>
      </c>
      <c r="P536" s="6">
        <v>30</v>
      </c>
      <c r="Q536" s="6">
        <v>0</v>
      </c>
      <c r="R536" s="6">
        <v>30</v>
      </c>
      <c r="S536" s="5"/>
      <c r="T536" s="7">
        <v>0</v>
      </c>
      <c r="U536" s="7">
        <v>3055.47</v>
      </c>
      <c r="V536" s="7">
        <v>0</v>
      </c>
      <c r="W536" s="7">
        <v>3055.47</v>
      </c>
      <c r="X536" s="7">
        <v>0</v>
      </c>
      <c r="Y536" s="7">
        <v>3055.47</v>
      </c>
    </row>
    <row r="537" spans="1:25" ht="51" x14ac:dyDescent="0.2">
      <c r="A537" s="5" t="s">
        <v>761</v>
      </c>
      <c r="B537" s="5" t="s">
        <v>762</v>
      </c>
      <c r="C537" s="5" t="s">
        <v>16</v>
      </c>
      <c r="D537" s="5" t="s">
        <v>53</v>
      </c>
      <c r="E537" s="5" t="s">
        <v>88</v>
      </c>
      <c r="F537" s="5" t="s">
        <v>18</v>
      </c>
      <c r="G537" s="5" t="s">
        <v>20</v>
      </c>
      <c r="H537" s="5"/>
      <c r="I537" s="6">
        <v>0</v>
      </c>
      <c r="J537" s="6">
        <v>0</v>
      </c>
      <c r="K537" s="6">
        <v>0</v>
      </c>
      <c r="L537" s="6">
        <v>0</v>
      </c>
      <c r="M537" s="5"/>
      <c r="N537" s="6">
        <v>0</v>
      </c>
      <c r="O537" s="6">
        <v>2027</v>
      </c>
      <c r="P537" s="6">
        <v>2027</v>
      </c>
      <c r="Q537" s="6">
        <v>0</v>
      </c>
      <c r="R537" s="6">
        <v>2027</v>
      </c>
      <c r="S537" s="5"/>
      <c r="T537" s="7">
        <v>0</v>
      </c>
      <c r="U537" s="7">
        <v>110278.22</v>
      </c>
      <c r="V537" s="7">
        <v>0</v>
      </c>
      <c r="W537" s="7">
        <v>110278.22</v>
      </c>
      <c r="X537" s="7">
        <v>0</v>
      </c>
      <c r="Y537" s="7">
        <v>110278.22</v>
      </c>
    </row>
    <row r="538" spans="1:25" ht="63.75" x14ac:dyDescent="0.2">
      <c r="A538" s="5" t="s">
        <v>763</v>
      </c>
      <c r="B538" s="5" t="s">
        <v>764</v>
      </c>
      <c r="C538" s="5" t="s">
        <v>16</v>
      </c>
      <c r="D538" s="5" t="s">
        <v>53</v>
      </c>
      <c r="E538" s="5" t="s">
        <v>123</v>
      </c>
      <c r="F538" s="5" t="s">
        <v>18</v>
      </c>
      <c r="G538" s="5" t="s">
        <v>20</v>
      </c>
      <c r="H538" s="5"/>
      <c r="I538" s="6">
        <v>0</v>
      </c>
      <c r="J538" s="6">
        <v>0</v>
      </c>
      <c r="K538" s="6">
        <v>0</v>
      </c>
      <c r="L538" s="6">
        <v>0</v>
      </c>
      <c r="M538" s="5"/>
      <c r="N538" s="6">
        <v>85</v>
      </c>
      <c r="O538" s="6">
        <v>108</v>
      </c>
      <c r="P538" s="6">
        <v>108</v>
      </c>
      <c r="Q538" s="6">
        <v>0</v>
      </c>
      <c r="R538" s="6">
        <v>23</v>
      </c>
      <c r="S538" s="5"/>
      <c r="T538" s="7">
        <v>7552.5</v>
      </c>
      <c r="U538" s="7">
        <v>10163.469999999999</v>
      </c>
      <c r="V538" s="7">
        <v>0</v>
      </c>
      <c r="W538" s="7">
        <v>10163.469999999999</v>
      </c>
      <c r="X538" s="7">
        <v>0</v>
      </c>
      <c r="Y538" s="7">
        <v>2610.9699999999998</v>
      </c>
    </row>
    <row r="539" spans="1:25" ht="63.75" x14ac:dyDescent="0.2">
      <c r="A539" s="5" t="s">
        <v>763</v>
      </c>
      <c r="B539" s="5" t="s">
        <v>764</v>
      </c>
      <c r="C539" s="5" t="s">
        <v>16</v>
      </c>
      <c r="D539" s="5" t="s">
        <v>53</v>
      </c>
      <c r="E539" s="5" t="s">
        <v>123</v>
      </c>
      <c r="F539" s="5" t="s">
        <v>25</v>
      </c>
      <c r="G539" s="5" t="s">
        <v>20</v>
      </c>
      <c r="H539" s="5"/>
      <c r="I539" s="6">
        <v>0</v>
      </c>
      <c r="J539" s="6">
        <v>0</v>
      </c>
      <c r="K539" s="6">
        <v>0</v>
      </c>
      <c r="L539" s="6">
        <v>0</v>
      </c>
      <c r="M539" s="5"/>
      <c r="N539" s="6">
        <v>14</v>
      </c>
      <c r="O539" s="6">
        <v>0</v>
      </c>
      <c r="P539" s="6">
        <v>14</v>
      </c>
      <c r="Q539" s="6">
        <v>14</v>
      </c>
      <c r="R539" s="6">
        <v>0</v>
      </c>
      <c r="S539" s="5"/>
      <c r="T539" s="7">
        <v>1400</v>
      </c>
      <c r="U539" s="7">
        <v>129.22</v>
      </c>
      <c r="V539" s="7">
        <v>0</v>
      </c>
      <c r="W539" s="7">
        <v>129.22</v>
      </c>
      <c r="X539" s="7">
        <v>0</v>
      </c>
      <c r="Y539" s="7">
        <v>-1270.78</v>
      </c>
    </row>
    <row r="540" spans="1:25" ht="51" x14ac:dyDescent="0.2">
      <c r="A540" s="5" t="s">
        <v>765</v>
      </c>
      <c r="B540" s="5" t="s">
        <v>766</v>
      </c>
      <c r="C540" s="5" t="s">
        <v>16</v>
      </c>
      <c r="D540" s="5" t="s">
        <v>53</v>
      </c>
      <c r="E540" s="5" t="s">
        <v>88</v>
      </c>
      <c r="F540" s="5" t="s">
        <v>18</v>
      </c>
      <c r="G540" s="5" t="s">
        <v>20</v>
      </c>
      <c r="H540" s="5"/>
      <c r="I540" s="6">
        <v>0</v>
      </c>
      <c r="J540" s="6">
        <v>0</v>
      </c>
      <c r="K540" s="6">
        <v>0</v>
      </c>
      <c r="L540" s="6">
        <v>0</v>
      </c>
      <c r="M540" s="5"/>
      <c r="N540" s="6">
        <v>43</v>
      </c>
      <c r="O540" s="6">
        <v>43</v>
      </c>
      <c r="P540" s="6">
        <v>43</v>
      </c>
      <c r="Q540" s="6">
        <v>0</v>
      </c>
      <c r="R540" s="6">
        <v>0</v>
      </c>
      <c r="S540" s="5"/>
      <c r="T540" s="7">
        <v>3870</v>
      </c>
      <c r="U540" s="7">
        <v>6083.51</v>
      </c>
      <c r="V540" s="7">
        <v>0</v>
      </c>
      <c r="W540" s="7">
        <v>6083.51</v>
      </c>
      <c r="X540" s="7">
        <v>0</v>
      </c>
      <c r="Y540" s="7">
        <v>2213.5100000000002</v>
      </c>
    </row>
    <row r="541" spans="1:25" ht="51" x14ac:dyDescent="0.2">
      <c r="A541" s="5" t="s">
        <v>765</v>
      </c>
      <c r="B541" s="5" t="s">
        <v>766</v>
      </c>
      <c r="C541" s="5" t="s">
        <v>16</v>
      </c>
      <c r="D541" s="5" t="s">
        <v>53</v>
      </c>
      <c r="E541" s="5" t="s">
        <v>88</v>
      </c>
      <c r="F541" s="5" t="s">
        <v>32</v>
      </c>
      <c r="G541" s="5" t="s">
        <v>20</v>
      </c>
      <c r="H541" s="5"/>
      <c r="I541" s="6">
        <v>0</v>
      </c>
      <c r="J541" s="6">
        <v>0</v>
      </c>
      <c r="K541" s="6">
        <v>0</v>
      </c>
      <c r="L541" s="6">
        <v>0</v>
      </c>
      <c r="M541" s="5"/>
      <c r="N541" s="6">
        <v>0</v>
      </c>
      <c r="O541" s="6">
        <v>0</v>
      </c>
      <c r="P541" s="6">
        <v>0</v>
      </c>
      <c r="Q541" s="6">
        <v>0</v>
      </c>
      <c r="R541" s="6">
        <v>0</v>
      </c>
      <c r="S541" s="5"/>
      <c r="T541" s="7">
        <v>28930</v>
      </c>
      <c r="U541" s="7">
        <v>21290.5</v>
      </c>
      <c r="V541" s="7">
        <v>260</v>
      </c>
      <c r="W541" s="7">
        <v>21550.5</v>
      </c>
      <c r="X541" s="7">
        <v>260</v>
      </c>
      <c r="Y541" s="7">
        <v>-7379.5</v>
      </c>
    </row>
    <row r="542" spans="1:25" ht="51" x14ac:dyDescent="0.2">
      <c r="A542" s="5" t="s">
        <v>767</v>
      </c>
      <c r="B542" s="5" t="s">
        <v>768</v>
      </c>
      <c r="C542" s="5" t="s">
        <v>122</v>
      </c>
      <c r="D542" s="5" t="s">
        <v>53</v>
      </c>
      <c r="E542" s="5" t="s">
        <v>88</v>
      </c>
      <c r="F542" s="5" t="s">
        <v>18</v>
      </c>
      <c r="G542" s="5" t="s">
        <v>20</v>
      </c>
      <c r="H542" s="5"/>
      <c r="I542" s="6">
        <v>0</v>
      </c>
      <c r="J542" s="6">
        <v>0</v>
      </c>
      <c r="K542" s="6">
        <v>0</v>
      </c>
      <c r="L542" s="6">
        <v>0</v>
      </c>
      <c r="M542" s="5"/>
      <c r="N542" s="6">
        <v>0</v>
      </c>
      <c r="O542" s="6">
        <v>195</v>
      </c>
      <c r="P542" s="6">
        <v>211</v>
      </c>
      <c r="Q542" s="6">
        <v>16</v>
      </c>
      <c r="R542" s="6">
        <v>211</v>
      </c>
      <c r="S542" s="5"/>
      <c r="T542" s="7">
        <v>0</v>
      </c>
      <c r="U542" s="7">
        <v>15233.5</v>
      </c>
      <c r="V542" s="7">
        <v>0</v>
      </c>
      <c r="W542" s="7">
        <v>16715.419999999998</v>
      </c>
      <c r="X542" s="7">
        <v>1481.92</v>
      </c>
      <c r="Y542" s="7">
        <v>16715.419999999998</v>
      </c>
    </row>
    <row r="543" spans="1:25" ht="51" x14ac:dyDescent="0.2">
      <c r="A543" s="5" t="s">
        <v>769</v>
      </c>
      <c r="B543" s="5" t="s">
        <v>770</v>
      </c>
      <c r="C543" s="5" t="s">
        <v>122</v>
      </c>
      <c r="D543" s="5" t="s">
        <v>53</v>
      </c>
      <c r="E543" s="5" t="s">
        <v>123</v>
      </c>
      <c r="F543" s="5" t="s">
        <v>18</v>
      </c>
      <c r="G543" s="5" t="s">
        <v>20</v>
      </c>
      <c r="H543" s="5"/>
      <c r="I543" s="6">
        <v>0</v>
      </c>
      <c r="J543" s="6">
        <v>0</v>
      </c>
      <c r="K543" s="6">
        <v>0</v>
      </c>
      <c r="L543" s="6">
        <v>0</v>
      </c>
      <c r="M543" s="5"/>
      <c r="N543" s="6">
        <v>0</v>
      </c>
      <c r="O543" s="6">
        <v>234</v>
      </c>
      <c r="P543" s="6">
        <v>234</v>
      </c>
      <c r="Q543" s="6">
        <v>0</v>
      </c>
      <c r="R543" s="6">
        <v>234</v>
      </c>
      <c r="S543" s="5"/>
      <c r="T543" s="7">
        <v>0</v>
      </c>
      <c r="U543" s="7">
        <v>18815.580000000002</v>
      </c>
      <c r="V543" s="7">
        <v>0</v>
      </c>
      <c r="W543" s="7">
        <v>18815.580000000002</v>
      </c>
      <c r="X543" s="7">
        <v>0</v>
      </c>
      <c r="Y543" s="7">
        <v>18815.580000000002</v>
      </c>
    </row>
    <row r="544" spans="1:25" ht="63.75" x14ac:dyDescent="0.2">
      <c r="A544" s="5" t="s">
        <v>771</v>
      </c>
      <c r="B544" s="5" t="s">
        <v>772</v>
      </c>
      <c r="C544" s="5" t="s">
        <v>225</v>
      </c>
      <c r="D544" s="5" t="s">
        <v>53</v>
      </c>
      <c r="E544" s="5" t="s">
        <v>88</v>
      </c>
      <c r="F544" s="5" t="s">
        <v>18</v>
      </c>
      <c r="G544" s="5" t="s">
        <v>20</v>
      </c>
      <c r="H544" s="5"/>
      <c r="I544" s="6">
        <v>0</v>
      </c>
      <c r="J544" s="6">
        <v>0</v>
      </c>
      <c r="K544" s="6">
        <v>0</v>
      </c>
      <c r="L544" s="6">
        <v>0</v>
      </c>
      <c r="M544" s="5"/>
      <c r="N544" s="6">
        <v>80</v>
      </c>
      <c r="O544" s="6">
        <v>0</v>
      </c>
      <c r="P544" s="6">
        <v>0</v>
      </c>
      <c r="Q544" s="6">
        <v>0</v>
      </c>
      <c r="R544" s="6">
        <v>-80</v>
      </c>
      <c r="S544" s="5"/>
      <c r="T544" s="7">
        <v>6940</v>
      </c>
      <c r="U544" s="7">
        <v>0</v>
      </c>
      <c r="V544" s="7">
        <v>0</v>
      </c>
      <c r="W544" s="7">
        <v>0</v>
      </c>
      <c r="X544" s="7">
        <v>0</v>
      </c>
      <c r="Y544" s="7">
        <v>-6940</v>
      </c>
    </row>
    <row r="545" spans="1:25" ht="76.5" x14ac:dyDescent="0.2">
      <c r="A545" s="5" t="s">
        <v>773</v>
      </c>
      <c r="B545" s="5" t="s">
        <v>774</v>
      </c>
      <c r="C545" s="5" t="s">
        <v>16</v>
      </c>
      <c r="D545" s="5" t="s">
        <v>53</v>
      </c>
      <c r="E545" s="5" t="s">
        <v>88</v>
      </c>
      <c r="F545" s="5" t="s">
        <v>18</v>
      </c>
      <c r="G545" s="5" t="s">
        <v>20</v>
      </c>
      <c r="H545" s="5"/>
      <c r="I545" s="6">
        <v>0</v>
      </c>
      <c r="J545" s="6">
        <v>0</v>
      </c>
      <c r="K545" s="6">
        <v>0</v>
      </c>
      <c r="L545" s="6">
        <v>0</v>
      </c>
      <c r="M545" s="5"/>
      <c r="N545" s="6">
        <v>0</v>
      </c>
      <c r="O545" s="6">
        <v>292</v>
      </c>
      <c r="P545" s="6">
        <v>292</v>
      </c>
      <c r="Q545" s="6">
        <v>0</v>
      </c>
      <c r="R545" s="6">
        <v>292</v>
      </c>
      <c r="S545" s="5"/>
      <c r="T545" s="7">
        <v>0</v>
      </c>
      <c r="U545" s="7">
        <v>22293.86</v>
      </c>
      <c r="V545" s="7">
        <v>0</v>
      </c>
      <c r="W545" s="7">
        <v>22293.86</v>
      </c>
      <c r="X545" s="7">
        <v>0</v>
      </c>
      <c r="Y545" s="7">
        <v>22293.86</v>
      </c>
    </row>
    <row r="546" spans="1:25" ht="76.5" x14ac:dyDescent="0.2">
      <c r="A546" s="5" t="s">
        <v>775</v>
      </c>
      <c r="B546" s="5" t="s">
        <v>774</v>
      </c>
      <c r="C546" s="5" t="s">
        <v>16</v>
      </c>
      <c r="D546" s="5" t="s">
        <v>53</v>
      </c>
      <c r="E546" s="5" t="s">
        <v>88</v>
      </c>
      <c r="F546" s="5" t="s">
        <v>25</v>
      </c>
      <c r="G546" s="5" t="s">
        <v>20</v>
      </c>
      <c r="H546" s="5"/>
      <c r="I546" s="6">
        <v>0</v>
      </c>
      <c r="J546" s="6">
        <v>0</v>
      </c>
      <c r="K546" s="6">
        <v>0</v>
      </c>
      <c r="L546" s="6">
        <v>0</v>
      </c>
      <c r="M546" s="5"/>
      <c r="N546" s="6">
        <v>0</v>
      </c>
      <c r="O546" s="6">
        <v>0</v>
      </c>
      <c r="P546" s="6">
        <v>0</v>
      </c>
      <c r="Q546" s="6">
        <v>0</v>
      </c>
      <c r="R546" s="6">
        <v>0</v>
      </c>
      <c r="S546" s="5"/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</row>
    <row r="547" spans="1:25" ht="51" x14ac:dyDescent="0.2">
      <c r="A547" s="5" t="s">
        <v>776</v>
      </c>
      <c r="B547" s="5" t="s">
        <v>777</v>
      </c>
      <c r="C547" s="5" t="s">
        <v>16</v>
      </c>
      <c r="D547" s="5" t="s">
        <v>53</v>
      </c>
      <c r="E547" s="5" t="s">
        <v>88</v>
      </c>
      <c r="F547" s="5" t="s">
        <v>18</v>
      </c>
      <c r="G547" s="5" t="s">
        <v>20</v>
      </c>
      <c r="H547" s="5"/>
      <c r="I547" s="6">
        <v>0</v>
      </c>
      <c r="J547" s="6">
        <v>0</v>
      </c>
      <c r="K547" s="6">
        <v>0</v>
      </c>
      <c r="L547" s="6">
        <v>0</v>
      </c>
      <c r="M547" s="5"/>
      <c r="N547" s="6">
        <v>1948</v>
      </c>
      <c r="O547" s="6">
        <v>1560</v>
      </c>
      <c r="P547" s="6">
        <v>1569</v>
      </c>
      <c r="Q547" s="6">
        <v>9</v>
      </c>
      <c r="R547" s="6">
        <v>-379</v>
      </c>
      <c r="S547" s="5"/>
      <c r="T547" s="7">
        <v>175320</v>
      </c>
      <c r="U547" s="7">
        <v>145501.85999999999</v>
      </c>
      <c r="V547" s="7">
        <v>0</v>
      </c>
      <c r="W547" s="7">
        <v>146422.60999999999</v>
      </c>
      <c r="X547" s="7">
        <v>920.75</v>
      </c>
      <c r="Y547" s="7">
        <v>-28897.39</v>
      </c>
    </row>
    <row r="548" spans="1:25" ht="63.75" x14ac:dyDescent="0.2">
      <c r="A548" s="5" t="s">
        <v>778</v>
      </c>
      <c r="B548" s="5" t="s">
        <v>779</v>
      </c>
      <c r="C548" s="5" t="s">
        <v>16</v>
      </c>
      <c r="D548" s="5" t="s">
        <v>53</v>
      </c>
      <c r="E548" s="5" t="s">
        <v>88</v>
      </c>
      <c r="F548" s="5" t="s">
        <v>18</v>
      </c>
      <c r="G548" s="5" t="s">
        <v>20</v>
      </c>
      <c r="H548" s="5"/>
      <c r="I548" s="6">
        <v>0</v>
      </c>
      <c r="J548" s="6">
        <v>0</v>
      </c>
      <c r="K548" s="6">
        <v>0</v>
      </c>
      <c r="L548" s="6">
        <v>0</v>
      </c>
      <c r="M548" s="5"/>
      <c r="N548" s="6">
        <v>0</v>
      </c>
      <c r="O548" s="6">
        <v>160</v>
      </c>
      <c r="P548" s="6">
        <v>160</v>
      </c>
      <c r="Q548" s="6">
        <v>0</v>
      </c>
      <c r="R548" s="6">
        <v>160</v>
      </c>
      <c r="S548" s="5"/>
      <c r="T548" s="7">
        <v>0</v>
      </c>
      <c r="U548" s="7">
        <v>14168.12</v>
      </c>
      <c r="V548" s="7">
        <v>0</v>
      </c>
      <c r="W548" s="7">
        <v>14168.12</v>
      </c>
      <c r="X548" s="7">
        <v>0</v>
      </c>
      <c r="Y548" s="7">
        <v>14168.12</v>
      </c>
    </row>
    <row r="549" spans="1:25" ht="51" x14ac:dyDescent="0.2">
      <c r="A549" s="5" t="s">
        <v>780</v>
      </c>
      <c r="B549" s="5" t="s">
        <v>781</v>
      </c>
      <c r="C549" s="5" t="s">
        <v>16</v>
      </c>
      <c r="D549" s="5" t="s">
        <v>53</v>
      </c>
      <c r="E549" s="5" t="s">
        <v>88</v>
      </c>
      <c r="F549" s="5" t="s">
        <v>18</v>
      </c>
      <c r="G549" s="5" t="s">
        <v>20</v>
      </c>
      <c r="H549" s="5"/>
      <c r="I549" s="6">
        <v>0</v>
      </c>
      <c r="J549" s="6">
        <v>0</v>
      </c>
      <c r="K549" s="6">
        <v>0</v>
      </c>
      <c r="L549" s="6">
        <v>0</v>
      </c>
      <c r="M549" s="5"/>
      <c r="N549" s="6">
        <v>0</v>
      </c>
      <c r="O549" s="6">
        <v>932</v>
      </c>
      <c r="P549" s="6">
        <v>932</v>
      </c>
      <c r="Q549" s="6">
        <v>0</v>
      </c>
      <c r="R549" s="6">
        <v>932</v>
      </c>
      <c r="S549" s="5"/>
      <c r="T549" s="7">
        <v>0</v>
      </c>
      <c r="U549" s="7">
        <v>81803.100000000006</v>
      </c>
      <c r="V549" s="7">
        <v>0</v>
      </c>
      <c r="W549" s="7">
        <v>81803.100000000006</v>
      </c>
      <c r="X549" s="7">
        <v>0</v>
      </c>
      <c r="Y549" s="7">
        <v>81803.100000000006</v>
      </c>
    </row>
    <row r="550" spans="1:25" ht="51" x14ac:dyDescent="0.2">
      <c r="A550" s="5" t="s">
        <v>782</v>
      </c>
      <c r="B550" s="5" t="s">
        <v>783</v>
      </c>
      <c r="C550" s="5" t="s">
        <v>16</v>
      </c>
      <c r="D550" s="5" t="s">
        <v>53</v>
      </c>
      <c r="E550" s="5" t="s">
        <v>88</v>
      </c>
      <c r="F550" s="5" t="s">
        <v>18</v>
      </c>
      <c r="G550" s="5" t="s">
        <v>20</v>
      </c>
      <c r="H550" s="5"/>
      <c r="I550" s="6">
        <v>0</v>
      </c>
      <c r="J550" s="6">
        <v>0</v>
      </c>
      <c r="K550" s="6">
        <v>0</v>
      </c>
      <c r="L550" s="6">
        <v>0</v>
      </c>
      <c r="M550" s="5"/>
      <c r="N550" s="6">
        <v>0</v>
      </c>
      <c r="O550" s="6">
        <v>809</v>
      </c>
      <c r="P550" s="6">
        <v>809</v>
      </c>
      <c r="Q550" s="6">
        <v>0</v>
      </c>
      <c r="R550" s="6">
        <v>809</v>
      </c>
      <c r="S550" s="5"/>
      <c r="T550" s="7">
        <v>0</v>
      </c>
      <c r="U550" s="7">
        <v>73958.070000000007</v>
      </c>
      <c r="V550" s="7">
        <v>0</v>
      </c>
      <c r="W550" s="7">
        <v>73958.070000000007</v>
      </c>
      <c r="X550" s="7">
        <v>0</v>
      </c>
      <c r="Y550" s="7">
        <v>73958.070000000007</v>
      </c>
    </row>
    <row r="551" spans="1:25" ht="51" x14ac:dyDescent="0.2">
      <c r="A551" s="5" t="s">
        <v>784</v>
      </c>
      <c r="B551" s="5" t="s">
        <v>783</v>
      </c>
      <c r="C551" s="5" t="s">
        <v>16</v>
      </c>
      <c r="D551" s="5" t="s">
        <v>53</v>
      </c>
      <c r="E551" s="5" t="s">
        <v>88</v>
      </c>
      <c r="F551" s="5" t="s">
        <v>25</v>
      </c>
      <c r="G551" s="5" t="s">
        <v>20</v>
      </c>
      <c r="H551" s="5"/>
      <c r="I551" s="6">
        <v>0</v>
      </c>
      <c r="J551" s="6">
        <v>0</v>
      </c>
      <c r="K551" s="6">
        <v>0</v>
      </c>
      <c r="L551" s="6">
        <v>0</v>
      </c>
      <c r="M551" s="5"/>
      <c r="N551" s="6">
        <v>0</v>
      </c>
      <c r="O551" s="6">
        <v>0</v>
      </c>
      <c r="P551" s="6">
        <v>0</v>
      </c>
      <c r="Q551" s="6">
        <v>0</v>
      </c>
      <c r="R551" s="6">
        <v>0</v>
      </c>
      <c r="S551" s="5"/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</row>
    <row r="552" spans="1:25" ht="51" x14ac:dyDescent="0.2">
      <c r="A552" s="5" t="s">
        <v>784</v>
      </c>
      <c r="B552" s="5" t="s">
        <v>783</v>
      </c>
      <c r="C552" s="5" t="s">
        <v>16</v>
      </c>
      <c r="D552" s="5" t="s">
        <v>53</v>
      </c>
      <c r="E552" s="5" t="s">
        <v>88</v>
      </c>
      <c r="F552" s="5" t="s">
        <v>32</v>
      </c>
      <c r="G552" s="5" t="s">
        <v>20</v>
      </c>
      <c r="H552" s="5"/>
      <c r="I552" s="6">
        <v>0</v>
      </c>
      <c r="J552" s="6">
        <v>0</v>
      </c>
      <c r="K552" s="6">
        <v>0</v>
      </c>
      <c r="L552" s="6">
        <v>0</v>
      </c>
      <c r="M552" s="5"/>
      <c r="N552" s="6">
        <v>0</v>
      </c>
      <c r="O552" s="6">
        <v>0</v>
      </c>
      <c r="P552" s="6">
        <v>0</v>
      </c>
      <c r="Q552" s="6">
        <v>0</v>
      </c>
      <c r="R552" s="6">
        <v>0</v>
      </c>
      <c r="S552" s="5"/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</row>
    <row r="553" spans="1:25" ht="51" x14ac:dyDescent="0.2">
      <c r="A553" s="5" t="s">
        <v>784</v>
      </c>
      <c r="B553" s="5" t="s">
        <v>783</v>
      </c>
      <c r="C553" s="5" t="s">
        <v>16</v>
      </c>
      <c r="D553" s="5" t="s">
        <v>53</v>
      </c>
      <c r="E553" s="5" t="s">
        <v>88</v>
      </c>
      <c r="F553" s="5" t="s">
        <v>38</v>
      </c>
      <c r="G553" s="5" t="s">
        <v>20</v>
      </c>
      <c r="H553" s="5"/>
      <c r="I553" s="6">
        <v>0</v>
      </c>
      <c r="J553" s="6">
        <v>0</v>
      </c>
      <c r="K553" s="6">
        <v>0</v>
      </c>
      <c r="L553" s="6">
        <v>0</v>
      </c>
      <c r="M553" s="5"/>
      <c r="N553" s="6">
        <v>0</v>
      </c>
      <c r="O553" s="6">
        <v>0</v>
      </c>
      <c r="P553" s="6">
        <v>0</v>
      </c>
      <c r="Q553" s="6">
        <v>0</v>
      </c>
      <c r="R553" s="6">
        <v>0</v>
      </c>
      <c r="S553" s="5"/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</row>
    <row r="554" spans="1:25" ht="51" x14ac:dyDescent="0.2">
      <c r="A554" s="5" t="s">
        <v>784</v>
      </c>
      <c r="B554" s="5" t="s">
        <v>783</v>
      </c>
      <c r="C554" s="5" t="s">
        <v>16</v>
      </c>
      <c r="D554" s="5" t="s">
        <v>53</v>
      </c>
      <c r="E554" s="5" t="s">
        <v>88</v>
      </c>
      <c r="F554" s="5" t="s">
        <v>21</v>
      </c>
      <c r="G554" s="5" t="s">
        <v>20</v>
      </c>
      <c r="H554" s="5"/>
      <c r="I554" s="6">
        <v>0</v>
      </c>
      <c r="J554" s="6">
        <v>0</v>
      </c>
      <c r="K554" s="6">
        <v>0</v>
      </c>
      <c r="L554" s="6">
        <v>0</v>
      </c>
      <c r="M554" s="5"/>
      <c r="N554" s="6">
        <v>0</v>
      </c>
      <c r="O554" s="6">
        <v>0</v>
      </c>
      <c r="P554" s="6">
        <v>0</v>
      </c>
      <c r="Q554" s="6">
        <v>0</v>
      </c>
      <c r="R554" s="6">
        <v>0</v>
      </c>
      <c r="S554" s="5"/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</row>
  </sheetData>
  <mergeCells count="7">
    <mergeCell ref="AF3:AN4"/>
    <mergeCell ref="AF1:AM2"/>
    <mergeCell ref="AF8:AN8"/>
    <mergeCell ref="A2:G2"/>
    <mergeCell ref="I2:L2"/>
    <mergeCell ref="N2:R2"/>
    <mergeCell ref="T2:Y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37C42-43C8-4AFF-83BF-21D5C64D6D06}">
  <sheetPr codeName="Sheet1"/>
  <dimension ref="A3:E41"/>
  <sheetViews>
    <sheetView zoomScale="116" workbookViewId="0">
      <selection activeCell="J15" sqref="J15"/>
    </sheetView>
  </sheetViews>
  <sheetFormatPr defaultRowHeight="12.75" x14ac:dyDescent="0.2"/>
  <cols>
    <col min="1" max="1" width="29.28515625" bestFit="1" customWidth="1"/>
    <col min="2" max="4" width="11.7109375" style="29" bestFit="1" customWidth="1"/>
    <col min="5" max="5" width="18.5703125" style="31" bestFit="1" customWidth="1"/>
  </cols>
  <sheetData>
    <row r="3" spans="1:5" x14ac:dyDescent="0.2">
      <c r="A3" s="19" t="s">
        <v>79</v>
      </c>
      <c r="B3" s="34" t="s">
        <v>80</v>
      </c>
      <c r="C3" s="34" t="s">
        <v>81</v>
      </c>
      <c r="D3" s="34" t="s">
        <v>82</v>
      </c>
      <c r="E3" s="34" t="s">
        <v>83</v>
      </c>
    </row>
    <row r="4" spans="1:5" ht="15" x14ac:dyDescent="0.25">
      <c r="A4" s="27" t="s">
        <v>85</v>
      </c>
      <c r="E4" s="29"/>
    </row>
    <row r="5" spans="1:5" x14ac:dyDescent="0.2">
      <c r="A5" s="37" t="s">
        <v>28</v>
      </c>
      <c r="B5" s="38"/>
      <c r="C5" s="38"/>
      <c r="D5" s="38"/>
      <c r="E5" s="38"/>
    </row>
    <row r="6" spans="1:5" x14ac:dyDescent="0.2">
      <c r="A6" s="23" t="s">
        <v>18</v>
      </c>
      <c r="B6" s="29">
        <v>1904219.24</v>
      </c>
      <c r="C6" s="29">
        <v>3047818.2400000016</v>
      </c>
      <c r="D6" s="29">
        <v>3082490.5200000014</v>
      </c>
      <c r="E6" s="29">
        <v>1178271.2799999993</v>
      </c>
    </row>
    <row r="7" spans="1:5" x14ac:dyDescent="0.2">
      <c r="A7" s="23" t="s">
        <v>25</v>
      </c>
      <c r="B7" s="29">
        <v>8520338.8100000005</v>
      </c>
      <c r="C7" s="29">
        <v>7423880.5999999987</v>
      </c>
      <c r="D7" s="29">
        <v>7589537.6599999992</v>
      </c>
      <c r="E7" s="29">
        <v>-930801.14999999979</v>
      </c>
    </row>
    <row r="8" spans="1:5" x14ac:dyDescent="0.2">
      <c r="A8" s="32" t="s">
        <v>63</v>
      </c>
      <c r="B8" s="33">
        <v>10424558.050000001</v>
      </c>
      <c r="C8" s="33">
        <v>10471698.84</v>
      </c>
      <c r="D8" s="33">
        <v>10672028.18</v>
      </c>
      <c r="E8" s="33">
        <v>247470.12999999954</v>
      </c>
    </row>
    <row r="9" spans="1:5" x14ac:dyDescent="0.2">
      <c r="A9" s="35" t="s">
        <v>26</v>
      </c>
      <c r="B9" s="36"/>
      <c r="C9" s="36"/>
      <c r="D9" s="36"/>
      <c r="E9" s="36"/>
    </row>
    <row r="10" spans="1:5" x14ac:dyDescent="0.2">
      <c r="A10" s="23" t="s">
        <v>18</v>
      </c>
      <c r="B10" s="29">
        <v>4084919.2199999988</v>
      </c>
      <c r="C10" s="29">
        <v>7057513.8800000036</v>
      </c>
      <c r="D10" s="29">
        <v>7133508.9900000039</v>
      </c>
      <c r="E10" s="29">
        <v>3048589.77</v>
      </c>
    </row>
    <row r="11" spans="1:5" x14ac:dyDescent="0.2">
      <c r="A11" s="23" t="s">
        <v>25</v>
      </c>
      <c r="B11" s="29">
        <v>2934028.0299999993</v>
      </c>
      <c r="C11" s="29">
        <v>3853334.8400000003</v>
      </c>
      <c r="D11" s="29">
        <v>3975872.2600000002</v>
      </c>
      <c r="E11" s="29">
        <v>1041844.2300000003</v>
      </c>
    </row>
    <row r="12" spans="1:5" x14ac:dyDescent="0.2">
      <c r="A12" s="32" t="s">
        <v>64</v>
      </c>
      <c r="B12" s="33">
        <v>7018947.2499999981</v>
      </c>
      <c r="C12" s="33">
        <v>10910848.720000004</v>
      </c>
      <c r="D12" s="33">
        <v>11109381.250000004</v>
      </c>
      <c r="E12" s="33">
        <v>4090434.0000000005</v>
      </c>
    </row>
    <row r="13" spans="1:5" x14ac:dyDescent="0.2">
      <c r="A13" s="35" t="s">
        <v>31</v>
      </c>
      <c r="B13" s="36"/>
      <c r="C13" s="36"/>
      <c r="D13" s="36"/>
      <c r="E13" s="36"/>
    </row>
    <row r="14" spans="1:5" x14ac:dyDescent="0.2">
      <c r="A14" s="23" t="s">
        <v>18</v>
      </c>
      <c r="B14" s="29">
        <v>2208888.44</v>
      </c>
      <c r="C14" s="29">
        <v>3355787.1400000011</v>
      </c>
      <c r="D14" s="29">
        <v>3447394.9500000011</v>
      </c>
      <c r="E14" s="29">
        <v>1238506.51</v>
      </c>
    </row>
    <row r="15" spans="1:5" x14ac:dyDescent="0.2">
      <c r="A15" s="23" t="s">
        <v>25</v>
      </c>
      <c r="B15" s="29">
        <v>2221003.0999999996</v>
      </c>
      <c r="C15" s="29">
        <v>2588484.3699999992</v>
      </c>
      <c r="D15" s="29">
        <v>2594146.9299999983</v>
      </c>
      <c r="E15" s="29">
        <v>373143.83000000013</v>
      </c>
    </row>
    <row r="16" spans="1:5" x14ac:dyDescent="0.2">
      <c r="A16" s="32" t="s">
        <v>65</v>
      </c>
      <c r="B16" s="33">
        <v>4429891.5399999991</v>
      </c>
      <c r="C16" s="33">
        <v>5944271.5099999998</v>
      </c>
      <c r="D16" s="33">
        <v>6041541.879999999</v>
      </c>
      <c r="E16" s="33">
        <v>1611650.34</v>
      </c>
    </row>
    <row r="17" spans="1:5" x14ac:dyDescent="0.2">
      <c r="A17" s="28" t="s">
        <v>788</v>
      </c>
      <c r="B17" s="30">
        <v>21873396.839999996</v>
      </c>
      <c r="C17" s="30">
        <v>27326819.07</v>
      </c>
      <c r="D17" s="30">
        <v>27822951.310000002</v>
      </c>
      <c r="E17" s="30">
        <v>5949554.4699999997</v>
      </c>
    </row>
    <row r="18" spans="1:5" x14ac:dyDescent="0.2">
      <c r="A18" s="22"/>
      <c r="E18" s="29"/>
    </row>
    <row r="19" spans="1:5" x14ac:dyDescent="0.2">
      <c r="A19" s="39" t="s">
        <v>62</v>
      </c>
      <c r="B19" s="40">
        <v>21873396.839999996</v>
      </c>
      <c r="C19" s="40">
        <v>27326819.07</v>
      </c>
      <c r="D19" s="40">
        <v>27822951.310000002</v>
      </c>
      <c r="E19" s="40">
        <v>5949554.4699999997</v>
      </c>
    </row>
    <row r="20" spans="1:5" x14ac:dyDescent="0.2">
      <c r="B20"/>
      <c r="C20"/>
      <c r="D20"/>
      <c r="E20"/>
    </row>
    <row r="21" spans="1:5" x14ac:dyDescent="0.2">
      <c r="B21"/>
      <c r="C21"/>
      <c r="D21"/>
      <c r="E21"/>
    </row>
    <row r="22" spans="1:5" x14ac:dyDescent="0.2">
      <c r="B22"/>
      <c r="C22"/>
      <c r="D22"/>
      <c r="E22"/>
    </row>
    <row r="23" spans="1:5" x14ac:dyDescent="0.2">
      <c r="B23"/>
      <c r="C23"/>
      <c r="D23"/>
      <c r="E23"/>
    </row>
    <row r="24" spans="1:5" x14ac:dyDescent="0.2">
      <c r="B24"/>
      <c r="C24"/>
      <c r="D24"/>
      <c r="E24"/>
    </row>
    <row r="25" spans="1:5" x14ac:dyDescent="0.2">
      <c r="B25"/>
      <c r="C25"/>
      <c r="D25"/>
      <c r="E25"/>
    </row>
    <row r="26" spans="1:5" x14ac:dyDescent="0.2">
      <c r="B26"/>
      <c r="C26"/>
      <c r="D26"/>
      <c r="E26"/>
    </row>
    <row r="27" spans="1:5" x14ac:dyDescent="0.2">
      <c r="B27"/>
      <c r="C27"/>
      <c r="D27"/>
      <c r="E27"/>
    </row>
    <row r="28" spans="1:5" x14ac:dyDescent="0.2">
      <c r="B28"/>
      <c r="C28"/>
      <c r="D28"/>
      <c r="E28"/>
    </row>
    <row r="29" spans="1:5" x14ac:dyDescent="0.2">
      <c r="B29"/>
      <c r="C29"/>
      <c r="D29"/>
      <c r="E29"/>
    </row>
    <row r="30" spans="1:5" x14ac:dyDescent="0.2">
      <c r="B30"/>
      <c r="C30"/>
      <c r="D30"/>
      <c r="E30"/>
    </row>
    <row r="31" spans="1:5" x14ac:dyDescent="0.2">
      <c r="B31"/>
      <c r="C31"/>
      <c r="D31"/>
      <c r="E31"/>
    </row>
    <row r="32" spans="1:5" x14ac:dyDescent="0.2">
      <c r="B32"/>
      <c r="C32"/>
      <c r="D32"/>
      <c r="E32"/>
    </row>
    <row r="33" spans="2:5" x14ac:dyDescent="0.2">
      <c r="B33"/>
      <c r="C33"/>
      <c r="D33"/>
      <c r="E33"/>
    </row>
    <row r="34" spans="2:5" x14ac:dyDescent="0.2">
      <c r="B34"/>
      <c r="C34"/>
      <c r="D34"/>
      <c r="E34"/>
    </row>
    <row r="35" spans="2:5" x14ac:dyDescent="0.2">
      <c r="B35"/>
      <c r="C35"/>
      <c r="D35"/>
      <c r="E35"/>
    </row>
    <row r="36" spans="2:5" x14ac:dyDescent="0.2">
      <c r="B36"/>
      <c r="C36"/>
      <c r="D36"/>
    </row>
    <row r="37" spans="2:5" ht="13.5" thickBot="1" x14ac:dyDescent="0.25">
      <c r="B37"/>
      <c r="C37"/>
      <c r="D37"/>
    </row>
    <row r="38" spans="2:5" x14ac:dyDescent="0.2">
      <c r="B38"/>
      <c r="C38"/>
      <c r="D38"/>
    </row>
    <row r="39" spans="2:5" x14ac:dyDescent="0.2">
      <c r="B39"/>
      <c r="C39"/>
      <c r="D39"/>
    </row>
    <row r="40" spans="2:5" x14ac:dyDescent="0.2">
      <c r="B40"/>
      <c r="C40"/>
      <c r="D40"/>
    </row>
    <row r="41" spans="2:5" x14ac:dyDescent="0.2">
      <c r="B41"/>
      <c r="C41"/>
      <c r="D41"/>
    </row>
  </sheetData>
  <conditionalFormatting sqref="E1:E3 E20:E23 E25:E27 E29:E31 E34:E1048576">
    <cfRule type="cellIs" dxfId="39" priority="2" operator="lessThan">
      <formula>0</formula>
    </cfRule>
  </conditionalFormatting>
  <conditionalFormatting sqref="E20:E23 E25:E27 E29:E31 E34:E9822">
    <cfRule type="cellIs" dxfId="38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5BB89E2ACEDC4C88C1C2BE9DEBD3C7" ma:contentTypeVersion="10" ma:contentTypeDescription="Create a new document." ma:contentTypeScope="" ma:versionID="f8d247eb2bdbc3e2bdb61005a447ebae">
  <xsd:schema xmlns:xsd="http://www.w3.org/2001/XMLSchema" xmlns:xs="http://www.w3.org/2001/XMLSchema" xmlns:p="http://schemas.microsoft.com/office/2006/metadata/properties" xmlns:ns3="c585815f-bdea-4f34-832f-1f81aea5fd98" targetNamespace="http://schemas.microsoft.com/office/2006/metadata/properties" ma:root="true" ma:fieldsID="6d4a5122dbed2d493b0bcf98f3a3208c" ns3:_="">
    <xsd:import namespace="c585815f-bdea-4f34-832f-1f81aea5fd98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85815f-bdea-4f34-832f-1f81aea5fd98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585815f-bdea-4f34-832f-1f81aea5fd9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61437D-9D15-4C7D-8491-32B0BCDB94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585815f-bdea-4f34-832f-1f81aea5fd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8CF9B7C-7A3D-484B-AF33-6DB35086F41F}">
  <ds:schemaRefs>
    <ds:schemaRef ds:uri="http://purl.org/dc/dcmitype/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c585815f-bdea-4f34-832f-1f81aea5fd98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0E04F8F-C376-44A2-A501-17F143B067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PPMPortal_Projects_Contracts_Jo</vt:lpstr>
      <vt:lpstr>MiddleMan</vt:lpstr>
      <vt:lpstr>SubTotal Amounts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2024-06-13T18:56:28Z</dcterms:created>
  <dcterms:modified xsi:type="dcterms:W3CDTF">2025-01-18T05:23:01Z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0x0101003F5BB89E2ACEDC4C88C1C2BE9DEBD3C7</vt:lpwstr>
  </property>
</Properties>
</file>